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ziok\Desktop\Diplomka\main\odstranění kovariátů\acoustic\"/>
    </mc:Choice>
  </mc:AlternateContent>
  <xr:revisionPtr revIDLastSave="0" documentId="13_ncr:1_{F9DD4743-3D4F-47DC-B94E-4ABDCF6ABC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median" sheetId="3" r:id="rId2"/>
    <sheet name="stat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CLOiAivPHEyWmRQsDhtdAu3mOlPw+7xum6gVeSQ/GOw="/>
    </ext>
  </extLst>
</workbook>
</file>

<file path=xl/calcChain.xml><?xml version="1.0" encoding="utf-8"?>
<calcChain xmlns="http://schemas.openxmlformats.org/spreadsheetml/2006/main">
  <c r="R364" i="1" l="1"/>
  <c r="K364" i="1"/>
  <c r="O361" i="1"/>
  <c r="M339" i="1"/>
  <c r="L339" i="1"/>
  <c r="M337" i="1"/>
  <c r="L337" i="1"/>
  <c r="R259" i="1"/>
  <c r="K244" i="1"/>
  <c r="K241" i="1"/>
  <c r="M232" i="1"/>
  <c r="N212" i="1"/>
  <c r="K206" i="1"/>
  <c r="K201" i="1"/>
  <c r="L200" i="1"/>
  <c r="K200" i="1"/>
  <c r="K178" i="1"/>
  <c r="M62" i="1"/>
  <c r="Q415" i="1"/>
  <c r="P415" i="1"/>
  <c r="O415" i="1"/>
  <c r="N415" i="1"/>
  <c r="M415" i="1"/>
  <c r="L415" i="1"/>
  <c r="Q414" i="1"/>
  <c r="P414" i="1"/>
  <c r="O414" i="1"/>
  <c r="N414" i="1"/>
  <c r="M414" i="1"/>
  <c r="L414" i="1"/>
  <c r="Q376" i="1"/>
  <c r="P376" i="1"/>
  <c r="O376" i="1"/>
  <c r="N376" i="1"/>
  <c r="M376" i="1"/>
  <c r="L376" i="1"/>
  <c r="O58" i="1"/>
  <c r="O57" i="1"/>
  <c r="O86" i="1"/>
  <c r="R156" i="1"/>
  <c r="R339" i="1"/>
  <c r="Q339" i="1"/>
  <c r="P339" i="1"/>
  <c r="O339" i="1"/>
  <c r="N339" i="1"/>
  <c r="Q338" i="1"/>
  <c r="P338" i="1"/>
  <c r="O338" i="1"/>
  <c r="N338" i="1"/>
  <c r="Q337" i="1"/>
  <c r="P337" i="1"/>
  <c r="O337" i="1"/>
  <c r="N337" i="1"/>
  <c r="N322" i="1"/>
  <c r="O322" i="1"/>
  <c r="P322" i="1"/>
  <c r="Q322" i="1"/>
  <c r="R322" i="1"/>
  <c r="N323" i="1"/>
  <c r="O323" i="1"/>
  <c r="P323" i="1"/>
  <c r="Q323" i="1"/>
  <c r="R323" i="1"/>
  <c r="N324" i="1"/>
  <c r="O324" i="1"/>
  <c r="P324" i="1"/>
  <c r="Q324" i="1"/>
  <c r="R324" i="1"/>
  <c r="N325" i="1"/>
  <c r="O325" i="1"/>
  <c r="P325" i="1"/>
  <c r="Q325" i="1"/>
  <c r="R325" i="1"/>
  <c r="N326" i="1"/>
  <c r="O326" i="1"/>
  <c r="P326" i="1"/>
  <c r="Q326" i="1"/>
  <c r="R326" i="1"/>
  <c r="N327" i="1"/>
  <c r="O327" i="1"/>
  <c r="P327" i="1"/>
  <c r="Q327" i="1"/>
  <c r="R327" i="1"/>
  <c r="N328" i="1"/>
  <c r="O328" i="1"/>
  <c r="P328" i="1"/>
  <c r="Q328" i="1"/>
  <c r="R328" i="1"/>
  <c r="N329" i="1"/>
  <c r="O329" i="1"/>
  <c r="P329" i="1"/>
  <c r="Q329" i="1"/>
  <c r="R329" i="1"/>
  <c r="N330" i="1"/>
  <c r="O330" i="1"/>
  <c r="P330" i="1"/>
  <c r="Q330" i="1"/>
  <c r="R330" i="1"/>
  <c r="N331" i="1"/>
  <c r="O331" i="1"/>
  <c r="P331" i="1"/>
  <c r="Q331" i="1"/>
  <c r="R331" i="1"/>
  <c r="N332" i="1"/>
  <c r="O332" i="1"/>
  <c r="P332" i="1"/>
  <c r="Q332" i="1"/>
  <c r="R332" i="1"/>
  <c r="N333" i="1"/>
  <c r="O333" i="1"/>
  <c r="P333" i="1"/>
  <c r="Q333" i="1"/>
  <c r="R333" i="1"/>
  <c r="N334" i="1"/>
  <c r="O334" i="1"/>
  <c r="P334" i="1"/>
  <c r="Q334" i="1"/>
  <c r="R334" i="1"/>
  <c r="N335" i="1"/>
  <c r="O335" i="1"/>
  <c r="P335" i="1"/>
  <c r="Q335" i="1"/>
  <c r="R335" i="1"/>
  <c r="N336" i="1"/>
  <c r="O336" i="1"/>
  <c r="P336" i="1"/>
  <c r="Q336" i="1"/>
  <c r="R336" i="1"/>
  <c r="R321" i="1"/>
  <c r="Q321" i="1"/>
  <c r="P321" i="1"/>
  <c r="O321" i="1"/>
  <c r="N321" i="1"/>
  <c r="Q266" i="1"/>
  <c r="P266" i="1"/>
  <c r="O266" i="1"/>
  <c r="N266" i="1"/>
  <c r="K252" i="1"/>
  <c r="L250" i="1"/>
  <c r="K250" i="1"/>
  <c r="K236" i="1"/>
  <c r="L232" i="1"/>
  <c r="K232" i="1"/>
  <c r="L230" i="1"/>
  <c r="K230" i="1"/>
  <c r="L223" i="1"/>
  <c r="K223" i="1"/>
  <c r="K214" i="1"/>
  <c r="M215" i="1"/>
  <c r="L215" i="1"/>
  <c r="K215" i="1"/>
  <c r="Q196" i="1"/>
  <c r="P196" i="1"/>
  <c r="O194" i="1"/>
  <c r="K195" i="1"/>
  <c r="K187" i="1"/>
  <c r="K186" i="1"/>
  <c r="K185" i="1"/>
  <c r="K184" i="1"/>
  <c r="Q177" i="1"/>
  <c r="L175" i="1"/>
  <c r="L141" i="1"/>
  <c r="K175" i="1"/>
  <c r="K173" i="1"/>
  <c r="K171" i="1"/>
  <c r="K170" i="1"/>
  <c r="K168" i="1"/>
  <c r="K165" i="1"/>
  <c r="K157" i="1"/>
  <c r="K162" i="1"/>
  <c r="K161" i="1"/>
  <c r="K154" i="1"/>
  <c r="K153" i="1"/>
  <c r="K141" i="1"/>
  <c r="K138" i="1"/>
  <c r="K135" i="1"/>
  <c r="K134" i="1"/>
  <c r="K130" i="1"/>
  <c r="K129" i="1"/>
  <c r="K128" i="1"/>
  <c r="Q98" i="1"/>
  <c r="N87" i="1"/>
  <c r="M87" i="1"/>
  <c r="L87" i="1"/>
  <c r="K87" i="1"/>
  <c r="O78" i="1"/>
  <c r="R81" i="1"/>
  <c r="Q81" i="1"/>
  <c r="P81" i="1"/>
  <c r="O81" i="1"/>
  <c r="N81" i="1"/>
  <c r="R84" i="1"/>
  <c r="Q84" i="1"/>
  <c r="P84" i="1"/>
  <c r="O84" i="1"/>
  <c r="N84" i="1"/>
  <c r="M84" i="1"/>
  <c r="L84" i="1"/>
  <c r="K84" i="1"/>
  <c r="L80" i="1"/>
  <c r="L79" i="1"/>
  <c r="K76" i="1"/>
  <c r="R76" i="1"/>
  <c r="Q76" i="1"/>
  <c r="P76" i="1"/>
  <c r="O76" i="1"/>
  <c r="N76" i="1"/>
  <c r="R77" i="1"/>
  <c r="Q77" i="1"/>
  <c r="P77" i="1"/>
  <c r="O77" i="1"/>
  <c r="N77" i="1"/>
  <c r="M77" i="1"/>
  <c r="L77" i="1"/>
  <c r="K77" i="1"/>
  <c r="R60" i="1"/>
  <c r="R59" i="1"/>
  <c r="Q60" i="1"/>
  <c r="P60" i="1"/>
  <c r="O60" i="1"/>
  <c r="N60" i="1"/>
  <c r="M60" i="1"/>
  <c r="L60" i="1"/>
  <c r="K60" i="1"/>
  <c r="Q59" i="1"/>
  <c r="P59" i="1"/>
  <c r="O59" i="1"/>
  <c r="N59" i="1"/>
  <c r="M59" i="1"/>
  <c r="L59" i="1"/>
  <c r="K59" i="1"/>
  <c r="R56" i="1"/>
  <c r="Q56" i="1"/>
  <c r="P56" i="1"/>
  <c r="O56" i="1"/>
  <c r="N56" i="1"/>
  <c r="K56" i="1"/>
  <c r="K107" i="1"/>
  <c r="K105" i="1"/>
  <c r="M104" i="1"/>
  <c r="L104" i="1"/>
  <c r="K104" i="1"/>
  <c r="J113" i="1"/>
  <c r="J124" i="1"/>
  <c r="J125" i="1"/>
  <c r="J128" i="1"/>
  <c r="J130" i="1"/>
  <c r="J134" i="1"/>
  <c r="J135" i="1"/>
  <c r="J138" i="1"/>
  <c r="J148" i="1"/>
  <c r="J161" i="1"/>
  <c r="J167" i="1"/>
  <c r="J168" i="1"/>
  <c r="J170" i="1"/>
  <c r="J171" i="1"/>
  <c r="J185" i="1"/>
  <c r="J193" i="1"/>
  <c r="J207" i="1"/>
  <c r="J222" i="1"/>
  <c r="J223" i="1"/>
  <c r="J232" i="1"/>
  <c r="J236" i="1"/>
  <c r="J243" i="1"/>
  <c r="J250" i="1"/>
  <c r="K123" i="1"/>
  <c r="K124" i="1"/>
  <c r="K125" i="1"/>
  <c r="K126" i="1"/>
  <c r="K122" i="1"/>
  <c r="K113" i="1"/>
  <c r="D2" i="3"/>
  <c r="E2" i="3"/>
  <c r="F2" i="3"/>
  <c r="G2" i="3"/>
  <c r="H2" i="3"/>
  <c r="I2" i="3"/>
  <c r="J2" i="3"/>
  <c r="C2" i="3"/>
  <c r="B2" i="3"/>
  <c r="F131" i="1"/>
  <c r="F30" i="1"/>
  <c r="F31" i="1"/>
  <c r="F32" i="1"/>
  <c r="F33" i="1"/>
  <c r="F34" i="1"/>
  <c r="F35" i="1"/>
  <c r="F36" i="1"/>
  <c r="F37" i="1"/>
  <c r="F38" i="1"/>
  <c r="F2" i="1"/>
  <c r="F345" i="1"/>
  <c r="F353" i="1"/>
  <c r="F380" i="1"/>
  <c r="F385" i="1"/>
  <c r="F397" i="1"/>
  <c r="F403" i="1"/>
  <c r="F412" i="1"/>
  <c r="F413" i="1"/>
  <c r="F358" i="1"/>
  <c r="F342" i="1"/>
  <c r="F347" i="1"/>
  <c r="F180" i="1"/>
  <c r="F207" i="1"/>
  <c r="F212" i="1"/>
  <c r="F217" i="1"/>
  <c r="F219" i="1"/>
  <c r="F231" i="1"/>
  <c r="F235" i="1"/>
  <c r="F246" i="1"/>
  <c r="F247" i="1"/>
  <c r="F91" i="1"/>
  <c r="F96" i="1"/>
  <c r="F109" i="1"/>
  <c r="F139" i="1"/>
  <c r="F158" i="1"/>
  <c r="F39" i="1"/>
  <c r="F40" i="1"/>
  <c r="F41" i="1"/>
  <c r="F42" i="1"/>
  <c r="F44" i="1"/>
  <c r="F43" i="1"/>
  <c r="F46" i="1"/>
  <c r="F45" i="1"/>
  <c r="F47" i="1"/>
  <c r="F48" i="1"/>
  <c r="F49" i="1"/>
  <c r="F50" i="1"/>
  <c r="F51" i="1"/>
  <c r="F56" i="1"/>
  <c r="F66" i="1"/>
  <c r="F76" i="1"/>
  <c r="F81" i="1"/>
  <c r="F82" i="1"/>
  <c r="F83" i="1"/>
  <c r="F84" i="1"/>
  <c r="F85" i="1"/>
  <c r="F86" i="1"/>
  <c r="F57" i="1"/>
  <c r="F58" i="1"/>
  <c r="F59" i="1"/>
  <c r="F60" i="1"/>
  <c r="F61" i="1"/>
  <c r="F62" i="1"/>
  <c r="F63" i="1"/>
  <c r="F64" i="1"/>
  <c r="F65" i="1"/>
  <c r="F67" i="1"/>
  <c r="F68" i="1"/>
  <c r="F69" i="1"/>
  <c r="F70" i="1"/>
  <c r="F71" i="1"/>
  <c r="F72" i="1"/>
  <c r="F73" i="1"/>
  <c r="F74" i="1"/>
  <c r="F75" i="1"/>
  <c r="F77" i="1"/>
  <c r="F78" i="1"/>
  <c r="F79" i="1"/>
  <c r="F80" i="1"/>
  <c r="F339" i="1"/>
  <c r="F338" i="1"/>
  <c r="F337" i="1"/>
  <c r="F336" i="1"/>
  <c r="F321" i="1"/>
  <c r="F363" i="1"/>
  <c r="F36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52" i="1"/>
  <c r="F53" i="1"/>
  <c r="F54" i="1"/>
  <c r="F55" i="1"/>
  <c r="F409" i="1"/>
  <c r="F340" i="1"/>
  <c r="F354" i="1"/>
  <c r="F378" i="1"/>
  <c r="F390" i="1"/>
  <c r="F394" i="1"/>
  <c r="F395" i="1"/>
  <c r="F399" i="1"/>
  <c r="F405" i="1"/>
  <c r="F407" i="1"/>
  <c r="F355" i="1"/>
  <c r="F341" i="1"/>
  <c r="F343" i="1"/>
  <c r="F346" i="1"/>
  <c r="F348" i="1"/>
  <c r="F349" i="1"/>
  <c r="F350" i="1"/>
  <c r="F351" i="1"/>
  <c r="F352" i="1"/>
  <c r="F152" i="1"/>
  <c r="F163" i="1"/>
  <c r="F183" i="1"/>
  <c r="F224" i="1"/>
  <c r="F226" i="1"/>
  <c r="F94" i="1"/>
  <c r="F101" i="1"/>
  <c r="F210" i="1"/>
  <c r="F221" i="1"/>
  <c r="F238" i="1"/>
  <c r="F371" i="1"/>
  <c r="F387" i="1"/>
  <c r="F402" i="1"/>
  <c r="F359" i="1"/>
  <c r="F366" i="1"/>
  <c r="F367" i="1"/>
  <c r="F368" i="1"/>
  <c r="F369" i="1"/>
  <c r="F370" i="1"/>
  <c r="F372" i="1"/>
  <c r="F373" i="1"/>
  <c r="F374" i="1"/>
  <c r="F375" i="1"/>
  <c r="F376" i="1"/>
  <c r="F377" i="1"/>
  <c r="F379" i="1"/>
  <c r="F381" i="1"/>
  <c r="F382" i="1"/>
  <c r="F383" i="1"/>
  <c r="F384" i="1"/>
  <c r="F386" i="1"/>
  <c r="F388" i="1"/>
  <c r="F389" i="1"/>
  <c r="F391" i="1"/>
  <c r="F392" i="1"/>
  <c r="F393" i="1"/>
  <c r="F396" i="1"/>
  <c r="F398" i="1"/>
  <c r="F400" i="1"/>
  <c r="F401" i="1"/>
  <c r="F404" i="1"/>
  <c r="F406" i="1"/>
  <c r="F408" i="1"/>
  <c r="F410" i="1"/>
  <c r="F411" i="1"/>
  <c r="F414" i="1"/>
  <c r="F415" i="1"/>
  <c r="F357" i="1"/>
  <c r="F356" i="1"/>
  <c r="F344" i="1"/>
  <c r="F360" i="1"/>
  <c r="F361" i="1"/>
  <c r="F362" i="1"/>
  <c r="F365" i="1"/>
  <c r="F208" i="1"/>
  <c r="F220" i="1"/>
  <c r="F99" i="1"/>
  <c r="F102" i="1"/>
  <c r="F112" i="1"/>
  <c r="F108" i="1"/>
  <c r="F137" i="1"/>
  <c r="F88" i="1"/>
  <c r="F89" i="1"/>
  <c r="F90" i="1"/>
  <c r="F92" i="1"/>
  <c r="F93" i="1"/>
  <c r="F95" i="1"/>
  <c r="F97" i="1"/>
  <c r="F98" i="1"/>
  <c r="F100" i="1"/>
  <c r="F103" i="1"/>
  <c r="F104" i="1"/>
  <c r="F105" i="1"/>
  <c r="F106" i="1"/>
  <c r="F107" i="1"/>
  <c r="F110" i="1"/>
  <c r="F111" i="1"/>
  <c r="F113" i="1"/>
  <c r="F115" i="1"/>
  <c r="F116" i="1"/>
  <c r="F117" i="1"/>
  <c r="F118" i="1"/>
  <c r="F119" i="1"/>
  <c r="F120" i="1"/>
  <c r="F123" i="1"/>
  <c r="F124" i="1"/>
  <c r="F125" i="1"/>
  <c r="F126" i="1"/>
  <c r="F127" i="1"/>
  <c r="F128" i="1"/>
  <c r="F129" i="1"/>
  <c r="F130" i="1"/>
  <c r="F132" i="1"/>
  <c r="F134" i="1"/>
  <c r="F135" i="1"/>
  <c r="F136" i="1"/>
  <c r="F138" i="1"/>
  <c r="F140" i="1"/>
  <c r="F142" i="1"/>
  <c r="F143" i="1"/>
  <c r="F144" i="1"/>
  <c r="F145" i="1"/>
  <c r="F146" i="1"/>
  <c r="F147" i="1"/>
  <c r="F148" i="1"/>
  <c r="F149" i="1"/>
  <c r="F150" i="1"/>
  <c r="F151" i="1"/>
  <c r="F153" i="1"/>
  <c r="F155" i="1"/>
  <c r="F156" i="1"/>
  <c r="F157" i="1"/>
  <c r="F159" i="1"/>
  <c r="F160" i="1"/>
  <c r="F161" i="1"/>
  <c r="F162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9" i="1"/>
  <c r="F181" i="1"/>
  <c r="F182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1" i="1"/>
  <c r="F203" i="1"/>
  <c r="F205" i="1"/>
  <c r="F206" i="1"/>
  <c r="F209" i="1"/>
  <c r="F211" i="1"/>
  <c r="F213" i="1"/>
  <c r="F214" i="1"/>
  <c r="F216" i="1"/>
  <c r="F218" i="1"/>
  <c r="F222" i="1"/>
  <c r="F223" i="1"/>
  <c r="F225" i="1"/>
  <c r="F227" i="1"/>
  <c r="F228" i="1"/>
  <c r="F229" i="1"/>
  <c r="F232" i="1"/>
  <c r="F233" i="1"/>
  <c r="F234" i="1"/>
  <c r="F236" i="1"/>
  <c r="F237" i="1"/>
  <c r="F239" i="1"/>
  <c r="F240" i="1"/>
  <c r="F241" i="1"/>
  <c r="F242" i="1"/>
  <c r="F243" i="1"/>
  <c r="F244" i="1"/>
  <c r="F245" i="1"/>
  <c r="F248" i="1"/>
  <c r="F249" i="1"/>
  <c r="F251" i="1"/>
  <c r="F252" i="1"/>
  <c r="F253" i="1"/>
  <c r="F87" i="1"/>
  <c r="F114" i="1"/>
  <c r="F121" i="1"/>
  <c r="F122" i="1"/>
  <c r="F133" i="1"/>
  <c r="F141" i="1"/>
  <c r="F154" i="1"/>
  <c r="F178" i="1"/>
  <c r="F200" i="1"/>
  <c r="F202" i="1"/>
  <c r="F204" i="1"/>
  <c r="F215" i="1"/>
  <c r="F230" i="1"/>
  <c r="F250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271" i="1"/>
  <c r="F280" i="1"/>
  <c r="F288" i="1"/>
  <c r="F293" i="1"/>
  <c r="F299" i="1"/>
  <c r="F294" i="1"/>
  <c r="F295" i="1"/>
  <c r="F296" i="1"/>
  <c r="F306" i="1"/>
  <c r="F297" i="1"/>
  <c r="F298" i="1"/>
  <c r="F315" i="1"/>
  <c r="F272" i="1"/>
  <c r="F273" i="1"/>
  <c r="F274" i="1"/>
  <c r="F275" i="1"/>
  <c r="F316" i="1"/>
  <c r="F317" i="1"/>
  <c r="F318" i="1"/>
  <c r="F319" i="1"/>
  <c r="F276" i="1"/>
  <c r="F320" i="1"/>
  <c r="F300" i="1"/>
  <c r="F277" i="1"/>
  <c r="F301" i="1"/>
  <c r="F302" i="1"/>
  <c r="F303" i="1"/>
  <c r="F304" i="1"/>
  <c r="F278" i="1"/>
  <c r="F279" i="1"/>
  <c r="F281" i="1"/>
  <c r="F282" i="1"/>
  <c r="F283" i="1"/>
  <c r="F284" i="1"/>
  <c r="F285" i="1"/>
  <c r="F305" i="1"/>
  <c r="F286" i="1"/>
  <c r="F287" i="1"/>
  <c r="F289" i="1"/>
  <c r="F290" i="1"/>
  <c r="F307" i="1"/>
  <c r="F291" i="1"/>
  <c r="F292" i="1"/>
  <c r="F308" i="1"/>
  <c r="F309" i="1"/>
  <c r="F310" i="1"/>
  <c r="F311" i="1"/>
  <c r="F312" i="1"/>
  <c r="F313" i="1"/>
  <c r="F314" i="1"/>
  <c r="F267" i="1"/>
  <c r="F268" i="1"/>
  <c r="F269" i="1"/>
  <c r="F270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9" i="1"/>
  <c r="H180" i="1"/>
  <c r="H207" i="1"/>
  <c r="H212" i="1"/>
  <c r="H217" i="1"/>
  <c r="H219" i="1"/>
  <c r="H231" i="1"/>
  <c r="H235" i="1"/>
  <c r="H246" i="1"/>
  <c r="H247" i="1"/>
  <c r="H91" i="1"/>
  <c r="H96" i="1"/>
  <c r="H109" i="1"/>
  <c r="H139" i="1"/>
  <c r="H158" i="1"/>
  <c r="H39" i="1"/>
  <c r="H40" i="1"/>
  <c r="H41" i="1"/>
  <c r="H42" i="1"/>
  <c r="H44" i="1"/>
  <c r="H43" i="1"/>
  <c r="H46" i="1"/>
  <c r="H45" i="1"/>
  <c r="H47" i="1"/>
  <c r="H48" i="1"/>
  <c r="H49" i="1"/>
  <c r="H50" i="1"/>
  <c r="H51" i="1"/>
  <c r="H56" i="1"/>
  <c r="H66" i="1"/>
  <c r="H76" i="1"/>
  <c r="H81" i="1"/>
  <c r="H82" i="1"/>
  <c r="H83" i="1"/>
  <c r="H84" i="1"/>
  <c r="H85" i="1"/>
  <c r="H86" i="1"/>
  <c r="H57" i="1"/>
  <c r="H58" i="1"/>
  <c r="H59" i="1"/>
  <c r="H60" i="1"/>
  <c r="H61" i="1"/>
  <c r="H62" i="1"/>
  <c r="H63" i="1"/>
  <c r="H64" i="1"/>
  <c r="H65" i="1"/>
  <c r="H67" i="1"/>
  <c r="H68" i="1"/>
  <c r="H69" i="1"/>
  <c r="H70" i="1"/>
  <c r="H71" i="1"/>
  <c r="H72" i="1"/>
  <c r="H73" i="1"/>
  <c r="H74" i="1"/>
  <c r="H75" i="1"/>
  <c r="H77" i="1"/>
  <c r="H78" i="1"/>
  <c r="H79" i="1"/>
  <c r="H80" i="1"/>
  <c r="H339" i="1"/>
  <c r="H338" i="1"/>
  <c r="H337" i="1"/>
  <c r="H336" i="1"/>
  <c r="H321" i="1"/>
  <c r="H363" i="1"/>
  <c r="H36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52" i="1"/>
  <c r="H53" i="1"/>
  <c r="H54" i="1"/>
  <c r="H55" i="1"/>
  <c r="H409" i="1"/>
  <c r="H340" i="1"/>
  <c r="H354" i="1"/>
  <c r="H378" i="1"/>
  <c r="H390" i="1"/>
  <c r="H394" i="1"/>
  <c r="H395" i="1"/>
  <c r="H399" i="1"/>
  <c r="H405" i="1"/>
  <c r="H407" i="1"/>
  <c r="H355" i="1"/>
  <c r="H341" i="1"/>
  <c r="H343" i="1"/>
  <c r="H346" i="1"/>
  <c r="H348" i="1"/>
  <c r="H349" i="1"/>
  <c r="H350" i="1"/>
  <c r="H351" i="1"/>
  <c r="H352" i="1"/>
  <c r="H152" i="1"/>
  <c r="H163" i="1"/>
  <c r="H183" i="1"/>
  <c r="H224" i="1"/>
  <c r="H226" i="1"/>
  <c r="H94" i="1"/>
  <c r="H101" i="1"/>
  <c r="H210" i="1"/>
  <c r="H221" i="1"/>
  <c r="H238" i="1"/>
  <c r="H371" i="1"/>
  <c r="H387" i="1"/>
  <c r="H402" i="1"/>
  <c r="H359" i="1"/>
  <c r="H366" i="1"/>
  <c r="H367" i="1"/>
  <c r="H368" i="1"/>
  <c r="H369" i="1"/>
  <c r="H370" i="1"/>
  <c r="H372" i="1"/>
  <c r="H373" i="1"/>
  <c r="H374" i="1"/>
  <c r="H375" i="1"/>
  <c r="H376" i="1"/>
  <c r="H377" i="1"/>
  <c r="H379" i="1"/>
  <c r="H381" i="1"/>
  <c r="H382" i="1"/>
  <c r="H383" i="1"/>
  <c r="H384" i="1"/>
  <c r="H386" i="1"/>
  <c r="H388" i="1"/>
  <c r="H389" i="1"/>
  <c r="H391" i="1"/>
  <c r="H392" i="1"/>
  <c r="H393" i="1"/>
  <c r="H396" i="1"/>
  <c r="H398" i="1"/>
  <c r="H400" i="1"/>
  <c r="H401" i="1"/>
  <c r="H404" i="1"/>
  <c r="H406" i="1"/>
  <c r="H408" i="1"/>
  <c r="H410" i="1"/>
  <c r="H411" i="1"/>
  <c r="H414" i="1"/>
  <c r="H415" i="1"/>
  <c r="H357" i="1"/>
  <c r="H356" i="1"/>
  <c r="H344" i="1"/>
  <c r="H360" i="1"/>
  <c r="H361" i="1"/>
  <c r="H362" i="1"/>
  <c r="H365" i="1"/>
  <c r="H208" i="1"/>
  <c r="H220" i="1"/>
  <c r="H99" i="1"/>
  <c r="H102" i="1"/>
  <c r="H112" i="1"/>
  <c r="H108" i="1"/>
  <c r="H137" i="1"/>
  <c r="H88" i="1"/>
  <c r="H89" i="1"/>
  <c r="H90" i="1"/>
  <c r="H92" i="1"/>
  <c r="H93" i="1"/>
  <c r="H95" i="1"/>
  <c r="H97" i="1"/>
  <c r="H98" i="1"/>
  <c r="H100" i="1"/>
  <c r="H103" i="1"/>
  <c r="H104" i="1"/>
  <c r="H105" i="1"/>
  <c r="H106" i="1"/>
  <c r="H107" i="1"/>
  <c r="H110" i="1"/>
  <c r="H111" i="1"/>
  <c r="H113" i="1"/>
  <c r="H115" i="1"/>
  <c r="H116" i="1"/>
  <c r="H117" i="1"/>
  <c r="H118" i="1"/>
  <c r="H119" i="1"/>
  <c r="H120" i="1"/>
  <c r="H123" i="1"/>
  <c r="H124" i="1"/>
  <c r="H125" i="1"/>
  <c r="H126" i="1"/>
  <c r="H127" i="1"/>
  <c r="H128" i="1"/>
  <c r="H129" i="1"/>
  <c r="H130" i="1"/>
  <c r="H132" i="1"/>
  <c r="H134" i="1"/>
  <c r="H135" i="1"/>
  <c r="H136" i="1"/>
  <c r="H138" i="1"/>
  <c r="H140" i="1"/>
  <c r="H142" i="1"/>
  <c r="H143" i="1"/>
  <c r="H144" i="1"/>
  <c r="H145" i="1"/>
  <c r="H146" i="1"/>
  <c r="H147" i="1"/>
  <c r="H148" i="1"/>
  <c r="H149" i="1"/>
  <c r="H150" i="1"/>
  <c r="H151" i="1"/>
  <c r="H153" i="1"/>
  <c r="H155" i="1"/>
  <c r="H156" i="1"/>
  <c r="H157" i="1"/>
  <c r="H159" i="1"/>
  <c r="H160" i="1"/>
  <c r="H161" i="1"/>
  <c r="H162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9" i="1"/>
  <c r="H181" i="1"/>
  <c r="H182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1" i="1"/>
  <c r="H203" i="1"/>
  <c r="H205" i="1"/>
  <c r="H206" i="1"/>
  <c r="H209" i="1"/>
  <c r="H211" i="1"/>
  <c r="H213" i="1"/>
  <c r="H214" i="1"/>
  <c r="H216" i="1"/>
  <c r="H218" i="1"/>
  <c r="H222" i="1"/>
  <c r="H223" i="1"/>
  <c r="H225" i="1"/>
  <c r="H227" i="1"/>
  <c r="H228" i="1"/>
  <c r="H229" i="1"/>
  <c r="H232" i="1"/>
  <c r="H233" i="1"/>
  <c r="H234" i="1"/>
  <c r="H236" i="1"/>
  <c r="H237" i="1"/>
  <c r="H239" i="1"/>
  <c r="H240" i="1"/>
  <c r="H241" i="1"/>
  <c r="H242" i="1"/>
  <c r="H243" i="1"/>
  <c r="H244" i="1"/>
  <c r="H245" i="1"/>
  <c r="H248" i="1"/>
  <c r="H249" i="1"/>
  <c r="H251" i="1"/>
  <c r="H252" i="1"/>
  <c r="H253" i="1"/>
  <c r="H87" i="1"/>
  <c r="H114" i="1"/>
  <c r="H121" i="1"/>
  <c r="H122" i="1"/>
  <c r="H133" i="1"/>
  <c r="H141" i="1"/>
  <c r="H154" i="1"/>
  <c r="H178" i="1"/>
  <c r="H200" i="1"/>
  <c r="H202" i="1"/>
  <c r="H204" i="1"/>
  <c r="H215" i="1"/>
  <c r="H230" i="1"/>
  <c r="H250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271" i="1"/>
  <c r="H280" i="1"/>
  <c r="H288" i="1"/>
  <c r="H293" i="1"/>
  <c r="H299" i="1"/>
  <c r="H294" i="1"/>
  <c r="H295" i="1"/>
  <c r="H296" i="1"/>
  <c r="H306" i="1"/>
  <c r="H297" i="1"/>
  <c r="H298" i="1"/>
  <c r="H315" i="1"/>
  <c r="H272" i="1"/>
  <c r="H273" i="1"/>
  <c r="H274" i="1"/>
  <c r="H275" i="1"/>
  <c r="H316" i="1"/>
  <c r="H317" i="1"/>
  <c r="H318" i="1"/>
  <c r="H319" i="1"/>
  <c r="H276" i="1"/>
  <c r="H320" i="1"/>
  <c r="H300" i="1"/>
  <c r="H277" i="1"/>
  <c r="H301" i="1"/>
  <c r="H302" i="1"/>
  <c r="H303" i="1"/>
  <c r="H304" i="1"/>
  <c r="H278" i="1"/>
  <c r="H279" i="1"/>
  <c r="H281" i="1"/>
  <c r="H282" i="1"/>
  <c r="H283" i="1"/>
  <c r="H284" i="1"/>
  <c r="H285" i="1"/>
  <c r="H305" i="1"/>
  <c r="H286" i="1"/>
  <c r="H287" i="1"/>
  <c r="H289" i="1"/>
  <c r="H290" i="1"/>
  <c r="H307" i="1"/>
  <c r="H291" i="1"/>
  <c r="H292" i="1"/>
  <c r="H308" i="1"/>
  <c r="H309" i="1"/>
  <c r="H310" i="1"/>
  <c r="H311" i="1"/>
  <c r="H312" i="1"/>
  <c r="H313" i="1"/>
  <c r="H314" i="1"/>
  <c r="H267" i="1"/>
  <c r="H268" i="1"/>
  <c r="H269" i="1"/>
  <c r="H270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34" i="1"/>
  <c r="H35" i="1"/>
  <c r="H36" i="1"/>
  <c r="H37" i="1"/>
  <c r="H38" i="1"/>
  <c r="H2" i="1"/>
  <c r="H345" i="1"/>
  <c r="H353" i="1"/>
  <c r="H380" i="1"/>
  <c r="H385" i="1"/>
  <c r="H397" i="1"/>
  <c r="H403" i="1"/>
  <c r="H412" i="1"/>
  <c r="H413" i="1"/>
  <c r="H358" i="1"/>
  <c r="H342" i="1"/>
  <c r="H347" i="1"/>
  <c r="H131" i="1"/>
  <c r="H30" i="1"/>
  <c r="H31" i="1"/>
  <c r="H32" i="1"/>
  <c r="H33" i="1"/>
  <c r="H29" i="1"/>
  <c r="C11" i="2" l="1"/>
  <c r="C7" i="2"/>
  <c r="C6" i="2"/>
  <c r="C5" i="2"/>
  <c r="C4" i="2"/>
  <c r="C3" i="2"/>
  <c r="C8" i="2" l="1"/>
</calcChain>
</file>

<file path=xl/sharedStrings.xml><?xml version="1.0" encoding="utf-8"?>
<sst xmlns="http://schemas.openxmlformats.org/spreadsheetml/2006/main" count="2551" uniqueCount="840">
  <si>
    <t>Project</t>
  </si>
  <si>
    <t>Path</t>
  </si>
  <si>
    <t>Filename</t>
  </si>
  <si>
    <t>#id</t>
  </si>
  <si>
    <t>#personalID</t>
  </si>
  <si>
    <t>#sex</t>
  </si>
  <si>
    <t>age</t>
  </si>
  <si>
    <t>MOCA</t>
  </si>
  <si>
    <t>education type</t>
  </si>
  <si>
    <t>education length</t>
  </si>
  <si>
    <t>memory z-score</t>
  </si>
  <si>
    <t>visuo-spatial z-score</t>
  </si>
  <si>
    <t>attention z-score</t>
  </si>
  <si>
    <t>executive function z-score</t>
  </si>
  <si>
    <t>GDS</t>
  </si>
  <si>
    <t>COBEN</t>
  </si>
  <si>
    <t>/CEITEC/speech</t>
  </si>
  <si>
    <t>COBEN_ACOUSTIC_VZ_AD01.wav</t>
  </si>
  <si>
    <t>CZCOBEN033</t>
  </si>
  <si>
    <t>CZCOBENAD2001</t>
  </si>
  <si>
    <t>M</t>
  </si>
  <si>
    <t>MCI-AD</t>
  </si>
  <si>
    <t>COBEN_ACOUSTIC_IK_AD02.wav</t>
  </si>
  <si>
    <t>CZCOBEN034</t>
  </si>
  <si>
    <t>CZCOBENAD2002</t>
  </si>
  <si>
    <t>COBEN_ACOUSTIC_OS_AD03.wav</t>
  </si>
  <si>
    <t>CZCOBEN035</t>
  </si>
  <si>
    <t>CZCOBENAD1003</t>
  </si>
  <si>
    <t>F</t>
  </si>
  <si>
    <t>COBEN_ACOUSTIC_DV_AD04.wav</t>
  </si>
  <si>
    <t>CZCOBEN036</t>
  </si>
  <si>
    <t>CZCOBENAD1004</t>
  </si>
  <si>
    <t>COBEN_ACOUSTIC_HS_AD06.wav</t>
  </si>
  <si>
    <t>CZCOBEN038</t>
  </si>
  <si>
    <t>CZCOBENAD1006</t>
  </si>
  <si>
    <t>COBEN_ACOUSTIC_MM_AD07.wav</t>
  </si>
  <si>
    <t>CZCOBEN039</t>
  </si>
  <si>
    <t>CZCOBENAD2007</t>
  </si>
  <si>
    <t>COBEN_ACOUSTIC_ES_AD08.wav</t>
  </si>
  <si>
    <t>CZCOBEN040</t>
  </si>
  <si>
    <t>CZCOBENAD2008</t>
  </si>
  <si>
    <t>COBEN_ACOUSTIC_MS_AD10.wav</t>
  </si>
  <si>
    <t>CZCOBEN042</t>
  </si>
  <si>
    <t>CZCOBENAD1010</t>
  </si>
  <si>
    <t>COBEN_ACOUSTIC_KJ_AD13.wav</t>
  </si>
  <si>
    <t>CZCOBEN044</t>
  </si>
  <si>
    <t>CZCOBENAD1013</t>
  </si>
  <si>
    <t>COBEN_ACOUSTIC_DM_AD15.wav</t>
  </si>
  <si>
    <t>CZCOBEN046</t>
  </si>
  <si>
    <t>CZCOBENAD1015</t>
  </si>
  <si>
    <t>COBEN_ACOUSTIC_BB_AD16.wav</t>
  </si>
  <si>
    <t>CZCOBEN000</t>
  </si>
  <si>
    <t>CZCOBENAD2009</t>
  </si>
  <si>
    <t>preDLB</t>
  </si>
  <si>
    <t>/CEITEC/speech/DLB</t>
  </si>
  <si>
    <t>HC-2.wav</t>
  </si>
  <si>
    <t>HC-2#1</t>
  </si>
  <si>
    <t>HC-2</t>
  </si>
  <si>
    <t>HC-4.wav</t>
  </si>
  <si>
    <t>HC-4#1</t>
  </si>
  <si>
    <t>HC-4</t>
  </si>
  <si>
    <t>pre-LBD-35.wav</t>
  </si>
  <si>
    <t>pre-LBD-35#1</t>
  </si>
  <si>
    <t>pre-LBD-35</t>
  </si>
  <si>
    <t>pre-LBD-47.wav</t>
  </si>
  <si>
    <t>pre-LBD-47#1</t>
  </si>
  <si>
    <t>pre-LBD-47</t>
  </si>
  <si>
    <t>pre-LBD-68.wav</t>
  </si>
  <si>
    <t>pre-LBD-68#1</t>
  </si>
  <si>
    <t>pre-LBD-68</t>
  </si>
  <si>
    <t>pre-LBD-80.wav</t>
  </si>
  <si>
    <t>pre-LBD-80#1</t>
  </si>
  <si>
    <t>pre-LBD-80</t>
  </si>
  <si>
    <t>pre-LBD-95.wav</t>
  </si>
  <si>
    <t>pre-LBD-95#1</t>
  </si>
  <si>
    <t>pre-LBD-95</t>
  </si>
  <si>
    <t>pre-LBD-97.wav</t>
  </si>
  <si>
    <t>pre-LBD-97#1</t>
  </si>
  <si>
    <t>pre-LBD-97</t>
  </si>
  <si>
    <t>pre-LBD-104.wav</t>
  </si>
  <si>
    <t>pre-LBD-104#1</t>
  </si>
  <si>
    <t>pre-LBD-104</t>
  </si>
  <si>
    <t>HC-14.wav</t>
  </si>
  <si>
    <t>HC-14#1</t>
  </si>
  <si>
    <t>HC-14</t>
  </si>
  <si>
    <t>HC-22.wav</t>
  </si>
  <si>
    <t>HC-22#1</t>
  </si>
  <si>
    <t>HC-22</t>
  </si>
  <si>
    <t>Kardiovize</t>
  </si>
  <si>
    <t>/CEITEC/speech/Kardiovize</t>
  </si>
  <si>
    <t>Kardiovize_168.wav</t>
  </si>
  <si>
    <t>Kardiovize_243.wav</t>
  </si>
  <si>
    <t>Kardiovize_358.wav</t>
  </si>
  <si>
    <t>Kardiovize_417.wav</t>
  </si>
  <si>
    <t>Kardiovize_482.wav</t>
  </si>
  <si>
    <t>Kardiovize_505.wav</t>
  </si>
  <si>
    <t>Kardiovize_709.wav</t>
  </si>
  <si>
    <t>Kardiovize_767.wav</t>
  </si>
  <si>
    <t>Kardiovize_865.wav</t>
  </si>
  <si>
    <t>Kardiovize_867.wav</t>
  </si>
  <si>
    <t>Kardiovize_1120.wav</t>
  </si>
  <si>
    <t>Kardiovize_1152.wav</t>
  </si>
  <si>
    <t>Kardiovize_1300.wav</t>
  </si>
  <si>
    <t>Kardiovize_1743.wav</t>
  </si>
  <si>
    <t>Kardiovize_1957.wav</t>
  </si>
  <si>
    <t>COBEN_ACOUSTIC_MF_PD01.wav</t>
  </si>
  <si>
    <t>CZCOBEN047</t>
  </si>
  <si>
    <t>CZCOBENP1001</t>
  </si>
  <si>
    <t>PD-MCI</t>
  </si>
  <si>
    <t>COBEN_ACOUSTIC_IC_PD03.wav</t>
  </si>
  <si>
    <t>CZCOBEN048</t>
  </si>
  <si>
    <t>CZCOBENP1003</t>
  </si>
  <si>
    <t>COBEN_ACOUSTIC_EK_PD06.wav</t>
  </si>
  <si>
    <t>CZCOBEN049</t>
  </si>
  <si>
    <t>CZCOBENP1006</t>
  </si>
  <si>
    <t>PD-NC</t>
  </si>
  <si>
    <t>COBEN_ACOUSTIC_MS_PD07.wav</t>
  </si>
  <si>
    <t>CZCOBEN050</t>
  </si>
  <si>
    <t>CZCOBENP2007</t>
  </si>
  <si>
    <t>COBEN_ACOUSTIC_JS_PD10.wav</t>
  </si>
  <si>
    <t>CZCOBEN053</t>
  </si>
  <si>
    <t>CZCOBENP2010</t>
  </si>
  <si>
    <t>COBEN_ACOUSTIC_JB_PD09.wav</t>
  </si>
  <si>
    <t>CZCOBEN052</t>
  </si>
  <si>
    <t>CZCOBENP2009</t>
  </si>
  <si>
    <t>COBEN_ACOUSTIC_JD_PD14.wav</t>
  </si>
  <si>
    <t>CZCOBEN055</t>
  </si>
  <si>
    <t>CZCOBENP1014</t>
  </si>
  <si>
    <t>COBEN_ACOUSTIC_JJ_PD12.wav</t>
  </si>
  <si>
    <t>CZCOBEN054</t>
  </si>
  <si>
    <t>CZCOBENP2012</t>
  </si>
  <si>
    <t>COBEN_ACOUSTIC_EP_PD16.wav</t>
  </si>
  <si>
    <t>CZCOBEN057</t>
  </si>
  <si>
    <t>CZCOBENP1016</t>
  </si>
  <si>
    <t>COBEN_ACOUSTIC_MV_PD17.wav</t>
  </si>
  <si>
    <t>CZCOBEN058</t>
  </si>
  <si>
    <t>CZCOBENP1017</t>
  </si>
  <si>
    <t>COBEN_ACOUSTIC_LZ_PD18.wav</t>
  </si>
  <si>
    <t>CZCOBEN059</t>
  </si>
  <si>
    <t>CZCOBENP2018</t>
  </si>
  <si>
    <t>COBEN_ACOUSTIC_LR_PD19.wav</t>
  </si>
  <si>
    <t>CZCOBEN060</t>
  </si>
  <si>
    <t>CZCOBENP1019</t>
  </si>
  <si>
    <t>COBEN_ACOUSTIC_IV_PD20.wav</t>
  </si>
  <si>
    <t>CZCOBEN061</t>
  </si>
  <si>
    <t>CZCOBENP1020</t>
  </si>
  <si>
    <t>HIDI LONG</t>
  </si>
  <si>
    <t>/CEITEC/speech/HIDI_LONG</t>
  </si>
  <si>
    <t>HIDI_LONG_neMRI_JJ_pred_stim.wav</t>
  </si>
  <si>
    <t>AZV2P2001</t>
  </si>
  <si>
    <t>HIDI_LONG_neMRI_ON_pred_stim.wav</t>
  </si>
  <si>
    <t>AZV2P1001</t>
  </si>
  <si>
    <t>HIDI_LONG_neMRI_JR_pred_stim.wav</t>
  </si>
  <si>
    <t>AZV2P1002</t>
  </si>
  <si>
    <t>HIDI_LONG_neMRI_PV_pred_stim.wav</t>
  </si>
  <si>
    <t>AZV2P1003</t>
  </si>
  <si>
    <t>HIDI_LONG_neMRI_JZ_pred_stim.wav</t>
  </si>
  <si>
    <t>AZV2P2002</t>
  </si>
  <si>
    <t>HIDI_LONG_neMRI_JK_pred_stim.wav</t>
  </si>
  <si>
    <t>AZV2P1004</t>
  </si>
  <si>
    <t>HIDI_LONG_neMRI_JM_pred_stim.wav</t>
  </si>
  <si>
    <t>AZV2P1005</t>
  </si>
  <si>
    <t>HIDI_LONG_neMRI_JKR_pred_stim.wav</t>
  </si>
  <si>
    <t>AZV2P1006</t>
  </si>
  <si>
    <t>HIDI_LONG_neMRI_PM_pred_stim.wav</t>
  </si>
  <si>
    <t>AZV2P1007</t>
  </si>
  <si>
    <t>HIDI_LONG_neMRI_KM_pred_stim.wav</t>
  </si>
  <si>
    <t>AZV2P2003</t>
  </si>
  <si>
    <t>HIDI_LONG_neMRI_KK_pred_stim.wav</t>
  </si>
  <si>
    <t>AZV2P1008</t>
  </si>
  <si>
    <t>HIDI_LONG_neMRI_PVE_pred_stim.wav</t>
  </si>
  <si>
    <t>AZV2P1009</t>
  </si>
  <si>
    <t>HIDI_LONG_neMRI_ZW_pred_stim.wav</t>
  </si>
  <si>
    <t>AZV2P1010</t>
  </si>
  <si>
    <t>HIDI_LONG_neMRI_RP_pred_stim.wav</t>
  </si>
  <si>
    <t>AZV2P1012</t>
  </si>
  <si>
    <t>HIDI_LONG_neMRI_JKRU_pred_stim.wav</t>
  </si>
  <si>
    <t>AZV2P2004</t>
  </si>
  <si>
    <t>HIDI_LONG_neMRI_DM_pred_stim.wav</t>
  </si>
  <si>
    <t>AZV2P1013</t>
  </si>
  <si>
    <t>HIDI_LONG_neMRI_JMA_pred_stim.wav</t>
  </si>
  <si>
    <t>AZV2P1014</t>
  </si>
  <si>
    <t>HIDI_LONG_neMRI_RR_pred_stim.wav</t>
  </si>
  <si>
    <t>AZV2P1015</t>
  </si>
  <si>
    <t>HIDI_LONG_neMRI_MK_pred_stim.wav</t>
  </si>
  <si>
    <t>AZV2P2005</t>
  </si>
  <si>
    <t>HIDI_LONG_neMRI_ZT_pred_stim.wav</t>
  </si>
  <si>
    <t>AZV2P1016</t>
  </si>
  <si>
    <t>HIDI_LONG_neMRI_KKI_pred_stim.wav</t>
  </si>
  <si>
    <t>AZV2P1017</t>
  </si>
  <si>
    <t>HIDI_LONG_neMRI_MKY_pred_stim.wav</t>
  </si>
  <si>
    <t>AZV2P1019</t>
  </si>
  <si>
    <t>HIDI_LONG_neMRI_KJ_pred_stim.wav</t>
  </si>
  <si>
    <t>AZV2P1020</t>
  </si>
  <si>
    <t>HIDI_LONG_neMRI_MP_pred_stim.wav</t>
  </si>
  <si>
    <t>AZV2P2006</t>
  </si>
  <si>
    <t>HIDI_LONG_neMRI_JC_pred_stim.wav</t>
  </si>
  <si>
    <t>AZV2P1021</t>
  </si>
  <si>
    <t>HIDI_LONG_neMRI_PH_pred_stim.wav</t>
  </si>
  <si>
    <t>AZV2P1022</t>
  </si>
  <si>
    <t>HIDI_LONG_neMRI_HH_pred_stim.wav</t>
  </si>
  <si>
    <t>AZV2P2007</t>
  </si>
  <si>
    <t>HIDI_LONG_neMRI_VV_pred_stim.wav</t>
  </si>
  <si>
    <t>AZV2P1023</t>
  </si>
  <si>
    <t>HIDI_LONG_neMRI_LK_pred_stim.wav</t>
  </si>
  <si>
    <t>AZV2P1024</t>
  </si>
  <si>
    <t>HIDI_LONG_neMRI_JB_pred_stim.wav</t>
  </si>
  <si>
    <t>AZV2P2008</t>
  </si>
  <si>
    <t>HIDI_LONG_neMRI_IP_pred_stim.wav</t>
  </si>
  <si>
    <t>AZV2P2009</t>
  </si>
  <si>
    <t>PD_HOME_pilot</t>
  </si>
  <si>
    <t>/CEITEC/speech/AZV_TDCS-pilot</t>
  </si>
  <si>
    <t>povazanovapredstim1.wav</t>
  </si>
  <si>
    <t>povazanovapredstim1</t>
  </si>
  <si>
    <t>hriczopredstim1.wav</t>
  </si>
  <si>
    <t>hriczopredstim1</t>
  </si>
  <si>
    <t>hanacekpredstim1.wav</t>
  </si>
  <si>
    <t>hanacekpredstim1</t>
  </si>
  <si>
    <t>PD_HOME_long</t>
  </si>
  <si>
    <t>/CEITEC/speech/AZV_PD_HOME_LONG</t>
  </si>
  <si>
    <t>PDHOME9_RS_pred_stim.wav</t>
  </si>
  <si>
    <t>PDHOME9</t>
  </si>
  <si>
    <t>PDHOME10_JZ_pred_stim.wav</t>
  </si>
  <si>
    <t>PDHOME10</t>
  </si>
  <si>
    <t>pre-LBD-115.wav</t>
  </si>
  <si>
    <t>pre-LBD-115#1</t>
  </si>
  <si>
    <t>pre-LBD-115</t>
  </si>
  <si>
    <t>pre-LBD-116.wav</t>
  </si>
  <si>
    <t>pre-LBD-116#1</t>
  </si>
  <si>
    <t>pre-LBD-116</t>
  </si>
  <si>
    <t>COBEN_ACOUSTIC_PK_HC02.wav</t>
  </si>
  <si>
    <t>CZCOBEN002</t>
  </si>
  <si>
    <t>CZCOBENK2002</t>
  </si>
  <si>
    <t>HC</t>
  </si>
  <si>
    <t>COBEN_ACOUSTIC_VS_HC05.wav</t>
  </si>
  <si>
    <t>CZCOBEN004</t>
  </si>
  <si>
    <t>CZCOBENK1005</t>
  </si>
  <si>
    <t>COBEN_ACOUSTIC_MN_HC06.wav</t>
  </si>
  <si>
    <t>CZCOBEN005</t>
  </si>
  <si>
    <t>CZCOBENK1006</t>
  </si>
  <si>
    <t>COBEN_ACOUSTIC_VP_HC09.wav</t>
  </si>
  <si>
    <t>CZCOBEN007</t>
  </si>
  <si>
    <t>CZCOBENK2009</t>
  </si>
  <si>
    <t>COBEN_ACOUSTIC_MH_HC10.wav</t>
  </si>
  <si>
    <t>CZCOBEN008</t>
  </si>
  <si>
    <t>CZCOBENK1010</t>
  </si>
  <si>
    <t>COBEN_ACOUSTIC_HZ_HC13.wav</t>
  </si>
  <si>
    <t>CZCOBEN009</t>
  </si>
  <si>
    <t>CZCOBENK1013</t>
  </si>
  <si>
    <t>COBEN_ACOUSTIC_JJ_HC14.wav</t>
  </si>
  <si>
    <t>CZCOBEN010</t>
  </si>
  <si>
    <t>CZCOBENK2014</t>
  </si>
  <si>
    <t>COBEN_ACOUSTIC_JS_HC18.wav</t>
  </si>
  <si>
    <t>CZCOBEN011</t>
  </si>
  <si>
    <t>CZCOBENK1018</t>
  </si>
  <si>
    <t>COBEN_ACOUSTIC_RL_HC20.wav</t>
  </si>
  <si>
    <t>CZCOBEN012</t>
  </si>
  <si>
    <t>CZCOBENK1020</t>
  </si>
  <si>
    <t>COBEN_ACOUSTIC_HJ_HC21.wav</t>
  </si>
  <si>
    <t>CZCOBEN013</t>
  </si>
  <si>
    <t>CZCOBENK1021</t>
  </si>
  <si>
    <t>COBEN_ACOUSTIC_JB_HC22.wav</t>
  </si>
  <si>
    <t>CZCOBEN014</t>
  </si>
  <si>
    <t>CZCOBENK1022</t>
  </si>
  <si>
    <t>COBEN_ACOUSTIC_JS_HC24.wav</t>
  </si>
  <si>
    <t>CZCOBEN015</t>
  </si>
  <si>
    <t>CZCOBENK2024</t>
  </si>
  <si>
    <t>COBEN_ACOUSTIC_IK_HC25.wav</t>
  </si>
  <si>
    <t>CZCOBEN016</t>
  </si>
  <si>
    <t>CZCOBENK1025</t>
  </si>
  <si>
    <t>COBEN_ACOUSTIC_IK_HC26.wav</t>
  </si>
  <si>
    <t>CZCOBEN017</t>
  </si>
  <si>
    <t>CZCOBENK1026</t>
  </si>
  <si>
    <t>COBEN_ACOUSTIC_IZ_HC28.wav</t>
  </si>
  <si>
    <t>CZCOBEN018</t>
  </si>
  <si>
    <t>CZCOBENK1028</t>
  </si>
  <si>
    <t>COBEN_ACOUSTIC_HJ_HC29.wav</t>
  </si>
  <si>
    <t>CZCOBEN019</t>
  </si>
  <si>
    <t>CZCOBENK1029</t>
  </si>
  <si>
    <t>COBEN_ACOUSTIC_PJ_HC32.wav</t>
  </si>
  <si>
    <t>CZCOBEN021</t>
  </si>
  <si>
    <t>CZCOBENK2032</t>
  </si>
  <si>
    <t>COBEN_ACOUSTIC_MF_HC33.wav</t>
  </si>
  <si>
    <t>CZCOBEN022</t>
  </si>
  <si>
    <t>CZCOBENK1033</t>
  </si>
  <si>
    <t>COBEN_ACOUSTIC_MT_HC34.wav</t>
  </si>
  <si>
    <t>CZCOBEN023</t>
  </si>
  <si>
    <t>CZCOBENK2034</t>
  </si>
  <si>
    <t>COBEN_ACOUSTIC_EH_HC35.wav</t>
  </si>
  <si>
    <t>CZCOBEN024</t>
  </si>
  <si>
    <t>CZCOBENK1035</t>
  </si>
  <si>
    <t>COBEN_ACOUSTIC_DS_HC36.wav</t>
  </si>
  <si>
    <t>CZCOBEN025</t>
  </si>
  <si>
    <t>CZCOBENK1036</t>
  </si>
  <si>
    <t>COBEN_ACOUSTIC_FG_HC38.wav</t>
  </si>
  <si>
    <t>CZCOBEN026</t>
  </si>
  <si>
    <t>CZCOBENK2038</t>
  </si>
  <si>
    <t>COBEN_ACOUSTIC_VK_HC39.wav</t>
  </si>
  <si>
    <t>CZCOBEN027</t>
  </si>
  <si>
    <t>CZCOBENK2039</t>
  </si>
  <si>
    <t>COBEN_ACOUSTIC_MN_HC41.wav</t>
  </si>
  <si>
    <t>CZCOBEN029</t>
  </si>
  <si>
    <t>CZCOBENK1041</t>
  </si>
  <si>
    <t>COBEN_ACOUSTIC_JK_HC42.wav</t>
  </si>
  <si>
    <t>CZCOBEN030</t>
  </si>
  <si>
    <t>CZCOBENK1042</t>
  </si>
  <si>
    <t>COBEN_ACOUSTIC_VV_HC44.wav</t>
  </si>
  <si>
    <t>CZCOBEN032</t>
  </si>
  <si>
    <t>CZCOBENK1044</t>
  </si>
  <si>
    <t>COBEN_ACOUSTIC_LM_HC12.wav</t>
  </si>
  <si>
    <t>CZCOBEN062</t>
  </si>
  <si>
    <t>CZCOBENK1012</t>
  </si>
  <si>
    <t>COBEN_ACOUSTIC_HS_HC37.wav</t>
  </si>
  <si>
    <t>CZCOBEN063</t>
  </si>
  <si>
    <t>CZCOBENK1037</t>
  </si>
  <si>
    <t>COBEN_ACOUSTIC_VV_HCD1.wav</t>
  </si>
  <si>
    <t>CZCOBEN064</t>
  </si>
  <si>
    <t>CZCOBENK10D1</t>
  </si>
  <si>
    <t>COBEN_ACOUSTIC_MJ_HCD2.wav</t>
  </si>
  <si>
    <t>CZCOBEN065</t>
  </si>
  <si>
    <t>CZCOBENK10D2</t>
  </si>
  <si>
    <t>pre-LBD-9.wav</t>
  </si>
  <si>
    <t>pre-LBD-9#1</t>
  </si>
  <si>
    <t>pre-LBD-9</t>
  </si>
  <si>
    <t>HC-1.wav</t>
  </si>
  <si>
    <t>HC-1#1</t>
  </si>
  <si>
    <t>HC-1</t>
  </si>
  <si>
    <t>HC-6.wav</t>
  </si>
  <si>
    <t>HC-6#1</t>
  </si>
  <si>
    <t>HC-6</t>
  </si>
  <si>
    <t>pre-LBD-33.wav</t>
  </si>
  <si>
    <t>pre-LBD-33#1</t>
  </si>
  <si>
    <t>pre-LBD-33</t>
  </si>
  <si>
    <t>pre-LBD-53.wav</t>
  </si>
  <si>
    <t>pre-LBD-53#1</t>
  </si>
  <si>
    <t>pre-LBD-53</t>
  </si>
  <si>
    <t>pre-LBD-61.wav</t>
  </si>
  <si>
    <t>pre-LBD-61#1</t>
  </si>
  <si>
    <t>pre-LBD-61</t>
  </si>
  <si>
    <t>pre-LBD-62.wav</t>
  </si>
  <si>
    <t>pre-LBD-62#1</t>
  </si>
  <si>
    <t>pre-LBD-62</t>
  </si>
  <si>
    <t>pre-LBD-70.wav</t>
  </si>
  <si>
    <t>pre-LBD-70#1</t>
  </si>
  <si>
    <t>pre-LBD-70</t>
  </si>
  <si>
    <t>pre-LBD-84.wav</t>
  </si>
  <si>
    <t>pre-LBD-84#1</t>
  </si>
  <si>
    <t>pre-LBD-84</t>
  </si>
  <si>
    <t>pre-LBD-88.wav</t>
  </si>
  <si>
    <t>pre-LBD-88#1</t>
  </si>
  <si>
    <t>pre-LBD-88</t>
  </si>
  <si>
    <t>HC-8.wav</t>
  </si>
  <si>
    <t>HC-8#1</t>
  </si>
  <si>
    <t>HC-8</t>
  </si>
  <si>
    <t>HC-13.wav</t>
  </si>
  <si>
    <t>HC-13#1</t>
  </si>
  <si>
    <t>HC-13</t>
  </si>
  <si>
    <t>HC-17.wav</t>
  </si>
  <si>
    <t>HC-17#1</t>
  </si>
  <si>
    <t>HC-17</t>
  </si>
  <si>
    <t>HC-21.wav</t>
  </si>
  <si>
    <t>HC-21#1</t>
  </si>
  <si>
    <t>HC-21</t>
  </si>
  <si>
    <t>HC-23.wav</t>
  </si>
  <si>
    <t>HC-23#1</t>
  </si>
  <si>
    <t>HC-23</t>
  </si>
  <si>
    <t>HC-24.wav</t>
  </si>
  <si>
    <t>HC-24#1</t>
  </si>
  <si>
    <t>HC-24</t>
  </si>
  <si>
    <t>HC-25.wav</t>
  </si>
  <si>
    <t>HC-25#1</t>
  </si>
  <si>
    <t>HC-25</t>
  </si>
  <si>
    <t>HC-28.wav</t>
  </si>
  <si>
    <t>HC-28#1</t>
  </si>
  <si>
    <t>HC-28</t>
  </si>
  <si>
    <t>HC-34.wav</t>
  </si>
  <si>
    <t>HC-34#1</t>
  </si>
  <si>
    <t>HC-34</t>
  </si>
  <si>
    <t>Kardiovize_188.wav</t>
  </si>
  <si>
    <t>Kardiovize_211.wav</t>
  </si>
  <si>
    <t>Kardiovize_246.wav</t>
  </si>
  <si>
    <t>Kardiovize_548.wav</t>
  </si>
  <si>
    <t>Kardiovize_618.wav</t>
  </si>
  <si>
    <t>Kardiovize_1141.wav</t>
  </si>
  <si>
    <t>Kardiovize_1210.wav</t>
  </si>
  <si>
    <t>Kardiovize_401.wav</t>
  </si>
  <si>
    <t>Kardiovize_507.wav</t>
  </si>
  <si>
    <t>Kardiovize_803.wav</t>
  </si>
  <si>
    <t>pre-LBD-2.wav</t>
  </si>
  <si>
    <t>pre-LBD-2#1</t>
  </si>
  <si>
    <t>pre-LBD-2</t>
  </si>
  <si>
    <t>MCI-LB</t>
  </si>
  <si>
    <t>pre-LBD-5.wav</t>
  </si>
  <si>
    <t>pre-LBD-5#1</t>
  </si>
  <si>
    <t>pre-LBD-5</t>
  </si>
  <si>
    <t>pre-LBD-8.wav</t>
  </si>
  <si>
    <t>pre-LBD-8#1</t>
  </si>
  <si>
    <t>pre-LBD-8</t>
  </si>
  <si>
    <t>pre-LBD-11.wav</t>
  </si>
  <si>
    <t>pre-LBD-11#1</t>
  </si>
  <si>
    <t>pre-LBD-11</t>
  </si>
  <si>
    <t>pre-LBD-13.wav</t>
  </si>
  <si>
    <t>pre-LBD-13#1</t>
  </si>
  <si>
    <t>pre-LBD-13</t>
  </si>
  <si>
    <t>pre-LBD-15.wav</t>
  </si>
  <si>
    <t>pre-LBD-15#1</t>
  </si>
  <si>
    <t>pre-LBD-15</t>
  </si>
  <si>
    <t>pre-LBD-16.wav</t>
  </si>
  <si>
    <t>pre-LBD-16#1</t>
  </si>
  <si>
    <t>pre-LBD-16</t>
  </si>
  <si>
    <t>pre-LBD-17.wav</t>
  </si>
  <si>
    <t>pre-LBD-17#1</t>
  </si>
  <si>
    <t>pre-LBD-17</t>
  </si>
  <si>
    <t>pre-LBD-18.wav</t>
  </si>
  <si>
    <t>pre-LBD-18#1</t>
  </si>
  <si>
    <t>pre-LBD-18</t>
  </si>
  <si>
    <t>pre-LBD-24.wav</t>
  </si>
  <si>
    <t>pre-LBD-24#1</t>
  </si>
  <si>
    <t>pre-LBD-24</t>
  </si>
  <si>
    <t>pre-LBD-28.wav</t>
  </si>
  <si>
    <t>pre-LBD-28#1</t>
  </si>
  <si>
    <t>pre-LBD-28</t>
  </si>
  <si>
    <t>pre-LBD-29.wav</t>
  </si>
  <si>
    <t>pre-LBD-29#1</t>
  </si>
  <si>
    <t>pre-LBD-29</t>
  </si>
  <si>
    <t>pre-LBD-30.wav</t>
  </si>
  <si>
    <t>pre-LBD-30#1</t>
  </si>
  <si>
    <t>pre-LBD-30</t>
  </si>
  <si>
    <t>pre-LBD-31.wav</t>
  </si>
  <si>
    <t>pre-LBD-31#1</t>
  </si>
  <si>
    <t>pre-LBD-31</t>
  </si>
  <si>
    <t>pre-LBD-32.wav</t>
  </si>
  <si>
    <t>pre-LBD-32#1</t>
  </si>
  <si>
    <t>pre-LBD-32</t>
  </si>
  <si>
    <t>pre-LBD-34.wav</t>
  </si>
  <si>
    <t>pre-LBD-34#1</t>
  </si>
  <si>
    <t>pre-LBD-34</t>
  </si>
  <si>
    <t>pre-LBD-37.wav</t>
  </si>
  <si>
    <t>pre-LBD-37#1</t>
  </si>
  <si>
    <t>pre-LBD-37</t>
  </si>
  <si>
    <t>pre-LBD-41.wav</t>
  </si>
  <si>
    <t>pre-LBD-41#1</t>
  </si>
  <si>
    <t>pre-LBD-41</t>
  </si>
  <si>
    <t>pre-LBD-44.wav</t>
  </si>
  <si>
    <t>pre-LBD-44#1</t>
  </si>
  <si>
    <t>pre-LBD-44</t>
  </si>
  <si>
    <t>pre-LBD-45.wav</t>
  </si>
  <si>
    <t>pre-LBD-45#1</t>
  </si>
  <si>
    <t>pre-LBD-45</t>
  </si>
  <si>
    <t>pre-LBD-49.wav</t>
  </si>
  <si>
    <t>pre-LBD-49#1</t>
  </si>
  <si>
    <t>pre-LBD-49</t>
  </si>
  <si>
    <t>pre-LBD-51.wav</t>
  </si>
  <si>
    <t>pre-LBD-51#1</t>
  </si>
  <si>
    <t>pre-LBD-51</t>
  </si>
  <si>
    <t>pre-LBD-52.wav</t>
  </si>
  <si>
    <t>pre-LBD-52#1</t>
  </si>
  <si>
    <t>pre-LBD-52</t>
  </si>
  <si>
    <t>pre-LBD-57.wav</t>
  </si>
  <si>
    <t>pre-LBD-57#1</t>
  </si>
  <si>
    <t>pre-LBD-57</t>
  </si>
  <si>
    <t>pre-LBD-58.wav</t>
  </si>
  <si>
    <t>pre-LBD-58#1</t>
  </si>
  <si>
    <t>pre-LBD-58</t>
  </si>
  <si>
    <t>pre-LBD-59.wav</t>
  </si>
  <si>
    <t>pre-LBD-59#1</t>
  </si>
  <si>
    <t>pre-LBD-59</t>
  </si>
  <si>
    <t>pre-LBD-65.wav</t>
  </si>
  <si>
    <t>pre-LBD-65#1</t>
  </si>
  <si>
    <t>pre-LBD-65</t>
  </si>
  <si>
    <t>pre-LBD-69.wav</t>
  </si>
  <si>
    <t>pre-LBD-69#1</t>
  </si>
  <si>
    <t>pre-LBD-69</t>
  </si>
  <si>
    <t>pre-LBD-71.wav</t>
  </si>
  <si>
    <t>pre-LBD-71#1</t>
  </si>
  <si>
    <t>pre-LBD-71</t>
  </si>
  <si>
    <t>pre-LBD-72.wav</t>
  </si>
  <si>
    <t>pre-LBD-72#1</t>
  </si>
  <si>
    <t>pre-LBD-72</t>
  </si>
  <si>
    <t>pre-LBD-83.wav</t>
  </si>
  <si>
    <t>pre-LBD-83#1</t>
  </si>
  <si>
    <t>pre-LBD-83</t>
  </si>
  <si>
    <t>pre-LBD-87.wav</t>
  </si>
  <si>
    <t>pre-LBD-87#1</t>
  </si>
  <si>
    <t>pre-LBD-87</t>
  </si>
  <si>
    <t>pre-LBD-89.wav</t>
  </si>
  <si>
    <t>pre-LBD-89#1</t>
  </si>
  <si>
    <t>pre-LBD-89</t>
  </si>
  <si>
    <t>pre-LBD-91.wav</t>
  </si>
  <si>
    <t>pre-LBD-91#1</t>
  </si>
  <si>
    <t>pre-LBD-91</t>
  </si>
  <si>
    <t>pre-LBD-92.wav</t>
  </si>
  <si>
    <t>pre-LBD-92#1</t>
  </si>
  <si>
    <t>pre-LBD-92</t>
  </si>
  <si>
    <t>pre-LBD-98.wav</t>
  </si>
  <si>
    <t>pre-LBD-98#1</t>
  </si>
  <si>
    <t>pre-LBD-98</t>
  </si>
  <si>
    <t>pre-LBD-99.wav</t>
  </si>
  <si>
    <t>pre-LBD-99#1</t>
  </si>
  <si>
    <t>pre-LBD-99</t>
  </si>
  <si>
    <t>pre-LBD-102.wav</t>
  </si>
  <si>
    <t>pre-LBD-102#1</t>
  </si>
  <si>
    <t>pre-LBD-102</t>
  </si>
  <si>
    <t>HC-9.wav</t>
  </si>
  <si>
    <t>HC-9#1</t>
  </si>
  <si>
    <t>HC-9</t>
  </si>
  <si>
    <t>HC-19.wav</t>
  </si>
  <si>
    <t>HC-19#1</t>
  </si>
  <si>
    <t>HC-19</t>
  </si>
  <si>
    <t>pre-LBD-110.wav</t>
  </si>
  <si>
    <t>pre-LBD-110#1</t>
  </si>
  <si>
    <t>pre-LBD-110</t>
  </si>
  <si>
    <t>pre-LBD-112.wav</t>
  </si>
  <si>
    <t>pre-LBD-112#1</t>
  </si>
  <si>
    <t>pre-LBD-112</t>
  </si>
  <si>
    <t>pre-LBD-114.wav</t>
  </si>
  <si>
    <t>pre-LBD-114#1</t>
  </si>
  <si>
    <t>pre-LBD-114</t>
  </si>
  <si>
    <t>pre-LBD-120.wav</t>
  </si>
  <si>
    <t>pre-LBD-120#1</t>
  </si>
  <si>
    <t>pre-LBD-120</t>
  </si>
  <si>
    <t>Kardiovize_360.wav</t>
  </si>
  <si>
    <t>Kardiovize_506.wav</t>
  </si>
  <si>
    <t>Kardiovize_1186.wav</t>
  </si>
  <si>
    <t>Kardiovize_1222.wav</t>
  </si>
  <si>
    <t>Kardiovize_1361.wav</t>
  </si>
  <si>
    <t>Kardiovize_1294.wav</t>
  </si>
  <si>
    <t>Kardiovize_1730.wav</t>
  </si>
  <si>
    <t>Kardiovize_1091.wav</t>
  </si>
  <si>
    <t>Kardiovize_1096.wav</t>
  </si>
  <si>
    <t>Kardiovize_111.wav</t>
  </si>
  <si>
    <t>Kardiovize_1121.wav</t>
  </si>
  <si>
    <t>Kardiovize_1127.wav</t>
  </si>
  <si>
    <t>Kardiovize_1148.wav</t>
  </si>
  <si>
    <t>Kardiovize_1160.wav</t>
  </si>
  <si>
    <t>Kardiovize_1175.wav</t>
  </si>
  <si>
    <t>Kardiovize_1202.wav</t>
  </si>
  <si>
    <t>Kardiovize_1234.wav</t>
  </si>
  <si>
    <t>Kardiovize_1254.wav</t>
  </si>
  <si>
    <t>Kardiovize_1268.wav</t>
  </si>
  <si>
    <t>Kardiovize_127.wav</t>
  </si>
  <si>
    <t>Kardiovize_1289.wav</t>
  </si>
  <si>
    <t>Kardiovize_1336.wav</t>
  </si>
  <si>
    <t>Kardiovize_1337.wav</t>
  </si>
  <si>
    <t>Kardiovize_1390.wav</t>
  </si>
  <si>
    <t>Kardiovize_1404.wav</t>
  </si>
  <si>
    <t>Kardiovize_142.wav</t>
  </si>
  <si>
    <t>Kardiovize_1421.wav</t>
  </si>
  <si>
    <t>Kardiovize_1451.wav</t>
  </si>
  <si>
    <t>Kardiovize_1453.wav</t>
  </si>
  <si>
    <t>Kardiovize_1475.wav</t>
  </si>
  <si>
    <t>Kardiovize_1537.wav</t>
  </si>
  <si>
    <t>Kardiovize_1548.wav</t>
  </si>
  <si>
    <t>Kardiovize_1562.wav</t>
  </si>
  <si>
    <t>Kardiovize_1602.wav</t>
  </si>
  <si>
    <t>Kardiovize_1609.wav</t>
  </si>
  <si>
    <t>Kardiovize_1628.wav</t>
  </si>
  <si>
    <t>Kardiovize_1671.wav</t>
  </si>
  <si>
    <t>Kardiovize_1673.wav</t>
  </si>
  <si>
    <t>Kardiovize_1705.wav</t>
  </si>
  <si>
    <t>Kardiovize_1715.wav</t>
  </si>
  <si>
    <t>Kardiovize_1719.wav</t>
  </si>
  <si>
    <t>Kardiovize_173.wav</t>
  </si>
  <si>
    <t>Kardiovize_174.wav</t>
  </si>
  <si>
    <t>Kardiovize_1751.wav</t>
  </si>
  <si>
    <t>Kardiovize_1797.wav</t>
  </si>
  <si>
    <t>Kardiovize_1802.wav</t>
  </si>
  <si>
    <t>Kardiovize_1828.wav</t>
  </si>
  <si>
    <t>Kardiovize_1843.wav</t>
  </si>
  <si>
    <t>Kardiovize_1844.wav</t>
  </si>
  <si>
    <t>Kardiovize_185.wav</t>
  </si>
  <si>
    <t>Kardiovize_1858.wav</t>
  </si>
  <si>
    <t>Kardiovize_1872.wav</t>
  </si>
  <si>
    <t>Kardiovize_1873.wav</t>
  </si>
  <si>
    <t>Kardiovize_1874.wav</t>
  </si>
  <si>
    <t>Kardiovize_1889.wav</t>
  </si>
  <si>
    <t>Kardiovize_1936.wav</t>
  </si>
  <si>
    <t>Kardiovize_1937.wav</t>
  </si>
  <si>
    <t>Kardiovize_1943.wav</t>
  </si>
  <si>
    <t>Kardiovize_1981.wav</t>
  </si>
  <si>
    <t>Kardiovize_2027.wav</t>
  </si>
  <si>
    <t>Kardiovize_2096.wav</t>
  </si>
  <si>
    <t>Kardiovize_2109.wav</t>
  </si>
  <si>
    <t>Kardiovize_2129.wav</t>
  </si>
  <si>
    <t>Kardiovize_2147.wav</t>
  </si>
  <si>
    <t>Kardiovize_2161.wav</t>
  </si>
  <si>
    <t>Kardiovize_2234.wav</t>
  </si>
  <si>
    <t>Kardiovize_2241.wav</t>
  </si>
  <si>
    <t>Kardiovize_2249.wav</t>
  </si>
  <si>
    <t>Kardiovize_2263.wav</t>
  </si>
  <si>
    <t>Kardiovize_2293.wav</t>
  </si>
  <si>
    <t>Kardiovize_2294.wav</t>
  </si>
  <si>
    <t>Kardiovize_2299.wav</t>
  </si>
  <si>
    <t>Kardiovize_2329.wav</t>
  </si>
  <si>
    <t>Kardiovize_2330.wav</t>
  </si>
  <si>
    <t>Kardiovize_2343.wav</t>
  </si>
  <si>
    <t>Kardiovize_2344.wav</t>
  </si>
  <si>
    <t>Kardiovize_2401.wav</t>
  </si>
  <si>
    <t>Kardiovize_2441.wav</t>
  </si>
  <si>
    <t>Kardiovize_2459.wav</t>
  </si>
  <si>
    <t>Kardiovize_2462.wav</t>
  </si>
  <si>
    <t>Kardiovize_2463.wav</t>
  </si>
  <si>
    <t>Kardiovize_2466.wav</t>
  </si>
  <si>
    <t>Kardiovize_2467.wav</t>
  </si>
  <si>
    <t>Kardiovize_2472.wav</t>
  </si>
  <si>
    <t>Kardiovize_2484.wav</t>
  </si>
  <si>
    <t>Kardiovize_2488.wav</t>
  </si>
  <si>
    <t>Kardiovize_2491.wav</t>
  </si>
  <si>
    <t>Kardiovize_2492.wav</t>
  </si>
  <si>
    <t>Kardiovize_2495.wav</t>
  </si>
  <si>
    <t>Kardiovize_2537.wav</t>
  </si>
  <si>
    <t>Kardiovize_2542.wav</t>
  </si>
  <si>
    <t>Kardiovize_255.wav</t>
  </si>
  <si>
    <t>Kardiovize_264.wav</t>
  </si>
  <si>
    <t>Kardiovize_274.wav</t>
  </si>
  <si>
    <t>Kardiovize_277.wav</t>
  </si>
  <si>
    <t>Kardiovize_303.wav</t>
  </si>
  <si>
    <t>Kardiovize_315.wav</t>
  </si>
  <si>
    <t>Kardiovize_339.wav</t>
  </si>
  <si>
    <t>Kardiovize_349.wav</t>
  </si>
  <si>
    <t>Kardiovize_40.wav</t>
  </si>
  <si>
    <t>Kardiovize_409.wav</t>
  </si>
  <si>
    <t>Kardiovize_442.wav</t>
  </si>
  <si>
    <t>Kardiovize_445.wav</t>
  </si>
  <si>
    <t>Kardiovize_46.wav</t>
  </si>
  <si>
    <t>Kardiovize_50.wav</t>
  </si>
  <si>
    <t>Kardiovize_52.wav</t>
  </si>
  <si>
    <t>Kardiovize_53.wav</t>
  </si>
  <si>
    <t>Kardiovize_584.wav</t>
  </si>
  <si>
    <t>Kardiovize_630.wav</t>
  </si>
  <si>
    <t>Kardiovize_631.wav</t>
  </si>
  <si>
    <t>Kardiovize_650.wav</t>
  </si>
  <si>
    <t>Kardiovize_716.wav</t>
  </si>
  <si>
    <t>Kardiovize_726.wav</t>
  </si>
  <si>
    <t>Kardiovize_733.wav</t>
  </si>
  <si>
    <t>Kardiovize_777.wav</t>
  </si>
  <si>
    <t>Kardiovize_78.wav</t>
  </si>
  <si>
    <t>Kardiovize_806.wav</t>
  </si>
  <si>
    <t>Kardiovize_81.wav</t>
  </si>
  <si>
    <t>Kardiovize_821.wav</t>
  </si>
  <si>
    <t>Kardiovize_822.wav</t>
  </si>
  <si>
    <t>Kardiovize_827.wav</t>
  </si>
  <si>
    <t>Kardiovize_850.wav</t>
  </si>
  <si>
    <t>Kardiovize_854.wav</t>
  </si>
  <si>
    <t>Kardiovize_879.wav</t>
  </si>
  <si>
    <t>Kardiovize_93.wav</t>
  </si>
  <si>
    <t>Kardiovize_96.wav</t>
  </si>
  <si>
    <t>Kardiovize_969.wav</t>
  </si>
  <si>
    <t>Kardiovize_978.wav</t>
  </si>
  <si>
    <t>Kardiovize_1087.wav</t>
  </si>
  <si>
    <t>Kardiovize_1396.wav</t>
  </si>
  <si>
    <t>Kardiovize_1478.wav</t>
  </si>
  <si>
    <t>Kardiovize_1483.wav</t>
  </si>
  <si>
    <t>Kardiovize_1710.wav</t>
  </si>
  <si>
    <t>Kardiovize_1794.wav</t>
  </si>
  <si>
    <t>Kardiovize_1903.wav</t>
  </si>
  <si>
    <t>Kardiovize_2372.wav</t>
  </si>
  <si>
    <t>Kardiovize_3.wav</t>
  </si>
  <si>
    <t>Kardiovize_312.wav</t>
  </si>
  <si>
    <t>Kardiovize_336.wav</t>
  </si>
  <si>
    <t>Kardiovize_45.wav</t>
  </si>
  <si>
    <t>Kardiovize_680.wav</t>
  </si>
  <si>
    <t>Kardiovize_955.wav</t>
  </si>
  <si>
    <t>PDHOME13_MD_pred_stim.wav</t>
  </si>
  <si>
    <t>PDHOME13</t>
  </si>
  <si>
    <t>PDHOME15_KM_pred_stim.wav</t>
  </si>
  <si>
    <t>PDHOME15</t>
  </si>
  <si>
    <t>PDHOME22_JF_pred_stim.wav</t>
  </si>
  <si>
    <t>PDHOME22</t>
  </si>
  <si>
    <t>PDHOME23_MR_pred_stim.wav</t>
  </si>
  <si>
    <t>PDHOME23</t>
  </si>
  <si>
    <t>PDHOME24_VK_pred_stim.wav</t>
  </si>
  <si>
    <t>PDHOME24</t>
  </si>
  <si>
    <t>PDHOME25_EM_pred_stim.wav</t>
  </si>
  <si>
    <t>PDHOME25</t>
  </si>
  <si>
    <t>PDHOME26_JS_pred_stim.wav</t>
  </si>
  <si>
    <t>PDHOME26</t>
  </si>
  <si>
    <t>PDHOME27_MS_pred_stim.wav</t>
  </si>
  <si>
    <t>PDHOME27</t>
  </si>
  <si>
    <t>PDHOME30_AB_pred_stim.wav</t>
  </si>
  <si>
    <t>PDHOME30</t>
  </si>
  <si>
    <t>PDHOME31_JN_pred_stim.wav</t>
  </si>
  <si>
    <t>PDHOME31</t>
  </si>
  <si>
    <t>PDHOME33_JH_pred_stim.wav</t>
  </si>
  <si>
    <t>PDHOME33</t>
  </si>
  <si>
    <t>PDHOME35_PB_pred_stim.wav</t>
  </si>
  <si>
    <t>PDHOME35</t>
  </si>
  <si>
    <t>PDHOME36_JG_pred_stim.wav</t>
  </si>
  <si>
    <t>PDHOME36</t>
  </si>
  <si>
    <t>PDHOME37_JP_pred_stim.wav</t>
  </si>
  <si>
    <t>PDHOME37</t>
  </si>
  <si>
    <t>Lang-LBD_pilot</t>
  </si>
  <si>
    <t>/CEITEC/speech/LUBKA_LANG</t>
  </si>
  <si>
    <t>lang1_HC1_novakova.wav</t>
  </si>
  <si>
    <t>HC1</t>
  </si>
  <si>
    <t>lang1_HC2_novak.wav</t>
  </si>
  <si>
    <t>HC2</t>
  </si>
  <si>
    <t>lang1_HC3_ricanek.wav</t>
  </si>
  <si>
    <t>HC3</t>
  </si>
  <si>
    <t>lang1_HC4_sedlak.wav</t>
  </si>
  <si>
    <t>HC4</t>
  </si>
  <si>
    <t>lang1_P1_kyselka.wav</t>
  </si>
  <si>
    <t>P1</t>
  </si>
  <si>
    <t>lang1_HC5_slehoferova.wav</t>
  </si>
  <si>
    <t>HC5</t>
  </si>
  <si>
    <t>lang1_HC6_dvorakova.wav</t>
  </si>
  <si>
    <t>HC6</t>
  </si>
  <si>
    <t>lang1_HC7_jilek.wav</t>
  </si>
  <si>
    <t>HC7</t>
  </si>
  <si>
    <t>lang1_P2_skala.wav</t>
  </si>
  <si>
    <t>P2</t>
  </si>
  <si>
    <t>lang1_HC8_kozlova.wav</t>
  </si>
  <si>
    <t>HC8</t>
  </si>
  <si>
    <t>lang1_HC9_srubarova.wav</t>
  </si>
  <si>
    <t>HC9</t>
  </si>
  <si>
    <t>lang1_P3_ctverakova.wav</t>
  </si>
  <si>
    <t>P3</t>
  </si>
  <si>
    <t>lang1_HC10_marecek.wav</t>
  </si>
  <si>
    <t>HC-10</t>
  </si>
  <si>
    <t>HC10</t>
  </si>
  <si>
    <t>lang1_HC11_fichtlova.wav</t>
  </si>
  <si>
    <t>HC11</t>
  </si>
  <si>
    <t>lang1_HC12_klimecky.wav</t>
  </si>
  <si>
    <t>HC12</t>
  </si>
  <si>
    <t>lang1_HC13_zemlicka.wav</t>
  </si>
  <si>
    <t>HC13</t>
  </si>
  <si>
    <t>lang1_P5_zajdakova.wav</t>
  </si>
  <si>
    <t>P5</t>
  </si>
  <si>
    <t>lang1_P6_jelinek.wav</t>
  </si>
  <si>
    <t>P6</t>
  </si>
  <si>
    <t>lang1_P7_kminkova.wav</t>
  </si>
  <si>
    <t>P7</t>
  </si>
  <si>
    <t>lang1_P8_koupanova.wav</t>
  </si>
  <si>
    <t>P8</t>
  </si>
  <si>
    <t>lang1_HC14_flekova_.wav</t>
  </si>
  <si>
    <t>HC14</t>
  </si>
  <si>
    <t>lang1_P9_berenteova.wav</t>
  </si>
  <si>
    <t>P9</t>
  </si>
  <si>
    <t>lang1_P10_ruzickova.wav</t>
  </si>
  <si>
    <t>P10</t>
  </si>
  <si>
    <t>lang1_HC15_vlckova.wav</t>
  </si>
  <si>
    <t>HC15</t>
  </si>
  <si>
    <t>lang1_P14_burda.wav</t>
  </si>
  <si>
    <t>P14</t>
  </si>
  <si>
    <t>lang1_P15_valentin.wav</t>
  </si>
  <si>
    <t>P15</t>
  </si>
  <si>
    <t>lang1_P16_gregor.wav</t>
  </si>
  <si>
    <t>P16</t>
  </si>
  <si>
    <t>lang1_P17_kominek.wav</t>
  </si>
  <si>
    <t>P17</t>
  </si>
  <si>
    <t>lang1_HC18_marek.wav</t>
  </si>
  <si>
    <t>HC18</t>
  </si>
  <si>
    <t>lang1_HC19_john.wav</t>
  </si>
  <si>
    <t>HC19</t>
  </si>
  <si>
    <t>lang1_HC20_nemec.wav</t>
  </si>
  <si>
    <t>HC20</t>
  </si>
  <si>
    <t>lang1_HC21_lavicky.wav</t>
  </si>
  <si>
    <t>HC21</t>
  </si>
  <si>
    <t>lang1_HC22_varmuza.wav</t>
  </si>
  <si>
    <t>HC22</t>
  </si>
  <si>
    <t>lang1_HC23_zalesky.wav</t>
  </si>
  <si>
    <t>HC23</t>
  </si>
  <si>
    <t>lang1_HC24_vasourkova.wav</t>
  </si>
  <si>
    <t>HC24</t>
  </si>
  <si>
    <t>lang1_P19_kasabov.wav</t>
  </si>
  <si>
    <t>P19</t>
  </si>
  <si>
    <t>lang1_HC28_vankova.wav</t>
  </si>
  <si>
    <t>HC28</t>
  </si>
  <si>
    <t>lang1_HC29_prochazka.wav</t>
  </si>
  <si>
    <t>HC29</t>
  </si>
  <si>
    <t>lang1_HC30_krizova.wav</t>
  </si>
  <si>
    <t>HC30</t>
  </si>
  <si>
    <t>lang1_HC31_greplova.wav</t>
  </si>
  <si>
    <t>HC31</t>
  </si>
  <si>
    <t>lang1_P20_gallina.wav</t>
  </si>
  <si>
    <t>P20</t>
  </si>
  <si>
    <t>lang1_HC32_svobodova.wav</t>
  </si>
  <si>
    <t>HC32</t>
  </si>
  <si>
    <t>lang1_HC33_horakova.wav</t>
  </si>
  <si>
    <t>HC33</t>
  </si>
  <si>
    <t>lang1_P21_bures.wav</t>
  </si>
  <si>
    <t>P21</t>
  </si>
  <si>
    <t>lang1_P22_sedlacek.wav</t>
  </si>
  <si>
    <t>P22</t>
  </si>
  <si>
    <t>lang1_P23_ullmannova.wav</t>
  </si>
  <si>
    <t>P23</t>
  </si>
  <si>
    <t>lang1_P24_ruzicka.wav</t>
  </si>
  <si>
    <t>P24</t>
  </si>
  <si>
    <t>lang1_P25_barovjan.wav</t>
  </si>
  <si>
    <t>P25</t>
  </si>
  <si>
    <t>lang1_P26_slabak.wav</t>
  </si>
  <si>
    <t>P26</t>
  </si>
  <si>
    <t>lang1_P27_chmelik.wav</t>
  </si>
  <si>
    <t>P27</t>
  </si>
  <si>
    <t>Lang-LBD_long</t>
  </si>
  <si>
    <t>/CEITEC/speech/LUBKA_LANG/LANG2</t>
  </si>
  <si>
    <t>lang2_P5_feuereisel_1.wav</t>
  </si>
  <si>
    <t>P5-1</t>
  </si>
  <si>
    <t>lang2_P6_havir_1.wav</t>
  </si>
  <si>
    <t>P6-1</t>
  </si>
  <si>
    <t>lang2_P8_necas_1.wav</t>
  </si>
  <si>
    <t>P8-1</t>
  </si>
  <si>
    <t>lang2_P9_vanek_1.wav</t>
  </si>
  <si>
    <t>P9-1</t>
  </si>
  <si>
    <t>lang2_P10_kuna_1.wav</t>
  </si>
  <si>
    <t>P10-1</t>
  </si>
  <si>
    <t>lang2_P12_ambrozova_1.wav</t>
  </si>
  <si>
    <t>P12-1</t>
  </si>
  <si>
    <t>P12</t>
  </si>
  <si>
    <t>lang2_P13_nemcova_1.wav</t>
  </si>
  <si>
    <t>P13-1</t>
  </si>
  <si>
    <t>P13</t>
  </si>
  <si>
    <t>lang2_P14_havlikova_1.wav</t>
  </si>
  <si>
    <t>P14-1</t>
  </si>
  <si>
    <t>lang2_P15_ciprys_1.wav</t>
  </si>
  <si>
    <t>P15-1</t>
  </si>
  <si>
    <t>lang2_P16_cerny_1.wav</t>
  </si>
  <si>
    <t>P16-1</t>
  </si>
  <si>
    <t>lang2_P17_hnilickova_1.wav</t>
  </si>
  <si>
    <t>P17-1</t>
  </si>
  <si>
    <t>lang2_P22_chalupa_1.wav</t>
  </si>
  <si>
    <t>P22-1</t>
  </si>
  <si>
    <t>lang2_P23_prokesova_1.wav</t>
  </si>
  <si>
    <t>P23-1</t>
  </si>
  <si>
    <t>lang2_P24_klimes_1.wav</t>
  </si>
  <si>
    <t>P24-1</t>
  </si>
  <si>
    <t>lang2_P25_vanickova_1.wav</t>
  </si>
  <si>
    <t>P25-1</t>
  </si>
  <si>
    <t>lang2_P26_popelkova_1.wav</t>
  </si>
  <si>
    <t>P26-1</t>
  </si>
  <si>
    <t>lang2_P27_soltes_1.wav</t>
  </si>
  <si>
    <t>P27-1</t>
  </si>
  <si>
    <t>Class</t>
  </si>
  <si>
    <t>Count</t>
  </si>
  <si>
    <t>Total</t>
  </si>
  <si>
    <t># Unique:</t>
  </si>
  <si>
    <t>gender</t>
  </si>
  <si>
    <t>Subject</t>
  </si>
  <si>
    <t>formula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</si>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</sst>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2" fillId="0" borderId="1" xfId="0" applyFont="1" applyBorder="1"/>
    <xf numFmtId="0" fontId="3" fillId="0" borderId="1" xfId="0" applyFont="1" applyBorder="1"/>
    <xf numFmtId="0" fontId="3" fillId="2" borderId="1" xfId="0" applyFont="1" applyFill="1" applyBorder="1"/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/>
    </xf>
    <xf numFmtId="0" fontId="1" fillId="3" borderId="2" xfId="0" applyFont="1" applyFill="1" applyBorder="1" applyAlignment="1">
      <alignment horizontal="center" vertical="top"/>
    </xf>
    <xf numFmtId="0" fontId="3" fillId="3" borderId="0" xfId="0" applyFont="1" applyFill="1"/>
    <xf numFmtId="0" fontId="0" fillId="3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69"/>
  <sheetViews>
    <sheetView tabSelected="1" workbookViewId="0">
      <pane ySplit="1" topLeftCell="A387" activePane="bottomLeft" state="frozen"/>
      <selection pane="bottomLeft" activeCell="I1" sqref="I1"/>
    </sheetView>
  </sheetViews>
  <sheetFormatPr defaultColWidth="14.42578125" defaultRowHeight="15" customHeight="1" x14ac:dyDescent="0.25"/>
  <cols>
    <col min="1" max="1" width="13.28515625" bestFit="1" customWidth="1"/>
    <col min="2" max="2" width="30.28515625" bestFit="1" customWidth="1"/>
    <col min="3" max="3" width="32.7109375" bestFit="1" customWidth="1"/>
    <col min="4" max="4" width="18" bestFit="1" customWidth="1"/>
    <col min="5" max="5" width="16" bestFit="1" customWidth="1"/>
    <col min="6" max="6" width="36.28515625" style="13" bestFit="1" customWidth="1"/>
    <col min="7" max="7" width="4.42578125" style="13" bestFit="1" customWidth="1"/>
    <col min="8" max="8" width="8.5703125" customWidth="1"/>
    <col min="9" max="9" width="7.7109375" bestFit="1" customWidth="1"/>
    <col min="10" max="10" width="12.140625" bestFit="1" customWidth="1"/>
    <col min="11" max="11" width="6.140625" style="9" bestFit="1" customWidth="1"/>
    <col min="12" max="12" width="12.85546875" style="9" bestFit="1" customWidth="1"/>
    <col min="13" max="13" width="14.28515625" style="9" bestFit="1" customWidth="1"/>
    <col min="14" max="14" width="13.28515625" style="9" bestFit="1" customWidth="1"/>
    <col min="15" max="15" width="16.42578125" style="9" bestFit="1" customWidth="1"/>
    <col min="16" max="16" width="14.140625" style="9" bestFit="1" customWidth="1"/>
    <col min="17" max="17" width="21.7109375" style="9" bestFit="1" customWidth="1"/>
    <col min="18" max="18" width="4.28515625" style="9" bestFit="1" customWidth="1"/>
  </cols>
  <sheetData>
    <row r="1" spans="1:1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1" t="s">
        <v>837</v>
      </c>
      <c r="G1" s="11" t="s">
        <v>5</v>
      </c>
      <c r="H1" s="5" t="s">
        <v>836</v>
      </c>
      <c r="I1" s="5" t="s">
        <v>839</v>
      </c>
      <c r="J1" s="5" t="s">
        <v>6</v>
      </c>
      <c r="K1" s="6" t="s">
        <v>7</v>
      </c>
      <c r="L1" s="6" t="s">
        <v>8</v>
      </c>
      <c r="M1" s="6" t="s">
        <v>9</v>
      </c>
      <c r="N1" s="5" t="s">
        <v>10</v>
      </c>
      <c r="O1" s="6" t="s">
        <v>11</v>
      </c>
      <c r="P1" s="6" t="s">
        <v>12</v>
      </c>
      <c r="Q1" s="6" t="s">
        <v>13</v>
      </c>
      <c r="R1" s="6" t="s">
        <v>14</v>
      </c>
    </row>
    <row r="2" spans="1:18" x14ac:dyDescent="0.25">
      <c r="A2" s="1" t="s">
        <v>15</v>
      </c>
      <c r="B2" s="1" t="s">
        <v>16</v>
      </c>
      <c r="C2" s="1" t="s">
        <v>50</v>
      </c>
      <c r="D2" s="1" t="s">
        <v>51</v>
      </c>
      <c r="E2" s="1" t="s">
        <v>52</v>
      </c>
      <c r="F2" s="12" t="str">
        <f t="shared" ref="F2:F65" si="0">A2&amp;"_"&amp;D2</f>
        <v>COBEN_CZCOBEN000</v>
      </c>
      <c r="G2" s="12" t="s">
        <v>20</v>
      </c>
      <c r="H2" s="1">
        <f t="shared" ref="H2:H65" si="1">IF(G2="M",0,IF(G2="F",1,""))</f>
        <v>0</v>
      </c>
      <c r="I2" s="1" t="s">
        <v>21</v>
      </c>
      <c r="J2" s="1">
        <v>74.165639970000001</v>
      </c>
      <c r="K2" s="7">
        <v>23</v>
      </c>
      <c r="L2" s="7">
        <v>4</v>
      </c>
      <c r="M2" s="7">
        <v>18</v>
      </c>
      <c r="N2" s="8">
        <v>-2.08</v>
      </c>
      <c r="O2" s="7">
        <v>-0.25</v>
      </c>
      <c r="P2" s="7">
        <v>-0.35</v>
      </c>
      <c r="Q2" s="7">
        <v>-0.9</v>
      </c>
      <c r="R2" s="7">
        <v>0</v>
      </c>
    </row>
    <row r="3" spans="1:18" x14ac:dyDescent="0.25">
      <c r="A3" s="1" t="s">
        <v>15</v>
      </c>
      <c r="B3" s="1" t="s">
        <v>16</v>
      </c>
      <c r="C3" s="1" t="s">
        <v>230</v>
      </c>
      <c r="D3" s="1" t="s">
        <v>231</v>
      </c>
      <c r="E3" s="1" t="s">
        <v>232</v>
      </c>
      <c r="F3" s="12" t="str">
        <f t="shared" si="0"/>
        <v>COBEN_CZCOBEN002</v>
      </c>
      <c r="G3" s="12" t="s">
        <v>20</v>
      </c>
      <c r="H3" s="1">
        <f t="shared" si="1"/>
        <v>0</v>
      </c>
      <c r="I3" s="1" t="s">
        <v>233</v>
      </c>
      <c r="J3" s="1">
        <v>60.156057490000002</v>
      </c>
      <c r="K3" s="7">
        <v>27</v>
      </c>
      <c r="L3" s="7">
        <v>4</v>
      </c>
      <c r="M3" s="7">
        <v>17</v>
      </c>
      <c r="N3" s="8">
        <v>1.21</v>
      </c>
      <c r="O3" s="7">
        <v>0.15</v>
      </c>
      <c r="P3" s="7">
        <v>-0.57999999999999996</v>
      </c>
      <c r="Q3" s="7">
        <v>-0.49</v>
      </c>
      <c r="R3" s="7">
        <v>2</v>
      </c>
    </row>
    <row r="4" spans="1:18" x14ac:dyDescent="0.25">
      <c r="A4" s="1" t="s">
        <v>15</v>
      </c>
      <c r="B4" s="1" t="s">
        <v>16</v>
      </c>
      <c r="C4" s="1" t="s">
        <v>234</v>
      </c>
      <c r="D4" s="1" t="s">
        <v>235</v>
      </c>
      <c r="E4" s="1" t="s">
        <v>236</v>
      </c>
      <c r="F4" s="12" t="str">
        <f t="shared" si="0"/>
        <v>COBEN_CZCOBEN004</v>
      </c>
      <c r="G4" s="12" t="s">
        <v>28</v>
      </c>
      <c r="H4" s="1">
        <f t="shared" si="1"/>
        <v>1</v>
      </c>
      <c r="I4" s="1" t="s">
        <v>233</v>
      </c>
      <c r="J4" s="1">
        <v>60.714579059999998</v>
      </c>
      <c r="K4" s="7">
        <v>27</v>
      </c>
      <c r="L4" s="7">
        <v>3</v>
      </c>
      <c r="M4" s="7">
        <v>13</v>
      </c>
      <c r="N4" s="8">
        <v>1.18</v>
      </c>
      <c r="O4" s="7">
        <v>0.57999999999999996</v>
      </c>
      <c r="P4" s="7">
        <v>0.33</v>
      </c>
      <c r="Q4" s="7">
        <v>0.23</v>
      </c>
      <c r="R4" s="7">
        <v>4</v>
      </c>
    </row>
    <row r="5" spans="1:18" x14ac:dyDescent="0.25">
      <c r="A5" s="1" t="s">
        <v>15</v>
      </c>
      <c r="B5" s="1" t="s">
        <v>16</v>
      </c>
      <c r="C5" s="1" t="s">
        <v>237</v>
      </c>
      <c r="D5" s="1" t="s">
        <v>238</v>
      </c>
      <c r="E5" s="1" t="s">
        <v>239</v>
      </c>
      <c r="F5" s="12" t="str">
        <f t="shared" si="0"/>
        <v>COBEN_CZCOBEN005</v>
      </c>
      <c r="G5" s="12" t="s">
        <v>28</v>
      </c>
      <c r="H5" s="1">
        <f t="shared" si="1"/>
        <v>1</v>
      </c>
      <c r="I5" s="1" t="s">
        <v>233</v>
      </c>
      <c r="J5" s="1">
        <v>59.863107460000002</v>
      </c>
      <c r="K5" s="7">
        <v>27</v>
      </c>
      <c r="L5" s="7">
        <v>3</v>
      </c>
      <c r="M5" s="7">
        <v>15</v>
      </c>
      <c r="N5" s="8">
        <v>0.99</v>
      </c>
      <c r="O5" s="7">
        <v>-0.77</v>
      </c>
      <c r="P5" s="7">
        <v>0.18</v>
      </c>
      <c r="Q5" s="7">
        <v>1.56</v>
      </c>
      <c r="R5" s="7">
        <v>4</v>
      </c>
    </row>
    <row r="6" spans="1:18" x14ac:dyDescent="0.25">
      <c r="A6" s="1" t="s">
        <v>15</v>
      </c>
      <c r="B6" s="1" t="s">
        <v>16</v>
      </c>
      <c r="C6" s="1" t="s">
        <v>240</v>
      </c>
      <c r="D6" s="1" t="s">
        <v>241</v>
      </c>
      <c r="E6" s="1" t="s">
        <v>242</v>
      </c>
      <c r="F6" s="12" t="str">
        <f t="shared" si="0"/>
        <v>COBEN_CZCOBEN007</v>
      </c>
      <c r="G6" s="12" t="s">
        <v>20</v>
      </c>
      <c r="H6" s="1">
        <f t="shared" si="1"/>
        <v>0</v>
      </c>
      <c r="I6" s="1" t="s">
        <v>233</v>
      </c>
      <c r="J6" s="1">
        <v>66.099931549999994</v>
      </c>
      <c r="K6" s="7">
        <v>27</v>
      </c>
      <c r="L6" s="7">
        <v>4</v>
      </c>
      <c r="M6" s="7">
        <v>17</v>
      </c>
      <c r="N6" s="8">
        <v>1.75</v>
      </c>
      <c r="O6" s="7">
        <v>1.08</v>
      </c>
      <c r="P6" s="7">
        <v>0.1</v>
      </c>
      <c r="Q6" s="7">
        <v>0.39</v>
      </c>
      <c r="R6" s="7">
        <v>0</v>
      </c>
    </row>
    <row r="7" spans="1:18" x14ac:dyDescent="0.25">
      <c r="A7" s="1" t="s">
        <v>15</v>
      </c>
      <c r="B7" s="1" t="s">
        <v>16</v>
      </c>
      <c r="C7" s="1" t="s">
        <v>243</v>
      </c>
      <c r="D7" s="1" t="s">
        <v>244</v>
      </c>
      <c r="E7" s="1" t="s">
        <v>245</v>
      </c>
      <c r="F7" s="12" t="str">
        <f t="shared" si="0"/>
        <v>COBEN_CZCOBEN008</v>
      </c>
      <c r="G7" s="12" t="s">
        <v>28</v>
      </c>
      <c r="H7" s="1">
        <f t="shared" si="1"/>
        <v>1</v>
      </c>
      <c r="I7" s="1" t="s">
        <v>233</v>
      </c>
      <c r="J7" s="1">
        <v>66.212183440000004</v>
      </c>
      <c r="K7" s="7">
        <v>27</v>
      </c>
      <c r="L7" s="7">
        <v>4</v>
      </c>
      <c r="M7" s="7">
        <v>16</v>
      </c>
      <c r="N7" s="8">
        <v>1.05</v>
      </c>
      <c r="O7" s="7">
        <v>0.15</v>
      </c>
      <c r="P7" s="7">
        <v>0.44</v>
      </c>
      <c r="Q7" s="7">
        <v>0.33</v>
      </c>
      <c r="R7" s="7">
        <v>0</v>
      </c>
    </row>
    <row r="8" spans="1:18" x14ac:dyDescent="0.25">
      <c r="A8" s="1" t="s">
        <v>15</v>
      </c>
      <c r="B8" s="1" t="s">
        <v>16</v>
      </c>
      <c r="C8" s="1" t="s">
        <v>246</v>
      </c>
      <c r="D8" s="1" t="s">
        <v>247</v>
      </c>
      <c r="E8" s="1" t="s">
        <v>248</v>
      </c>
      <c r="F8" s="12" t="str">
        <f t="shared" si="0"/>
        <v>COBEN_CZCOBEN009</v>
      </c>
      <c r="G8" s="12" t="s">
        <v>28</v>
      </c>
      <c r="H8" s="1">
        <f t="shared" si="1"/>
        <v>1</v>
      </c>
      <c r="I8" s="1" t="s">
        <v>233</v>
      </c>
      <c r="J8" s="1">
        <v>64.510000000000005</v>
      </c>
      <c r="K8" s="7">
        <v>25</v>
      </c>
      <c r="L8" s="7">
        <v>4</v>
      </c>
      <c r="M8" s="7">
        <v>17</v>
      </c>
      <c r="N8" s="8">
        <v>0.89</v>
      </c>
      <c r="O8" s="7">
        <v>0.57999999999999996</v>
      </c>
      <c r="P8" s="7">
        <v>0.21</v>
      </c>
      <c r="Q8" s="7">
        <v>1.1399999999999999</v>
      </c>
      <c r="R8" s="7">
        <v>0</v>
      </c>
    </row>
    <row r="9" spans="1:18" x14ac:dyDescent="0.25">
      <c r="A9" s="1" t="s">
        <v>15</v>
      </c>
      <c r="B9" s="1" t="s">
        <v>16</v>
      </c>
      <c r="C9" s="1" t="s">
        <v>249</v>
      </c>
      <c r="D9" s="1" t="s">
        <v>250</v>
      </c>
      <c r="E9" s="1" t="s">
        <v>251</v>
      </c>
      <c r="F9" s="12" t="str">
        <f t="shared" si="0"/>
        <v>COBEN_CZCOBEN010</v>
      </c>
      <c r="G9" s="12" t="s">
        <v>20</v>
      </c>
      <c r="H9" s="1">
        <f t="shared" si="1"/>
        <v>0</v>
      </c>
      <c r="I9" s="1" t="s">
        <v>233</v>
      </c>
      <c r="J9" s="1">
        <v>75.616700890000004</v>
      </c>
      <c r="K9" s="7">
        <v>27</v>
      </c>
      <c r="L9" s="7">
        <v>4</v>
      </c>
      <c r="M9" s="7">
        <v>17</v>
      </c>
      <c r="N9" s="8">
        <v>2.09</v>
      </c>
      <c r="O9" s="7">
        <v>0.15</v>
      </c>
      <c r="P9" s="7">
        <v>0.41</v>
      </c>
      <c r="Q9" s="7">
        <v>0.49</v>
      </c>
      <c r="R9" s="7">
        <v>2</v>
      </c>
    </row>
    <row r="10" spans="1:18" x14ac:dyDescent="0.25">
      <c r="A10" s="1" t="s">
        <v>15</v>
      </c>
      <c r="B10" s="1" t="s">
        <v>16</v>
      </c>
      <c r="C10" s="1" t="s">
        <v>252</v>
      </c>
      <c r="D10" s="1" t="s">
        <v>253</v>
      </c>
      <c r="E10" s="1" t="s">
        <v>254</v>
      </c>
      <c r="F10" s="12" t="str">
        <f t="shared" si="0"/>
        <v>COBEN_CZCOBEN011</v>
      </c>
      <c r="G10" s="12" t="s">
        <v>28</v>
      </c>
      <c r="H10" s="1">
        <f t="shared" si="1"/>
        <v>1</v>
      </c>
      <c r="I10" s="1" t="s">
        <v>233</v>
      </c>
      <c r="J10" s="1">
        <v>63.611225189999999</v>
      </c>
      <c r="K10" s="7">
        <v>27</v>
      </c>
      <c r="L10" s="7">
        <v>3</v>
      </c>
      <c r="M10" s="7">
        <v>13</v>
      </c>
      <c r="N10" s="8">
        <v>-0.16</v>
      </c>
      <c r="O10" s="7">
        <v>0.15</v>
      </c>
      <c r="P10" s="7">
        <v>0.43</v>
      </c>
      <c r="Q10" s="7">
        <v>-0.67</v>
      </c>
      <c r="R10" s="7">
        <v>2</v>
      </c>
    </row>
    <row r="11" spans="1:18" x14ac:dyDescent="0.25">
      <c r="A11" s="1" t="s">
        <v>15</v>
      </c>
      <c r="B11" s="1" t="s">
        <v>16</v>
      </c>
      <c r="C11" s="1" t="s">
        <v>255</v>
      </c>
      <c r="D11" s="1" t="s">
        <v>256</v>
      </c>
      <c r="E11" s="1" t="s">
        <v>257</v>
      </c>
      <c r="F11" s="12" t="str">
        <f t="shared" si="0"/>
        <v>COBEN_CZCOBEN012</v>
      </c>
      <c r="G11" s="12" t="s">
        <v>20</v>
      </c>
      <c r="H11" s="1">
        <f t="shared" si="1"/>
        <v>0</v>
      </c>
      <c r="I11" s="1" t="s">
        <v>233</v>
      </c>
      <c r="J11" s="1">
        <v>62.04791239</v>
      </c>
      <c r="K11" s="7">
        <v>27</v>
      </c>
      <c r="L11" s="7">
        <v>4</v>
      </c>
      <c r="M11" s="7">
        <v>18</v>
      </c>
      <c r="N11" s="8">
        <v>1.58</v>
      </c>
      <c r="O11" s="7">
        <v>0.15</v>
      </c>
      <c r="P11" s="7">
        <v>-0.44</v>
      </c>
      <c r="Q11" s="7">
        <v>-0.26</v>
      </c>
      <c r="R11" s="7">
        <v>0</v>
      </c>
    </row>
    <row r="12" spans="1:18" x14ac:dyDescent="0.25">
      <c r="A12" s="1" t="s">
        <v>15</v>
      </c>
      <c r="B12" s="1" t="s">
        <v>16</v>
      </c>
      <c r="C12" s="1" t="s">
        <v>258</v>
      </c>
      <c r="D12" s="1" t="s">
        <v>259</v>
      </c>
      <c r="E12" s="1" t="s">
        <v>260</v>
      </c>
      <c r="F12" s="12" t="str">
        <f t="shared" si="0"/>
        <v>COBEN_CZCOBEN013</v>
      </c>
      <c r="G12" s="12" t="s">
        <v>28</v>
      </c>
      <c r="H12" s="1">
        <f t="shared" si="1"/>
        <v>1</v>
      </c>
      <c r="I12" s="1" t="s">
        <v>233</v>
      </c>
      <c r="J12" s="1">
        <v>70.877481180000004</v>
      </c>
      <c r="K12" s="7">
        <v>23</v>
      </c>
      <c r="L12" s="7">
        <v>3</v>
      </c>
      <c r="M12" s="7">
        <v>13</v>
      </c>
      <c r="N12" s="8">
        <v>-0.68</v>
      </c>
      <c r="O12" s="7">
        <v>-0.25</v>
      </c>
      <c r="P12" s="7">
        <v>-0.36</v>
      </c>
      <c r="Q12" s="7">
        <v>-1.59</v>
      </c>
      <c r="R12" s="7">
        <v>6</v>
      </c>
    </row>
    <row r="13" spans="1:18" x14ac:dyDescent="0.25">
      <c r="A13" s="1" t="s">
        <v>15</v>
      </c>
      <c r="B13" s="1" t="s">
        <v>16</v>
      </c>
      <c r="C13" s="1" t="s">
        <v>261</v>
      </c>
      <c r="D13" s="1" t="s">
        <v>262</v>
      </c>
      <c r="E13" s="1" t="s">
        <v>263</v>
      </c>
      <c r="F13" s="12" t="str">
        <f t="shared" si="0"/>
        <v>COBEN_CZCOBEN014</v>
      </c>
      <c r="G13" s="12" t="s">
        <v>28</v>
      </c>
      <c r="H13" s="1">
        <f t="shared" si="1"/>
        <v>1</v>
      </c>
      <c r="I13" s="1" t="s">
        <v>233</v>
      </c>
      <c r="J13" s="1">
        <v>67.42231348</v>
      </c>
      <c r="K13" s="7">
        <v>25</v>
      </c>
      <c r="L13" s="7">
        <v>4</v>
      </c>
      <c r="M13" s="7">
        <v>19</v>
      </c>
      <c r="N13" s="8">
        <v>0.86</v>
      </c>
      <c r="O13" s="7">
        <v>0.57999999999999996</v>
      </c>
      <c r="P13" s="7">
        <v>0.39</v>
      </c>
      <c r="Q13" s="7">
        <v>0.68</v>
      </c>
      <c r="R13" s="7">
        <v>10</v>
      </c>
    </row>
    <row r="14" spans="1:18" x14ac:dyDescent="0.25">
      <c r="A14" s="1" t="s">
        <v>15</v>
      </c>
      <c r="B14" s="1" t="s">
        <v>16</v>
      </c>
      <c r="C14" s="1" t="s">
        <v>264</v>
      </c>
      <c r="D14" s="1" t="s">
        <v>265</v>
      </c>
      <c r="E14" s="1" t="s">
        <v>266</v>
      </c>
      <c r="F14" s="12" t="str">
        <f t="shared" si="0"/>
        <v>COBEN_CZCOBEN015</v>
      </c>
      <c r="G14" s="12" t="s">
        <v>28</v>
      </c>
      <c r="H14" s="1">
        <f t="shared" si="1"/>
        <v>1</v>
      </c>
      <c r="I14" s="1" t="s">
        <v>233</v>
      </c>
      <c r="J14" s="1">
        <v>60.06570842</v>
      </c>
      <c r="K14" s="7">
        <v>29</v>
      </c>
      <c r="L14" s="7">
        <v>4</v>
      </c>
      <c r="M14" s="7">
        <v>18</v>
      </c>
      <c r="N14" s="8">
        <v>1.83</v>
      </c>
      <c r="O14" s="7">
        <v>1.08</v>
      </c>
      <c r="P14" s="7">
        <v>1.59</v>
      </c>
      <c r="Q14" s="7">
        <v>1.86</v>
      </c>
      <c r="R14" s="7">
        <v>4</v>
      </c>
    </row>
    <row r="15" spans="1:18" x14ac:dyDescent="0.25">
      <c r="A15" s="1" t="s">
        <v>15</v>
      </c>
      <c r="B15" s="1" t="s">
        <v>16</v>
      </c>
      <c r="C15" s="1" t="s">
        <v>267</v>
      </c>
      <c r="D15" s="1" t="s">
        <v>268</v>
      </c>
      <c r="E15" s="1" t="s">
        <v>269</v>
      </c>
      <c r="F15" s="12" t="str">
        <f t="shared" si="0"/>
        <v>COBEN_CZCOBEN016</v>
      </c>
      <c r="G15" s="12" t="s">
        <v>20</v>
      </c>
      <c r="H15" s="1">
        <f t="shared" si="1"/>
        <v>0</v>
      </c>
      <c r="I15" s="1" t="s">
        <v>233</v>
      </c>
      <c r="J15" s="1">
        <v>72.621492129999993</v>
      </c>
      <c r="K15" s="7">
        <v>29</v>
      </c>
      <c r="L15" s="7">
        <v>3</v>
      </c>
      <c r="M15" s="7">
        <v>17</v>
      </c>
      <c r="N15" s="8">
        <v>1.75</v>
      </c>
      <c r="O15" s="7">
        <v>0.15</v>
      </c>
      <c r="P15" s="7">
        <v>-0.33</v>
      </c>
      <c r="Q15" s="7">
        <v>0.32</v>
      </c>
      <c r="R15" s="7">
        <v>4</v>
      </c>
    </row>
    <row r="16" spans="1:18" x14ac:dyDescent="0.25">
      <c r="A16" s="1" t="s">
        <v>15</v>
      </c>
      <c r="B16" s="1" t="s">
        <v>16</v>
      </c>
      <c r="C16" s="1" t="s">
        <v>270</v>
      </c>
      <c r="D16" s="1" t="s">
        <v>271</v>
      </c>
      <c r="E16" s="1" t="s">
        <v>272</v>
      </c>
      <c r="F16" s="12" t="str">
        <f t="shared" si="0"/>
        <v>COBEN_CZCOBEN017</v>
      </c>
      <c r="G16" s="12" t="s">
        <v>28</v>
      </c>
      <c r="H16" s="1">
        <f t="shared" si="1"/>
        <v>1</v>
      </c>
      <c r="I16" s="1" t="s">
        <v>233</v>
      </c>
      <c r="J16" s="1">
        <v>67.457905539999999</v>
      </c>
      <c r="K16" s="7">
        <v>23</v>
      </c>
      <c r="L16" s="7">
        <v>4</v>
      </c>
      <c r="M16" s="7">
        <v>17</v>
      </c>
      <c r="N16" s="8">
        <v>1.06</v>
      </c>
      <c r="O16" s="7">
        <v>-1.34</v>
      </c>
      <c r="P16" s="7">
        <v>0.33</v>
      </c>
      <c r="Q16" s="7">
        <v>0.35</v>
      </c>
      <c r="R16" s="7">
        <v>2</v>
      </c>
    </row>
    <row r="17" spans="1:18" x14ac:dyDescent="0.25">
      <c r="A17" s="1" t="s">
        <v>15</v>
      </c>
      <c r="B17" s="1" t="s">
        <v>16</v>
      </c>
      <c r="C17" s="1" t="s">
        <v>273</v>
      </c>
      <c r="D17" s="1" t="s">
        <v>274</v>
      </c>
      <c r="E17" s="1" t="s">
        <v>275</v>
      </c>
      <c r="F17" s="12" t="str">
        <f t="shared" si="0"/>
        <v>COBEN_CZCOBEN018</v>
      </c>
      <c r="G17" s="12" t="s">
        <v>28</v>
      </c>
      <c r="H17" s="1">
        <f t="shared" si="1"/>
        <v>1</v>
      </c>
      <c r="I17" s="1" t="s">
        <v>233</v>
      </c>
      <c r="J17" s="1">
        <v>77.861738540000005</v>
      </c>
      <c r="K17" s="7">
        <v>29</v>
      </c>
      <c r="L17" s="7">
        <v>3</v>
      </c>
      <c r="M17" s="7">
        <v>17</v>
      </c>
      <c r="N17" s="8">
        <v>0.74</v>
      </c>
      <c r="O17" s="7">
        <v>0.57999999999999996</v>
      </c>
      <c r="P17" s="7">
        <v>-0.23</v>
      </c>
      <c r="Q17" s="7">
        <v>0.14000000000000001</v>
      </c>
      <c r="R17" s="7">
        <v>0</v>
      </c>
    </row>
    <row r="18" spans="1:18" x14ac:dyDescent="0.25">
      <c r="A18" s="1" t="s">
        <v>15</v>
      </c>
      <c r="B18" s="1" t="s">
        <v>16</v>
      </c>
      <c r="C18" s="1" t="s">
        <v>276</v>
      </c>
      <c r="D18" s="1" t="s">
        <v>277</v>
      </c>
      <c r="E18" s="1" t="s">
        <v>278</v>
      </c>
      <c r="F18" s="12" t="str">
        <f t="shared" si="0"/>
        <v>COBEN_CZCOBEN019</v>
      </c>
      <c r="G18" s="12" t="s">
        <v>28</v>
      </c>
      <c r="H18" s="1">
        <f t="shared" si="1"/>
        <v>1</v>
      </c>
      <c r="I18" s="1" t="s">
        <v>233</v>
      </c>
      <c r="J18" s="1">
        <v>62.650239560000003</v>
      </c>
      <c r="K18" s="7">
        <v>29</v>
      </c>
      <c r="L18" s="7">
        <v>3</v>
      </c>
      <c r="M18" s="7">
        <v>13</v>
      </c>
      <c r="N18" s="8">
        <v>0.35</v>
      </c>
      <c r="O18" s="7">
        <v>0.57999999999999996</v>
      </c>
      <c r="P18" s="7">
        <v>-0.41</v>
      </c>
      <c r="Q18" s="7">
        <v>0.99</v>
      </c>
      <c r="R18" s="7">
        <v>2</v>
      </c>
    </row>
    <row r="19" spans="1:18" x14ac:dyDescent="0.25">
      <c r="A19" s="1" t="s">
        <v>15</v>
      </c>
      <c r="B19" s="1" t="s">
        <v>16</v>
      </c>
      <c r="C19" s="1" t="s">
        <v>279</v>
      </c>
      <c r="D19" s="1" t="s">
        <v>280</v>
      </c>
      <c r="E19" s="1" t="s">
        <v>281</v>
      </c>
      <c r="F19" s="12" t="str">
        <f t="shared" si="0"/>
        <v>COBEN_CZCOBEN021</v>
      </c>
      <c r="G19" s="12" t="s">
        <v>20</v>
      </c>
      <c r="H19" s="1">
        <f t="shared" si="1"/>
        <v>0</v>
      </c>
      <c r="I19" s="1" t="s">
        <v>233</v>
      </c>
      <c r="J19" s="1">
        <v>63.011635869999999</v>
      </c>
      <c r="K19" s="7">
        <v>29</v>
      </c>
      <c r="L19" s="7">
        <v>4</v>
      </c>
      <c r="M19" s="7">
        <v>18</v>
      </c>
      <c r="N19" s="8">
        <v>0.23</v>
      </c>
      <c r="O19" s="7">
        <v>1.08</v>
      </c>
      <c r="P19" s="7">
        <v>0.18</v>
      </c>
      <c r="Q19" s="7">
        <v>-0.36</v>
      </c>
      <c r="R19" s="7">
        <v>2</v>
      </c>
    </row>
    <row r="20" spans="1:18" x14ac:dyDescent="0.25">
      <c r="A20" s="1" t="s">
        <v>15</v>
      </c>
      <c r="B20" s="1" t="s">
        <v>16</v>
      </c>
      <c r="C20" s="1" t="s">
        <v>282</v>
      </c>
      <c r="D20" s="1" t="s">
        <v>283</v>
      </c>
      <c r="E20" s="1" t="s">
        <v>284</v>
      </c>
      <c r="F20" s="12" t="str">
        <f t="shared" si="0"/>
        <v>COBEN_CZCOBEN022</v>
      </c>
      <c r="G20" s="12" t="s">
        <v>28</v>
      </c>
      <c r="H20" s="1">
        <f t="shared" si="1"/>
        <v>1</v>
      </c>
      <c r="I20" s="1" t="s">
        <v>233</v>
      </c>
      <c r="J20" s="1">
        <v>73.524982890000004</v>
      </c>
      <c r="K20" s="7">
        <v>27</v>
      </c>
      <c r="L20" s="7">
        <v>4</v>
      </c>
      <c r="M20" s="7">
        <v>18</v>
      </c>
      <c r="N20" s="8">
        <v>1.48</v>
      </c>
      <c r="O20" s="7">
        <v>-1.34</v>
      </c>
      <c r="P20" s="7">
        <v>-0.86</v>
      </c>
      <c r="Q20" s="7">
        <v>-0.98</v>
      </c>
      <c r="R20" s="7">
        <v>2</v>
      </c>
    </row>
    <row r="21" spans="1:18" ht="15.75" customHeight="1" x14ac:dyDescent="0.25">
      <c r="A21" s="1" t="s">
        <v>15</v>
      </c>
      <c r="B21" s="1" t="s">
        <v>16</v>
      </c>
      <c r="C21" s="1" t="s">
        <v>285</v>
      </c>
      <c r="D21" s="1" t="s">
        <v>286</v>
      </c>
      <c r="E21" s="1" t="s">
        <v>287</v>
      </c>
      <c r="F21" s="12" t="str">
        <f t="shared" si="0"/>
        <v>COBEN_CZCOBEN023</v>
      </c>
      <c r="G21" s="12" t="s">
        <v>20</v>
      </c>
      <c r="H21" s="1">
        <f t="shared" si="1"/>
        <v>0</v>
      </c>
      <c r="I21" s="1" t="s">
        <v>233</v>
      </c>
      <c r="J21" s="1">
        <v>66.592744699999997</v>
      </c>
      <c r="K21" s="7">
        <v>25</v>
      </c>
      <c r="L21" s="7">
        <v>3</v>
      </c>
      <c r="M21" s="7">
        <v>13</v>
      </c>
      <c r="N21" s="8">
        <v>-0.28000000000000003</v>
      </c>
      <c r="O21" s="7">
        <v>0.57999999999999996</v>
      </c>
      <c r="P21" s="7">
        <v>0.34</v>
      </c>
      <c r="Q21" s="7">
        <v>1.06</v>
      </c>
      <c r="R21" s="7">
        <v>6</v>
      </c>
    </row>
    <row r="22" spans="1:18" ht="15.75" customHeight="1" x14ac:dyDescent="0.25">
      <c r="A22" s="1" t="s">
        <v>15</v>
      </c>
      <c r="B22" s="1" t="s">
        <v>16</v>
      </c>
      <c r="C22" s="1" t="s">
        <v>288</v>
      </c>
      <c r="D22" s="1" t="s">
        <v>289</v>
      </c>
      <c r="E22" s="1" t="s">
        <v>290</v>
      </c>
      <c r="F22" s="12" t="str">
        <f t="shared" si="0"/>
        <v>COBEN_CZCOBEN024</v>
      </c>
      <c r="G22" s="12" t="s">
        <v>28</v>
      </c>
      <c r="H22" s="1">
        <f t="shared" si="1"/>
        <v>1</v>
      </c>
      <c r="I22" s="1" t="s">
        <v>233</v>
      </c>
      <c r="J22" s="1">
        <v>67.293634499999996</v>
      </c>
      <c r="K22" s="7">
        <v>27</v>
      </c>
      <c r="L22" s="7">
        <v>3</v>
      </c>
      <c r="M22" s="7">
        <v>15</v>
      </c>
      <c r="N22" s="8">
        <v>1.65</v>
      </c>
      <c r="O22" s="7">
        <v>0.57999999999999996</v>
      </c>
      <c r="P22" s="7">
        <v>-0.42</v>
      </c>
      <c r="Q22" s="7">
        <v>0.06</v>
      </c>
      <c r="R22" s="7">
        <v>2</v>
      </c>
    </row>
    <row r="23" spans="1:18" ht="15.75" customHeight="1" x14ac:dyDescent="0.25">
      <c r="A23" s="1" t="s">
        <v>15</v>
      </c>
      <c r="B23" s="1" t="s">
        <v>16</v>
      </c>
      <c r="C23" s="1" t="s">
        <v>291</v>
      </c>
      <c r="D23" s="1" t="s">
        <v>292</v>
      </c>
      <c r="E23" s="1" t="s">
        <v>293</v>
      </c>
      <c r="F23" s="12" t="str">
        <f t="shared" si="0"/>
        <v>COBEN_CZCOBEN025</v>
      </c>
      <c r="G23" s="12" t="s">
        <v>28</v>
      </c>
      <c r="H23" s="1">
        <f t="shared" si="1"/>
        <v>1</v>
      </c>
      <c r="I23" s="1" t="s">
        <v>233</v>
      </c>
      <c r="J23" s="1">
        <v>63.753593430000002</v>
      </c>
      <c r="K23" s="7">
        <v>29</v>
      </c>
      <c r="L23" s="7">
        <v>4</v>
      </c>
      <c r="M23" s="7">
        <v>18</v>
      </c>
      <c r="N23" s="8">
        <v>1.38</v>
      </c>
      <c r="O23" s="7">
        <v>0.15</v>
      </c>
      <c r="P23" s="7">
        <v>0.65</v>
      </c>
      <c r="Q23" s="7">
        <v>0.46</v>
      </c>
      <c r="R23" s="7">
        <v>0</v>
      </c>
    </row>
    <row r="24" spans="1:18" ht="15.75" customHeight="1" x14ac:dyDescent="0.25">
      <c r="A24" s="1" t="s">
        <v>15</v>
      </c>
      <c r="B24" s="1" t="s">
        <v>16</v>
      </c>
      <c r="C24" s="1" t="s">
        <v>294</v>
      </c>
      <c r="D24" s="1" t="s">
        <v>295</v>
      </c>
      <c r="E24" s="1" t="s">
        <v>296</v>
      </c>
      <c r="F24" s="12" t="str">
        <f t="shared" si="0"/>
        <v>COBEN_CZCOBEN026</v>
      </c>
      <c r="G24" s="12" t="s">
        <v>20</v>
      </c>
      <c r="H24" s="1">
        <f t="shared" si="1"/>
        <v>0</v>
      </c>
      <c r="I24" s="1" t="s">
        <v>233</v>
      </c>
      <c r="J24" s="1">
        <v>73.593429159999999</v>
      </c>
      <c r="K24" s="7">
        <v>22</v>
      </c>
      <c r="L24" s="7">
        <v>3</v>
      </c>
      <c r="M24" s="7">
        <v>17</v>
      </c>
      <c r="N24" s="8">
        <v>1.17</v>
      </c>
      <c r="O24" s="7">
        <v>0.57999999999999996</v>
      </c>
      <c r="P24" s="7">
        <v>0.4</v>
      </c>
      <c r="Q24" s="7">
        <v>0.06</v>
      </c>
      <c r="R24" s="7">
        <v>6</v>
      </c>
    </row>
    <row r="25" spans="1:18" ht="15.75" customHeight="1" x14ac:dyDescent="0.25">
      <c r="A25" s="1" t="s">
        <v>15</v>
      </c>
      <c r="B25" s="1" t="s">
        <v>16</v>
      </c>
      <c r="C25" s="1" t="s">
        <v>297</v>
      </c>
      <c r="D25" s="1" t="s">
        <v>298</v>
      </c>
      <c r="E25" s="1" t="s">
        <v>299</v>
      </c>
      <c r="F25" s="12" t="str">
        <f t="shared" si="0"/>
        <v>COBEN_CZCOBEN027</v>
      </c>
      <c r="G25" s="12" t="s">
        <v>20</v>
      </c>
      <c r="H25" s="1">
        <f t="shared" si="1"/>
        <v>0</v>
      </c>
      <c r="I25" s="1" t="s">
        <v>233</v>
      </c>
      <c r="J25" s="1">
        <v>61.577002049999997</v>
      </c>
      <c r="K25" s="7">
        <v>29</v>
      </c>
      <c r="L25" s="7">
        <v>3</v>
      </c>
      <c r="M25" s="7">
        <v>13</v>
      </c>
      <c r="N25" s="8">
        <v>-0.45</v>
      </c>
      <c r="O25" s="7">
        <v>0.15</v>
      </c>
      <c r="P25" s="7">
        <v>0.21</v>
      </c>
      <c r="Q25" s="7">
        <v>-0.04</v>
      </c>
      <c r="R25" s="7">
        <v>8</v>
      </c>
    </row>
    <row r="26" spans="1:18" ht="15.75" customHeight="1" x14ac:dyDescent="0.25">
      <c r="A26" s="1" t="s">
        <v>15</v>
      </c>
      <c r="B26" s="1" t="s">
        <v>16</v>
      </c>
      <c r="C26" s="1" t="s">
        <v>300</v>
      </c>
      <c r="D26" s="1" t="s">
        <v>301</v>
      </c>
      <c r="E26" s="1" t="s">
        <v>302</v>
      </c>
      <c r="F26" s="12" t="str">
        <f t="shared" si="0"/>
        <v>COBEN_CZCOBEN029</v>
      </c>
      <c r="G26" s="12" t="s">
        <v>28</v>
      </c>
      <c r="H26" s="1">
        <f t="shared" si="1"/>
        <v>1</v>
      </c>
      <c r="I26" s="1" t="s">
        <v>233</v>
      </c>
      <c r="J26" s="1">
        <v>70.461327859999997</v>
      </c>
      <c r="K26" s="7">
        <v>27</v>
      </c>
      <c r="L26" s="7">
        <v>3</v>
      </c>
      <c r="M26" s="7">
        <v>13</v>
      </c>
      <c r="N26" s="8">
        <v>2.75</v>
      </c>
      <c r="O26" s="7">
        <v>0.57999999999999996</v>
      </c>
      <c r="P26" s="7">
        <v>-0.01</v>
      </c>
      <c r="Q26" s="7">
        <v>0.36</v>
      </c>
      <c r="R26" s="7">
        <v>4</v>
      </c>
    </row>
    <row r="27" spans="1:18" ht="15.75" customHeight="1" x14ac:dyDescent="0.25">
      <c r="A27" s="1" t="s">
        <v>15</v>
      </c>
      <c r="B27" s="1" t="s">
        <v>16</v>
      </c>
      <c r="C27" s="1" t="s">
        <v>303</v>
      </c>
      <c r="D27" s="1" t="s">
        <v>304</v>
      </c>
      <c r="E27" s="1" t="s">
        <v>305</v>
      </c>
      <c r="F27" s="12" t="str">
        <f t="shared" si="0"/>
        <v>COBEN_CZCOBEN030</v>
      </c>
      <c r="G27" s="12" t="s">
        <v>28</v>
      </c>
      <c r="H27" s="1">
        <f t="shared" si="1"/>
        <v>1</v>
      </c>
      <c r="I27" s="1" t="s">
        <v>233</v>
      </c>
      <c r="J27" s="1">
        <v>69.026694050000003</v>
      </c>
      <c r="K27" s="7">
        <v>29</v>
      </c>
      <c r="L27" s="7">
        <v>3</v>
      </c>
      <c r="M27" s="7">
        <v>14</v>
      </c>
      <c r="N27" s="8">
        <v>0.3</v>
      </c>
      <c r="O27" s="7">
        <v>0.15</v>
      </c>
      <c r="P27" s="7">
        <v>0.55000000000000004</v>
      </c>
      <c r="Q27" s="7">
        <v>1.01</v>
      </c>
      <c r="R27" s="7">
        <v>2</v>
      </c>
    </row>
    <row r="28" spans="1:18" ht="15.75" customHeight="1" x14ac:dyDescent="0.25">
      <c r="A28" s="1" t="s">
        <v>15</v>
      </c>
      <c r="B28" s="1" t="s">
        <v>16</v>
      </c>
      <c r="C28" s="1" t="s">
        <v>306</v>
      </c>
      <c r="D28" s="1" t="s">
        <v>307</v>
      </c>
      <c r="E28" s="1" t="s">
        <v>308</v>
      </c>
      <c r="F28" s="12" t="str">
        <f t="shared" si="0"/>
        <v>COBEN_CZCOBEN032</v>
      </c>
      <c r="G28" s="12" t="s">
        <v>28</v>
      </c>
      <c r="H28" s="1">
        <f t="shared" si="1"/>
        <v>1</v>
      </c>
      <c r="I28" s="1" t="s">
        <v>233</v>
      </c>
      <c r="J28" s="1">
        <v>68.714579060000005</v>
      </c>
      <c r="K28" s="7">
        <v>27</v>
      </c>
      <c r="L28" s="7">
        <v>3</v>
      </c>
      <c r="M28" s="7">
        <v>12</v>
      </c>
      <c r="N28" s="8">
        <v>1.45</v>
      </c>
      <c r="O28" s="7">
        <v>-0.25</v>
      </c>
      <c r="P28" s="7">
        <v>0.94</v>
      </c>
      <c r="Q28" s="7">
        <v>0.02</v>
      </c>
      <c r="R28" s="7">
        <v>8</v>
      </c>
    </row>
    <row r="29" spans="1:18" ht="15.75" customHeight="1" x14ac:dyDescent="0.25">
      <c r="A29" s="1" t="s">
        <v>15</v>
      </c>
      <c r="B29" s="1" t="s">
        <v>16</v>
      </c>
      <c r="C29" s="1" t="s">
        <v>17</v>
      </c>
      <c r="D29" s="1" t="s">
        <v>18</v>
      </c>
      <c r="E29" s="1" t="s">
        <v>19</v>
      </c>
      <c r="F29" s="12" t="str">
        <f t="shared" si="0"/>
        <v>COBEN_CZCOBEN033</v>
      </c>
      <c r="G29" s="12" t="s">
        <v>20</v>
      </c>
      <c r="H29" s="1">
        <f t="shared" si="1"/>
        <v>0</v>
      </c>
      <c r="I29" s="1" t="s">
        <v>21</v>
      </c>
      <c r="J29" s="1">
        <v>62.406570840000001</v>
      </c>
      <c r="K29" s="7">
        <v>27</v>
      </c>
      <c r="L29" s="7">
        <v>3</v>
      </c>
      <c r="M29" s="7">
        <v>14</v>
      </c>
      <c r="N29" s="8">
        <v>0.22</v>
      </c>
      <c r="O29" s="7">
        <v>1.08</v>
      </c>
      <c r="P29" s="7">
        <v>-0.94</v>
      </c>
      <c r="Q29" s="7">
        <v>-1.95</v>
      </c>
      <c r="R29" s="7">
        <v>6</v>
      </c>
    </row>
    <row r="30" spans="1:18" ht="15.75" customHeight="1" x14ac:dyDescent="0.25">
      <c r="A30" s="1" t="s">
        <v>15</v>
      </c>
      <c r="B30" s="1" t="s">
        <v>16</v>
      </c>
      <c r="C30" s="1" t="s">
        <v>22</v>
      </c>
      <c r="D30" s="1" t="s">
        <v>23</v>
      </c>
      <c r="E30" s="1" t="s">
        <v>24</v>
      </c>
      <c r="F30" s="12" t="str">
        <f t="shared" si="0"/>
        <v>COBEN_CZCOBEN034</v>
      </c>
      <c r="G30" s="12" t="s">
        <v>20</v>
      </c>
      <c r="H30" s="1">
        <f t="shared" si="1"/>
        <v>0</v>
      </c>
      <c r="I30" s="1" t="s">
        <v>21</v>
      </c>
      <c r="J30" s="1">
        <v>66.305270359999994</v>
      </c>
      <c r="K30" s="7">
        <v>20</v>
      </c>
      <c r="L30" s="7">
        <v>2</v>
      </c>
      <c r="M30" s="7">
        <v>12</v>
      </c>
      <c r="N30" s="8">
        <v>-1.63</v>
      </c>
      <c r="O30" s="7">
        <v>-0.77</v>
      </c>
      <c r="P30" s="7">
        <v>-0.78</v>
      </c>
      <c r="Q30" s="7">
        <v>-1.95</v>
      </c>
      <c r="R30" s="7">
        <v>0</v>
      </c>
    </row>
    <row r="31" spans="1:18" ht="15.75" customHeight="1" x14ac:dyDescent="0.25">
      <c r="A31" s="1" t="s">
        <v>15</v>
      </c>
      <c r="B31" s="1" t="s">
        <v>16</v>
      </c>
      <c r="C31" s="1" t="s">
        <v>25</v>
      </c>
      <c r="D31" s="1" t="s">
        <v>26</v>
      </c>
      <c r="E31" s="1" t="s">
        <v>27</v>
      </c>
      <c r="F31" s="12" t="str">
        <f t="shared" si="0"/>
        <v>COBEN_CZCOBEN035</v>
      </c>
      <c r="G31" s="12" t="s">
        <v>28</v>
      </c>
      <c r="H31" s="1">
        <f t="shared" si="1"/>
        <v>1</v>
      </c>
      <c r="I31" s="1" t="s">
        <v>21</v>
      </c>
      <c r="J31" s="1">
        <v>74.214921290000007</v>
      </c>
      <c r="K31" s="7">
        <v>7</v>
      </c>
      <c r="L31" s="7">
        <v>2</v>
      </c>
      <c r="M31" s="7">
        <v>11</v>
      </c>
      <c r="N31" s="8">
        <v>-3</v>
      </c>
      <c r="O31" s="7">
        <v>-1.34</v>
      </c>
      <c r="P31" s="7">
        <v>-2.15</v>
      </c>
      <c r="Q31" s="7">
        <v>-1.51</v>
      </c>
      <c r="R31" s="7">
        <v>4</v>
      </c>
    </row>
    <row r="32" spans="1:18" ht="15.75" customHeight="1" x14ac:dyDescent="0.25">
      <c r="A32" s="1" t="s">
        <v>15</v>
      </c>
      <c r="B32" s="1" t="s">
        <v>16</v>
      </c>
      <c r="C32" s="1" t="s">
        <v>29</v>
      </c>
      <c r="D32" s="1" t="s">
        <v>30</v>
      </c>
      <c r="E32" s="1" t="s">
        <v>31</v>
      </c>
      <c r="F32" s="12" t="str">
        <f t="shared" si="0"/>
        <v>COBEN_CZCOBEN036</v>
      </c>
      <c r="G32" s="12" t="s">
        <v>28</v>
      </c>
      <c r="H32" s="1">
        <f t="shared" si="1"/>
        <v>1</v>
      </c>
      <c r="I32" s="1" t="s">
        <v>21</v>
      </c>
      <c r="J32" s="1">
        <v>75.852156059999999</v>
      </c>
      <c r="K32" s="7">
        <v>25</v>
      </c>
      <c r="L32" s="7">
        <v>2</v>
      </c>
      <c r="M32" s="7">
        <v>10</v>
      </c>
      <c r="N32" s="8">
        <v>-1.36</v>
      </c>
      <c r="O32" s="7">
        <v>0.15</v>
      </c>
      <c r="P32" s="7">
        <v>-0.38</v>
      </c>
      <c r="Q32" s="7">
        <v>-0.76</v>
      </c>
      <c r="R32" s="7">
        <v>10</v>
      </c>
    </row>
    <row r="33" spans="1:18" ht="15.75" customHeight="1" x14ac:dyDescent="0.25">
      <c r="A33" s="1" t="s">
        <v>15</v>
      </c>
      <c r="B33" s="1" t="s">
        <v>16</v>
      </c>
      <c r="C33" s="1" t="s">
        <v>32</v>
      </c>
      <c r="D33" s="1" t="s">
        <v>33</v>
      </c>
      <c r="E33" s="1" t="s">
        <v>34</v>
      </c>
      <c r="F33" s="12" t="str">
        <f t="shared" si="0"/>
        <v>COBEN_CZCOBEN038</v>
      </c>
      <c r="G33" s="12" t="s">
        <v>28</v>
      </c>
      <c r="H33" s="1">
        <f t="shared" si="1"/>
        <v>1</v>
      </c>
      <c r="I33" s="1" t="s">
        <v>21</v>
      </c>
      <c r="J33" s="1">
        <v>69.806981519999994</v>
      </c>
      <c r="K33" s="7">
        <v>22</v>
      </c>
      <c r="L33" s="7">
        <v>2</v>
      </c>
      <c r="M33" s="7">
        <v>12</v>
      </c>
      <c r="N33" s="8">
        <v>-0.15</v>
      </c>
      <c r="O33" s="7">
        <v>-1.75</v>
      </c>
      <c r="P33" s="7">
        <v>-1.03</v>
      </c>
      <c r="Q33" s="7">
        <v>-1.48</v>
      </c>
      <c r="R33" s="7">
        <v>24</v>
      </c>
    </row>
    <row r="34" spans="1:18" ht="15.75" customHeight="1" x14ac:dyDescent="0.25">
      <c r="A34" s="1" t="s">
        <v>15</v>
      </c>
      <c r="B34" s="1" t="s">
        <v>16</v>
      </c>
      <c r="C34" s="1" t="s">
        <v>35</v>
      </c>
      <c r="D34" s="1" t="s">
        <v>36</v>
      </c>
      <c r="E34" s="1" t="s">
        <v>37</v>
      </c>
      <c r="F34" s="12" t="str">
        <f t="shared" si="0"/>
        <v>COBEN_CZCOBEN039</v>
      </c>
      <c r="G34" s="12" t="s">
        <v>20</v>
      </c>
      <c r="H34" s="1">
        <f t="shared" si="1"/>
        <v>0</v>
      </c>
      <c r="I34" s="1" t="s">
        <v>21</v>
      </c>
      <c r="J34" s="1">
        <v>60.596851469999997</v>
      </c>
      <c r="K34" s="7">
        <v>25</v>
      </c>
      <c r="L34" s="7">
        <v>2</v>
      </c>
      <c r="M34" s="7">
        <v>12</v>
      </c>
      <c r="N34" s="8">
        <v>-0.87</v>
      </c>
      <c r="O34" s="7">
        <v>0.57999999999999996</v>
      </c>
      <c r="P34" s="7">
        <v>-0.28999999999999998</v>
      </c>
      <c r="Q34" s="7">
        <v>0.24</v>
      </c>
      <c r="R34" s="7">
        <v>2</v>
      </c>
    </row>
    <row r="35" spans="1:18" ht="15.75" customHeight="1" x14ac:dyDescent="0.25">
      <c r="A35" s="1" t="s">
        <v>15</v>
      </c>
      <c r="B35" s="1" t="s">
        <v>16</v>
      </c>
      <c r="C35" s="1" t="s">
        <v>38</v>
      </c>
      <c r="D35" s="1" t="s">
        <v>39</v>
      </c>
      <c r="E35" s="1" t="s">
        <v>40</v>
      </c>
      <c r="F35" s="12" t="str">
        <f t="shared" si="0"/>
        <v>COBEN_CZCOBEN040</v>
      </c>
      <c r="G35" s="12" t="s">
        <v>20</v>
      </c>
      <c r="H35" s="1">
        <f t="shared" si="1"/>
        <v>0</v>
      </c>
      <c r="I35" s="1" t="s">
        <v>21</v>
      </c>
      <c r="J35" s="1">
        <v>67.813826149999997</v>
      </c>
      <c r="K35" s="7">
        <v>13</v>
      </c>
      <c r="L35" s="7">
        <v>4</v>
      </c>
      <c r="M35" s="7">
        <v>18</v>
      </c>
      <c r="N35" s="8">
        <v>-2.23</v>
      </c>
      <c r="O35" s="7">
        <v>0.57999999999999996</v>
      </c>
      <c r="P35" s="7">
        <v>-0.97</v>
      </c>
      <c r="Q35" s="7">
        <v>-0.88</v>
      </c>
      <c r="R35" s="7">
        <v>8</v>
      </c>
    </row>
    <row r="36" spans="1:18" ht="15.75" customHeight="1" x14ac:dyDescent="0.25">
      <c r="A36" s="1" t="s">
        <v>15</v>
      </c>
      <c r="B36" s="1" t="s">
        <v>16</v>
      </c>
      <c r="C36" s="1" t="s">
        <v>41</v>
      </c>
      <c r="D36" s="1" t="s">
        <v>42</v>
      </c>
      <c r="E36" s="1" t="s">
        <v>43</v>
      </c>
      <c r="F36" s="12" t="str">
        <f t="shared" si="0"/>
        <v>COBEN_CZCOBEN042</v>
      </c>
      <c r="G36" s="12" t="s">
        <v>28</v>
      </c>
      <c r="H36" s="1">
        <f t="shared" si="1"/>
        <v>1</v>
      </c>
      <c r="I36" s="1" t="s">
        <v>21</v>
      </c>
      <c r="J36" s="1">
        <v>71.592060230000001</v>
      </c>
      <c r="K36" s="7">
        <v>15</v>
      </c>
      <c r="L36" s="7">
        <v>1</v>
      </c>
      <c r="M36" s="7">
        <v>9</v>
      </c>
      <c r="N36" s="8">
        <v>0.22</v>
      </c>
      <c r="O36" s="7">
        <v>-1.34</v>
      </c>
      <c r="P36" s="7">
        <v>-0.73</v>
      </c>
      <c r="Q36" s="7">
        <v>-1.66</v>
      </c>
      <c r="R36" s="7">
        <v>6</v>
      </c>
    </row>
    <row r="37" spans="1:18" ht="15.75" customHeight="1" x14ac:dyDescent="0.25">
      <c r="A37" s="1" t="s">
        <v>15</v>
      </c>
      <c r="B37" s="1" t="s">
        <v>16</v>
      </c>
      <c r="C37" s="1" t="s">
        <v>44</v>
      </c>
      <c r="D37" s="1" t="s">
        <v>45</v>
      </c>
      <c r="E37" s="1" t="s">
        <v>46</v>
      </c>
      <c r="F37" s="12" t="str">
        <f t="shared" si="0"/>
        <v>COBEN_CZCOBEN044</v>
      </c>
      <c r="G37" s="12" t="s">
        <v>28</v>
      </c>
      <c r="H37" s="1">
        <f t="shared" si="1"/>
        <v>1</v>
      </c>
      <c r="I37" s="1" t="s">
        <v>21</v>
      </c>
      <c r="J37" s="1">
        <v>64.42436687</v>
      </c>
      <c r="K37" s="7">
        <v>17</v>
      </c>
      <c r="L37" s="7">
        <v>4</v>
      </c>
      <c r="M37" s="7">
        <v>18</v>
      </c>
      <c r="N37" s="8">
        <v>-2.33</v>
      </c>
      <c r="O37" s="7">
        <v>-2.17</v>
      </c>
      <c r="P37" s="7">
        <v>-1.31</v>
      </c>
      <c r="Q37" s="7">
        <v>-0.93</v>
      </c>
      <c r="R37" s="7">
        <v>2</v>
      </c>
    </row>
    <row r="38" spans="1:18" ht="15.75" customHeight="1" x14ac:dyDescent="0.25">
      <c r="A38" s="1" t="s">
        <v>15</v>
      </c>
      <c r="B38" s="1" t="s">
        <v>16</v>
      </c>
      <c r="C38" s="1" t="s">
        <v>47</v>
      </c>
      <c r="D38" s="1" t="s">
        <v>48</v>
      </c>
      <c r="E38" s="1" t="s">
        <v>49</v>
      </c>
      <c r="F38" s="12" t="str">
        <f t="shared" si="0"/>
        <v>COBEN_CZCOBEN046</v>
      </c>
      <c r="G38" s="12" t="s">
        <v>28</v>
      </c>
      <c r="H38" s="1">
        <f t="shared" si="1"/>
        <v>1</v>
      </c>
      <c r="I38" s="1" t="s">
        <v>21</v>
      </c>
      <c r="J38" s="1">
        <v>60.881587949999997</v>
      </c>
      <c r="K38" s="7">
        <v>20</v>
      </c>
      <c r="L38" s="7">
        <v>3</v>
      </c>
      <c r="M38" s="7">
        <v>13</v>
      </c>
      <c r="N38" s="8">
        <v>-0.18</v>
      </c>
      <c r="O38" s="7">
        <v>-0.25</v>
      </c>
      <c r="P38" s="7">
        <v>0.04</v>
      </c>
      <c r="Q38" s="7">
        <v>0.65</v>
      </c>
      <c r="R38" s="7">
        <v>0</v>
      </c>
    </row>
    <row r="39" spans="1:18" ht="15.75" customHeight="1" x14ac:dyDescent="0.25">
      <c r="A39" s="1" t="s">
        <v>15</v>
      </c>
      <c r="B39" s="1" t="s">
        <v>16</v>
      </c>
      <c r="C39" s="1" t="s">
        <v>105</v>
      </c>
      <c r="D39" s="1" t="s">
        <v>106</v>
      </c>
      <c r="E39" s="1" t="s">
        <v>107</v>
      </c>
      <c r="F39" s="12" t="str">
        <f t="shared" si="0"/>
        <v>COBEN_CZCOBEN047</v>
      </c>
      <c r="G39" s="12" t="s">
        <v>28</v>
      </c>
      <c r="H39" s="1">
        <f t="shared" si="1"/>
        <v>1</v>
      </c>
      <c r="I39" s="1" t="s">
        <v>108</v>
      </c>
      <c r="J39" s="1">
        <v>71.282683090000006</v>
      </c>
      <c r="K39" s="7">
        <v>25</v>
      </c>
      <c r="L39" s="7">
        <v>3</v>
      </c>
      <c r="M39" s="7">
        <v>15</v>
      </c>
      <c r="N39" s="8">
        <v>0.48</v>
      </c>
      <c r="O39" s="7">
        <v>-1.75</v>
      </c>
      <c r="P39" s="7">
        <v>-0.28000000000000003</v>
      </c>
      <c r="Q39" s="7">
        <v>-1.74</v>
      </c>
      <c r="R39" s="7">
        <v>2</v>
      </c>
    </row>
    <row r="40" spans="1:18" ht="15.75" customHeight="1" x14ac:dyDescent="0.25">
      <c r="A40" s="1" t="s">
        <v>15</v>
      </c>
      <c r="B40" s="1" t="s">
        <v>16</v>
      </c>
      <c r="C40" s="1" t="s">
        <v>109</v>
      </c>
      <c r="D40" s="1" t="s">
        <v>110</v>
      </c>
      <c r="E40" s="1" t="s">
        <v>111</v>
      </c>
      <c r="F40" s="12" t="str">
        <f t="shared" si="0"/>
        <v>COBEN_CZCOBEN048</v>
      </c>
      <c r="G40" s="12" t="s">
        <v>28</v>
      </c>
      <c r="H40" s="1">
        <f t="shared" si="1"/>
        <v>1</v>
      </c>
      <c r="I40" s="1" t="s">
        <v>108</v>
      </c>
      <c r="J40" s="1">
        <v>70.921286789999996</v>
      </c>
      <c r="K40" s="7">
        <v>22</v>
      </c>
      <c r="L40" s="7">
        <v>3</v>
      </c>
      <c r="M40" s="7">
        <v>15</v>
      </c>
      <c r="N40" s="8">
        <v>0.63</v>
      </c>
      <c r="O40" s="7">
        <v>-1.34</v>
      </c>
      <c r="P40" s="7">
        <v>-0.74</v>
      </c>
      <c r="Q40" s="7">
        <v>-0.35</v>
      </c>
      <c r="R40" s="7">
        <v>14</v>
      </c>
    </row>
    <row r="41" spans="1:18" ht="15.75" customHeight="1" x14ac:dyDescent="0.25">
      <c r="A41" s="1" t="s">
        <v>15</v>
      </c>
      <c r="B41" s="1" t="s">
        <v>16</v>
      </c>
      <c r="C41" s="1" t="s">
        <v>112</v>
      </c>
      <c r="D41" s="1" t="s">
        <v>113</v>
      </c>
      <c r="E41" s="1" t="s">
        <v>114</v>
      </c>
      <c r="F41" s="12" t="str">
        <f t="shared" si="0"/>
        <v>COBEN_CZCOBEN049</v>
      </c>
      <c r="G41" s="12" t="s">
        <v>28</v>
      </c>
      <c r="H41" s="1">
        <f t="shared" si="1"/>
        <v>1</v>
      </c>
      <c r="I41" s="1" t="s">
        <v>115</v>
      </c>
      <c r="J41" s="1">
        <v>60.509240249999998</v>
      </c>
      <c r="K41" s="7">
        <v>29</v>
      </c>
      <c r="L41" s="7">
        <v>2</v>
      </c>
      <c r="M41" s="7">
        <v>12</v>
      </c>
      <c r="N41" s="8">
        <v>1.23</v>
      </c>
      <c r="O41" s="7">
        <v>0.15</v>
      </c>
      <c r="P41" s="7">
        <v>-0.08</v>
      </c>
      <c r="Q41" s="7">
        <v>0.91</v>
      </c>
      <c r="R41" s="7">
        <v>8</v>
      </c>
    </row>
    <row r="42" spans="1:18" ht="15.75" customHeight="1" x14ac:dyDescent="0.25">
      <c r="A42" s="1" t="s">
        <v>15</v>
      </c>
      <c r="B42" s="1" t="s">
        <v>16</v>
      </c>
      <c r="C42" s="1" t="s">
        <v>116</v>
      </c>
      <c r="D42" s="1" t="s">
        <v>117</v>
      </c>
      <c r="E42" s="1" t="s">
        <v>118</v>
      </c>
      <c r="F42" s="12" t="str">
        <f t="shared" si="0"/>
        <v>COBEN_CZCOBEN050</v>
      </c>
      <c r="G42" s="12" t="s">
        <v>20</v>
      </c>
      <c r="H42" s="1">
        <f t="shared" si="1"/>
        <v>0</v>
      </c>
      <c r="I42" s="1" t="s">
        <v>108</v>
      </c>
      <c r="J42" s="1">
        <v>79.123887749999994</v>
      </c>
      <c r="K42" s="7">
        <v>22</v>
      </c>
      <c r="L42" s="7">
        <v>3</v>
      </c>
      <c r="M42" s="7">
        <v>12</v>
      </c>
      <c r="N42" s="8">
        <v>1.18</v>
      </c>
      <c r="O42" s="7">
        <v>-0.25</v>
      </c>
      <c r="P42" s="7">
        <v>-0.82</v>
      </c>
      <c r="Q42" s="7">
        <v>0.43</v>
      </c>
      <c r="R42" s="7">
        <v>24</v>
      </c>
    </row>
    <row r="43" spans="1:18" ht="15.75" customHeight="1" x14ac:dyDescent="0.25">
      <c r="A43" s="1" t="s">
        <v>15</v>
      </c>
      <c r="B43" s="1" t="s">
        <v>16</v>
      </c>
      <c r="C43" s="1" t="s">
        <v>122</v>
      </c>
      <c r="D43" s="1" t="s">
        <v>123</v>
      </c>
      <c r="E43" s="1" t="s">
        <v>124</v>
      </c>
      <c r="F43" s="12" t="str">
        <f t="shared" si="0"/>
        <v>COBEN_CZCOBEN052</v>
      </c>
      <c r="G43" s="12" t="s">
        <v>20</v>
      </c>
      <c r="H43" s="1">
        <f t="shared" si="1"/>
        <v>0</v>
      </c>
      <c r="I43" s="1" t="s">
        <v>108</v>
      </c>
      <c r="J43" s="1">
        <v>63.255304590000001</v>
      </c>
      <c r="K43" s="7">
        <v>29</v>
      </c>
      <c r="L43" s="7">
        <v>4</v>
      </c>
      <c r="M43" s="7">
        <v>18</v>
      </c>
      <c r="N43" s="8">
        <v>1.08</v>
      </c>
      <c r="O43" s="7">
        <v>0.15</v>
      </c>
      <c r="P43" s="7">
        <v>-0.47</v>
      </c>
      <c r="Q43" s="7">
        <v>-0.11</v>
      </c>
      <c r="R43" s="7">
        <v>8</v>
      </c>
    </row>
    <row r="44" spans="1:18" ht="15.75" customHeight="1" x14ac:dyDescent="0.25">
      <c r="A44" s="1" t="s">
        <v>15</v>
      </c>
      <c r="B44" s="1" t="s">
        <v>16</v>
      </c>
      <c r="C44" s="1" t="s">
        <v>119</v>
      </c>
      <c r="D44" s="1" t="s">
        <v>120</v>
      </c>
      <c r="E44" s="1" t="s">
        <v>121</v>
      </c>
      <c r="F44" s="12" t="str">
        <f t="shared" si="0"/>
        <v>COBEN_CZCOBEN053</v>
      </c>
      <c r="G44" s="12" t="s">
        <v>20</v>
      </c>
      <c r="H44" s="1">
        <f t="shared" si="1"/>
        <v>0</v>
      </c>
      <c r="I44" s="1" t="s">
        <v>108</v>
      </c>
      <c r="J44" s="1">
        <v>69.697467489999994</v>
      </c>
      <c r="K44" s="7">
        <v>25</v>
      </c>
      <c r="L44" s="7">
        <v>4</v>
      </c>
      <c r="M44" s="7">
        <v>18</v>
      </c>
      <c r="N44" s="8">
        <v>-1.03</v>
      </c>
      <c r="O44" s="7">
        <v>0.15</v>
      </c>
      <c r="P44" s="7">
        <v>-1.05</v>
      </c>
      <c r="Q44" s="7">
        <v>-0.35</v>
      </c>
      <c r="R44" s="7">
        <v>4</v>
      </c>
    </row>
    <row r="45" spans="1:18" ht="15.75" customHeight="1" x14ac:dyDescent="0.25">
      <c r="A45" s="1" t="s">
        <v>15</v>
      </c>
      <c r="B45" s="1" t="s">
        <v>16</v>
      </c>
      <c r="C45" s="1" t="s">
        <v>128</v>
      </c>
      <c r="D45" s="1" t="s">
        <v>129</v>
      </c>
      <c r="E45" s="1" t="s">
        <v>130</v>
      </c>
      <c r="F45" s="12" t="str">
        <f t="shared" si="0"/>
        <v>COBEN_CZCOBEN054</v>
      </c>
      <c r="G45" s="12" t="s">
        <v>20</v>
      </c>
      <c r="H45" s="1">
        <f t="shared" si="1"/>
        <v>0</v>
      </c>
      <c r="I45" s="1" t="s">
        <v>108</v>
      </c>
      <c r="J45" s="1">
        <v>76.588637919999996</v>
      </c>
      <c r="K45" s="7">
        <v>23</v>
      </c>
      <c r="L45" s="7">
        <v>4</v>
      </c>
      <c r="M45" s="7">
        <v>18</v>
      </c>
      <c r="N45" s="8">
        <v>1.53</v>
      </c>
      <c r="O45" s="7">
        <v>-0.77</v>
      </c>
      <c r="P45" s="7">
        <v>-0.86</v>
      </c>
      <c r="Q45" s="7">
        <v>-1.21</v>
      </c>
      <c r="R45" s="7">
        <v>22</v>
      </c>
    </row>
    <row r="46" spans="1:18" ht="15.75" customHeight="1" x14ac:dyDescent="0.25">
      <c r="A46" s="1" t="s">
        <v>15</v>
      </c>
      <c r="B46" s="1" t="s">
        <v>16</v>
      </c>
      <c r="C46" s="1" t="s">
        <v>125</v>
      </c>
      <c r="D46" s="1" t="s">
        <v>126</v>
      </c>
      <c r="E46" s="1" t="s">
        <v>127</v>
      </c>
      <c r="F46" s="12" t="str">
        <f t="shared" si="0"/>
        <v>COBEN_CZCOBEN055</v>
      </c>
      <c r="G46" s="12" t="s">
        <v>28</v>
      </c>
      <c r="H46" s="1">
        <f t="shared" si="1"/>
        <v>1</v>
      </c>
      <c r="I46" s="1" t="s">
        <v>108</v>
      </c>
      <c r="J46" s="1">
        <v>57.749486650000001</v>
      </c>
      <c r="K46" s="7">
        <v>25</v>
      </c>
      <c r="L46" s="7">
        <v>3</v>
      </c>
      <c r="M46" s="7">
        <v>14</v>
      </c>
      <c r="N46" s="8">
        <v>-0.47</v>
      </c>
      <c r="O46" s="7">
        <v>0.15</v>
      </c>
      <c r="P46" s="7">
        <v>-0.45</v>
      </c>
      <c r="Q46" s="7">
        <v>0.19</v>
      </c>
      <c r="R46" s="7">
        <v>2</v>
      </c>
    </row>
    <row r="47" spans="1:18" ht="15.75" customHeight="1" x14ac:dyDescent="0.25">
      <c r="A47" s="1" t="s">
        <v>15</v>
      </c>
      <c r="B47" s="1" t="s">
        <v>16</v>
      </c>
      <c r="C47" s="1" t="s">
        <v>131</v>
      </c>
      <c r="D47" s="1" t="s">
        <v>132</v>
      </c>
      <c r="E47" s="1" t="s">
        <v>133</v>
      </c>
      <c r="F47" s="12" t="str">
        <f t="shared" si="0"/>
        <v>COBEN_CZCOBEN057</v>
      </c>
      <c r="G47" s="12" t="s">
        <v>28</v>
      </c>
      <c r="H47" s="1">
        <f t="shared" si="1"/>
        <v>1</v>
      </c>
      <c r="I47" s="1" t="s">
        <v>108</v>
      </c>
      <c r="J47" s="1">
        <v>65.013004789999997</v>
      </c>
      <c r="K47" s="7">
        <v>29</v>
      </c>
      <c r="L47" s="7">
        <v>2</v>
      </c>
      <c r="M47" s="7">
        <v>12</v>
      </c>
      <c r="N47" s="8">
        <v>-0.28000000000000003</v>
      </c>
      <c r="O47" s="7">
        <v>-1.75</v>
      </c>
      <c r="P47" s="7">
        <v>-0.18</v>
      </c>
      <c r="Q47" s="7">
        <v>-0.17</v>
      </c>
      <c r="R47" s="7">
        <v>4</v>
      </c>
    </row>
    <row r="48" spans="1:18" ht="15.75" customHeight="1" x14ac:dyDescent="0.25">
      <c r="A48" s="1" t="s">
        <v>15</v>
      </c>
      <c r="B48" s="1" t="s">
        <v>16</v>
      </c>
      <c r="C48" s="1" t="s">
        <v>134</v>
      </c>
      <c r="D48" s="1" t="s">
        <v>135</v>
      </c>
      <c r="E48" s="1" t="s">
        <v>136</v>
      </c>
      <c r="F48" s="12" t="str">
        <f t="shared" si="0"/>
        <v>COBEN_CZCOBEN058</v>
      </c>
      <c r="G48" s="12" t="s">
        <v>28</v>
      </c>
      <c r="H48" s="1">
        <f t="shared" si="1"/>
        <v>1</v>
      </c>
      <c r="I48" s="1" t="s">
        <v>108</v>
      </c>
      <c r="J48" s="1">
        <v>81.965776869999999</v>
      </c>
      <c r="K48" s="7">
        <v>18</v>
      </c>
      <c r="L48" s="7">
        <v>3</v>
      </c>
      <c r="M48" s="7">
        <v>12</v>
      </c>
      <c r="N48" s="8">
        <v>-1.08</v>
      </c>
      <c r="O48" s="7">
        <v>-1.34</v>
      </c>
      <c r="P48" s="7">
        <v>-1.08</v>
      </c>
      <c r="Q48" s="7">
        <v>-1.08</v>
      </c>
      <c r="R48" s="7">
        <v>4</v>
      </c>
    </row>
    <row r="49" spans="1:18" ht="15.75" customHeight="1" x14ac:dyDescent="0.25">
      <c r="A49" s="1" t="s">
        <v>15</v>
      </c>
      <c r="B49" s="1" t="s">
        <v>16</v>
      </c>
      <c r="C49" s="1" t="s">
        <v>137</v>
      </c>
      <c r="D49" s="1" t="s">
        <v>138</v>
      </c>
      <c r="E49" s="1" t="s">
        <v>139</v>
      </c>
      <c r="F49" s="12" t="str">
        <f t="shared" si="0"/>
        <v>COBEN_CZCOBEN059</v>
      </c>
      <c r="G49" s="12" t="s">
        <v>20</v>
      </c>
      <c r="H49" s="1">
        <f t="shared" si="1"/>
        <v>0</v>
      </c>
      <c r="I49" s="1" t="s">
        <v>108</v>
      </c>
      <c r="J49" s="1">
        <v>76.925393569999997</v>
      </c>
      <c r="K49" s="7">
        <v>22</v>
      </c>
      <c r="L49" s="7">
        <v>3</v>
      </c>
      <c r="M49" s="7">
        <v>12</v>
      </c>
      <c r="N49" s="8">
        <v>-0.85</v>
      </c>
      <c r="O49" s="7">
        <v>-0.25</v>
      </c>
      <c r="P49" s="7">
        <v>-1.44</v>
      </c>
      <c r="Q49" s="7">
        <v>-0.72</v>
      </c>
      <c r="R49" s="7">
        <v>0</v>
      </c>
    </row>
    <row r="50" spans="1:18" ht="15.75" customHeight="1" x14ac:dyDescent="0.25">
      <c r="A50" s="1" t="s">
        <v>15</v>
      </c>
      <c r="B50" s="1" t="s">
        <v>16</v>
      </c>
      <c r="C50" s="1" t="s">
        <v>140</v>
      </c>
      <c r="D50" s="1" t="s">
        <v>141</v>
      </c>
      <c r="E50" s="1" t="s">
        <v>142</v>
      </c>
      <c r="F50" s="12" t="str">
        <f t="shared" si="0"/>
        <v>COBEN_CZCOBEN060</v>
      </c>
      <c r="G50" s="12" t="s">
        <v>28</v>
      </c>
      <c r="H50" s="1">
        <f t="shared" si="1"/>
        <v>1</v>
      </c>
      <c r="I50" s="1" t="s">
        <v>108</v>
      </c>
      <c r="J50" s="1">
        <v>60.952772070000002</v>
      </c>
      <c r="K50" s="7">
        <v>25</v>
      </c>
      <c r="L50" s="7">
        <v>4</v>
      </c>
      <c r="M50" s="7">
        <v>18</v>
      </c>
      <c r="N50" s="8">
        <v>0.4</v>
      </c>
      <c r="O50" s="7">
        <v>-2.17</v>
      </c>
      <c r="P50" s="7">
        <v>-0.33</v>
      </c>
      <c r="Q50" s="7">
        <v>0.17</v>
      </c>
      <c r="R50" s="7">
        <v>10</v>
      </c>
    </row>
    <row r="51" spans="1:18" ht="15.75" customHeight="1" x14ac:dyDescent="0.25">
      <c r="A51" s="1" t="s">
        <v>15</v>
      </c>
      <c r="B51" s="1" t="s">
        <v>16</v>
      </c>
      <c r="C51" s="1" t="s">
        <v>143</v>
      </c>
      <c r="D51" s="1" t="s">
        <v>144</v>
      </c>
      <c r="E51" s="1" t="s">
        <v>145</v>
      </c>
      <c r="F51" s="12" t="str">
        <f t="shared" si="0"/>
        <v>COBEN_CZCOBEN061</v>
      </c>
      <c r="G51" s="12" t="s">
        <v>28</v>
      </c>
      <c r="H51" s="1">
        <f t="shared" si="1"/>
        <v>1</v>
      </c>
      <c r="I51" s="1" t="s">
        <v>108</v>
      </c>
      <c r="J51" s="1">
        <v>51.967145789999996</v>
      </c>
      <c r="K51" s="7">
        <v>27</v>
      </c>
      <c r="L51" s="7">
        <v>2</v>
      </c>
      <c r="M51" s="7">
        <v>12</v>
      </c>
      <c r="N51" s="8">
        <v>-0.51</v>
      </c>
      <c r="O51" s="7">
        <v>0.15</v>
      </c>
      <c r="P51" s="7">
        <v>-0.52</v>
      </c>
      <c r="Q51" s="7">
        <v>-0.13</v>
      </c>
      <c r="R51" s="7">
        <v>8</v>
      </c>
    </row>
    <row r="52" spans="1:18" ht="15.75" customHeight="1" x14ac:dyDescent="0.25">
      <c r="A52" s="1" t="s">
        <v>15</v>
      </c>
      <c r="B52" s="1" t="s">
        <v>16</v>
      </c>
      <c r="C52" s="1" t="s">
        <v>309</v>
      </c>
      <c r="D52" s="1" t="s">
        <v>310</v>
      </c>
      <c r="E52" s="1" t="s">
        <v>311</v>
      </c>
      <c r="F52" s="12" t="str">
        <f t="shared" si="0"/>
        <v>COBEN_CZCOBEN062</v>
      </c>
      <c r="G52" s="12" t="s">
        <v>28</v>
      </c>
      <c r="H52" s="1">
        <f t="shared" si="1"/>
        <v>1</v>
      </c>
      <c r="I52" s="1" t="s">
        <v>233</v>
      </c>
      <c r="J52" s="1">
        <v>71.608487339999996</v>
      </c>
      <c r="K52" s="7">
        <v>27</v>
      </c>
      <c r="L52" s="7">
        <v>4</v>
      </c>
      <c r="M52" s="7">
        <v>16</v>
      </c>
      <c r="N52" s="8">
        <v>1.75</v>
      </c>
      <c r="O52" s="7">
        <v>1.08</v>
      </c>
      <c r="P52" s="7">
        <v>0.31</v>
      </c>
      <c r="Q52" s="7">
        <v>0.88</v>
      </c>
      <c r="R52" s="7">
        <v>12</v>
      </c>
    </row>
    <row r="53" spans="1:18" ht="15.75" customHeight="1" x14ac:dyDescent="0.25">
      <c r="A53" s="1" t="s">
        <v>15</v>
      </c>
      <c r="B53" s="1" t="s">
        <v>16</v>
      </c>
      <c r="C53" s="1" t="s">
        <v>312</v>
      </c>
      <c r="D53" s="1" t="s">
        <v>313</v>
      </c>
      <c r="E53" s="1" t="s">
        <v>314</v>
      </c>
      <c r="F53" s="12" t="str">
        <f t="shared" si="0"/>
        <v>COBEN_CZCOBEN063</v>
      </c>
      <c r="G53" s="12" t="s">
        <v>28</v>
      </c>
      <c r="H53" s="1">
        <f t="shared" si="1"/>
        <v>1</v>
      </c>
      <c r="I53" s="1" t="s">
        <v>233</v>
      </c>
      <c r="J53" s="1">
        <v>67.063655030000007</v>
      </c>
      <c r="K53" s="7">
        <v>23</v>
      </c>
      <c r="L53" s="7">
        <v>3</v>
      </c>
      <c r="M53" s="7">
        <v>13</v>
      </c>
      <c r="N53" s="8">
        <v>0.38</v>
      </c>
      <c r="O53" s="7">
        <v>-1.34</v>
      </c>
      <c r="P53" s="7">
        <v>0.48</v>
      </c>
      <c r="Q53" s="7">
        <v>-0.56999999999999995</v>
      </c>
      <c r="R53" s="7">
        <v>8</v>
      </c>
    </row>
    <row r="54" spans="1:18" ht="15.75" customHeight="1" x14ac:dyDescent="0.25">
      <c r="A54" s="1" t="s">
        <v>15</v>
      </c>
      <c r="B54" s="1" t="s">
        <v>16</v>
      </c>
      <c r="C54" s="1" t="s">
        <v>315</v>
      </c>
      <c r="D54" s="1" t="s">
        <v>316</v>
      </c>
      <c r="E54" s="1" t="s">
        <v>317</v>
      </c>
      <c r="F54" s="12" t="str">
        <f t="shared" si="0"/>
        <v>COBEN_CZCOBEN064</v>
      </c>
      <c r="G54" s="12" t="s">
        <v>28</v>
      </c>
      <c r="H54" s="1">
        <f t="shared" si="1"/>
        <v>1</v>
      </c>
      <c r="I54" s="1" t="s">
        <v>233</v>
      </c>
      <c r="J54" s="1">
        <v>63.137577</v>
      </c>
      <c r="K54" s="7">
        <v>29</v>
      </c>
      <c r="L54" s="7">
        <v>4</v>
      </c>
      <c r="M54" s="7">
        <v>20</v>
      </c>
      <c r="N54" s="8">
        <v>0.35</v>
      </c>
      <c r="O54" s="7">
        <v>0.57999999999999996</v>
      </c>
      <c r="P54" s="7">
        <v>0.76</v>
      </c>
      <c r="Q54" s="7">
        <v>1.31</v>
      </c>
      <c r="R54" s="7">
        <v>16</v>
      </c>
    </row>
    <row r="55" spans="1:18" ht="15.75" customHeight="1" x14ac:dyDescent="0.25">
      <c r="A55" s="1" t="s">
        <v>15</v>
      </c>
      <c r="B55" s="1" t="s">
        <v>16</v>
      </c>
      <c r="C55" s="1" t="s">
        <v>318</v>
      </c>
      <c r="D55" s="1" t="s">
        <v>319</v>
      </c>
      <c r="E55" s="1" t="s">
        <v>320</v>
      </c>
      <c r="F55" s="12" t="str">
        <f t="shared" si="0"/>
        <v>COBEN_CZCOBEN065</v>
      </c>
      <c r="G55" s="12" t="s">
        <v>28</v>
      </c>
      <c r="H55" s="1">
        <f t="shared" si="1"/>
        <v>1</v>
      </c>
      <c r="I55" s="1" t="s">
        <v>233</v>
      </c>
      <c r="J55" s="1">
        <v>62.51608487</v>
      </c>
      <c r="K55" s="7">
        <v>25</v>
      </c>
      <c r="L55" s="7">
        <v>4</v>
      </c>
      <c r="M55" s="7">
        <v>17</v>
      </c>
      <c r="N55" s="8">
        <v>0.86</v>
      </c>
      <c r="O55" s="7">
        <v>0.15</v>
      </c>
      <c r="P55" s="7">
        <v>-0.74</v>
      </c>
      <c r="Q55" s="7">
        <v>-0.08</v>
      </c>
      <c r="R55" s="7">
        <v>6</v>
      </c>
    </row>
    <row r="56" spans="1:18" ht="15.75" customHeight="1" x14ac:dyDescent="0.25">
      <c r="A56" s="1" t="s">
        <v>146</v>
      </c>
      <c r="B56" s="1" t="s">
        <v>147</v>
      </c>
      <c r="C56" s="1" t="s">
        <v>148</v>
      </c>
      <c r="D56" s="1">
        <v>100</v>
      </c>
      <c r="E56" s="1" t="s">
        <v>149</v>
      </c>
      <c r="F56" s="12" t="str">
        <f t="shared" si="0"/>
        <v>HIDI LONG_100</v>
      </c>
      <c r="G56" s="12" t="s">
        <v>28</v>
      </c>
      <c r="H56" s="1">
        <f t="shared" si="1"/>
        <v>1</v>
      </c>
      <c r="I56" s="1" t="s">
        <v>108</v>
      </c>
      <c r="J56" s="1">
        <v>71.487671230000004</v>
      </c>
      <c r="K56">
        <f>median!C$3</f>
        <v>23</v>
      </c>
      <c r="L56" s="7">
        <v>4</v>
      </c>
      <c r="M56" s="7">
        <v>18</v>
      </c>
      <c r="N56">
        <f>median!F$3</f>
        <v>-2.08</v>
      </c>
      <c r="O56">
        <f>median!G$3</f>
        <v>-0.25</v>
      </c>
      <c r="P56">
        <f>median!H$3</f>
        <v>-0.35</v>
      </c>
      <c r="Q56">
        <f>median!I$3</f>
        <v>-0.9</v>
      </c>
      <c r="R56">
        <f>median!J$3</f>
        <v>0</v>
      </c>
    </row>
    <row r="57" spans="1:18" ht="15.75" customHeight="1" x14ac:dyDescent="0.25">
      <c r="A57" s="1" t="s">
        <v>146</v>
      </c>
      <c r="B57" s="1" t="s">
        <v>147</v>
      </c>
      <c r="C57" s="1" t="s">
        <v>166</v>
      </c>
      <c r="D57" s="1">
        <v>1000</v>
      </c>
      <c r="E57" s="1" t="s">
        <v>167</v>
      </c>
      <c r="F57" s="12" t="str">
        <f t="shared" si="0"/>
        <v>HIDI LONG_1000</v>
      </c>
      <c r="G57" s="12" t="s">
        <v>28</v>
      </c>
      <c r="H57" s="1">
        <f t="shared" si="1"/>
        <v>1</v>
      </c>
      <c r="I57" s="1" t="s">
        <v>108</v>
      </c>
      <c r="J57" s="1">
        <v>60.227397259999996</v>
      </c>
      <c r="K57" s="7">
        <v>20</v>
      </c>
      <c r="L57" s="7">
        <v>3</v>
      </c>
      <c r="M57" s="7">
        <v>12</v>
      </c>
      <c r="N57" s="8">
        <v>-0.68</v>
      </c>
      <c r="O57">
        <f>median!G$3</f>
        <v>-0.25</v>
      </c>
      <c r="P57" s="7">
        <v>-0.12</v>
      </c>
      <c r="Q57" s="7">
        <v>-0.53</v>
      </c>
      <c r="R57" s="7">
        <v>8</v>
      </c>
    </row>
    <row r="58" spans="1:18" ht="15.75" customHeight="1" x14ac:dyDescent="0.25">
      <c r="A58" s="1" t="s">
        <v>146</v>
      </c>
      <c r="B58" s="1" t="s">
        <v>147</v>
      </c>
      <c r="C58" s="1" t="s">
        <v>168</v>
      </c>
      <c r="D58" s="1">
        <v>1100</v>
      </c>
      <c r="E58" s="1" t="s">
        <v>169</v>
      </c>
      <c r="F58" s="12" t="str">
        <f t="shared" si="0"/>
        <v>HIDI LONG_1100</v>
      </c>
      <c r="G58" s="12" t="s">
        <v>20</v>
      </c>
      <c r="H58" s="1">
        <f t="shared" si="1"/>
        <v>0</v>
      </c>
      <c r="I58" s="1" t="s">
        <v>108</v>
      </c>
      <c r="J58" s="1">
        <v>73.309589040000006</v>
      </c>
      <c r="K58" s="7">
        <v>27</v>
      </c>
      <c r="L58" s="7">
        <v>4</v>
      </c>
      <c r="M58" s="7">
        <v>18</v>
      </c>
      <c r="N58" s="8">
        <v>0.68</v>
      </c>
      <c r="O58">
        <f>median!G$3</f>
        <v>-0.25</v>
      </c>
      <c r="P58" s="7">
        <v>-2.19</v>
      </c>
      <c r="Q58" s="7">
        <v>-0.98</v>
      </c>
      <c r="R58" s="7">
        <v>10</v>
      </c>
    </row>
    <row r="59" spans="1:18" ht="15.75" customHeight="1" x14ac:dyDescent="0.25">
      <c r="A59" s="1" t="s">
        <v>146</v>
      </c>
      <c r="B59" s="1" t="s">
        <v>147</v>
      </c>
      <c r="C59" s="1" t="s">
        <v>170</v>
      </c>
      <c r="D59" s="1">
        <v>1200</v>
      </c>
      <c r="E59" s="1" t="s">
        <v>171</v>
      </c>
      <c r="F59" s="12" t="str">
        <f t="shared" si="0"/>
        <v>HIDI LONG_1200</v>
      </c>
      <c r="G59" s="12" t="s">
        <v>20</v>
      </c>
      <c r="H59" s="1">
        <f t="shared" si="1"/>
        <v>0</v>
      </c>
      <c r="I59" s="1" t="s">
        <v>108</v>
      </c>
      <c r="J59" s="1">
        <v>72.471232880000002</v>
      </c>
      <c r="K59">
        <f>median!C$3</f>
        <v>23</v>
      </c>
      <c r="L59">
        <f>median!D$3</f>
        <v>4</v>
      </c>
      <c r="M59">
        <f>median!E$3</f>
        <v>18</v>
      </c>
      <c r="N59">
        <f>median!F$3</f>
        <v>-2.08</v>
      </c>
      <c r="O59">
        <f>median!G$3</f>
        <v>-0.25</v>
      </c>
      <c r="P59">
        <f>median!H$3</f>
        <v>-0.35</v>
      </c>
      <c r="Q59">
        <f>median!I$3</f>
        <v>-0.9</v>
      </c>
      <c r="R59">
        <f>median!J$3</f>
        <v>0</v>
      </c>
    </row>
    <row r="60" spans="1:18" ht="15.75" customHeight="1" x14ac:dyDescent="0.25">
      <c r="A60" s="1" t="s">
        <v>146</v>
      </c>
      <c r="B60" s="1" t="s">
        <v>147</v>
      </c>
      <c r="C60" s="1" t="s">
        <v>172</v>
      </c>
      <c r="D60" s="1">
        <v>1300</v>
      </c>
      <c r="E60" s="1" t="s">
        <v>173</v>
      </c>
      <c r="F60" s="12" t="str">
        <f t="shared" si="0"/>
        <v>HIDI LONG_1300</v>
      </c>
      <c r="G60" s="12" t="s">
        <v>20</v>
      </c>
      <c r="H60" s="1">
        <f t="shared" si="1"/>
        <v>0</v>
      </c>
      <c r="I60" s="1" t="s">
        <v>108</v>
      </c>
      <c r="J60" s="1">
        <v>70.509589039999994</v>
      </c>
      <c r="K60">
        <f>median!C$3</f>
        <v>23</v>
      </c>
      <c r="L60">
        <f>median!D$3</f>
        <v>4</v>
      </c>
      <c r="M60">
        <f>median!E$3</f>
        <v>18</v>
      </c>
      <c r="N60">
        <f>median!F$3</f>
        <v>-2.08</v>
      </c>
      <c r="O60">
        <f>median!G$3</f>
        <v>-0.25</v>
      </c>
      <c r="P60">
        <f>median!H$3</f>
        <v>-0.35</v>
      </c>
      <c r="Q60">
        <f>median!I$3</f>
        <v>-0.9</v>
      </c>
      <c r="R60">
        <f>median!J$3</f>
        <v>0</v>
      </c>
    </row>
    <row r="61" spans="1:18" ht="15.75" customHeight="1" x14ac:dyDescent="0.25">
      <c r="A61" s="1" t="s">
        <v>146</v>
      </c>
      <c r="B61" s="1" t="s">
        <v>147</v>
      </c>
      <c r="C61" s="1" t="s">
        <v>174</v>
      </c>
      <c r="D61" s="1">
        <v>1500</v>
      </c>
      <c r="E61" s="1" t="s">
        <v>175</v>
      </c>
      <c r="F61" s="12" t="str">
        <f t="shared" si="0"/>
        <v>HIDI LONG_1500</v>
      </c>
      <c r="G61" s="12" t="s">
        <v>20</v>
      </c>
      <c r="H61" s="1">
        <f t="shared" si="1"/>
        <v>0</v>
      </c>
      <c r="I61" s="1" t="s">
        <v>108</v>
      </c>
      <c r="J61" s="1">
        <v>72.698630140000006</v>
      </c>
      <c r="K61" s="7">
        <v>25</v>
      </c>
      <c r="L61" s="7">
        <v>3</v>
      </c>
      <c r="M61" s="7">
        <v>13</v>
      </c>
      <c r="N61" s="8">
        <v>0.17</v>
      </c>
      <c r="O61" s="7">
        <v>0.37</v>
      </c>
      <c r="P61" s="7">
        <v>-1.22</v>
      </c>
      <c r="Q61" s="7">
        <v>-0.98</v>
      </c>
      <c r="R61" s="7">
        <v>6</v>
      </c>
    </row>
    <row r="62" spans="1:18" ht="15.75" customHeight="1" x14ac:dyDescent="0.25">
      <c r="A62" s="1" t="s">
        <v>146</v>
      </c>
      <c r="B62" s="1" t="s">
        <v>147</v>
      </c>
      <c r="C62" s="1" t="s">
        <v>176</v>
      </c>
      <c r="D62" s="1">
        <v>1600</v>
      </c>
      <c r="E62" s="1" t="s">
        <v>177</v>
      </c>
      <c r="F62" s="12" t="str">
        <f t="shared" si="0"/>
        <v>HIDI LONG_1600</v>
      </c>
      <c r="G62" s="12" t="s">
        <v>28</v>
      </c>
      <c r="H62" s="1">
        <f t="shared" si="1"/>
        <v>1</v>
      </c>
      <c r="I62" s="1" t="s">
        <v>108</v>
      </c>
      <c r="J62" s="1">
        <v>79.627397259999995</v>
      </c>
      <c r="K62" s="7">
        <v>23</v>
      </c>
      <c r="L62" s="7">
        <v>3</v>
      </c>
      <c r="M62">
        <f>median!E$3</f>
        <v>18</v>
      </c>
      <c r="N62" s="8">
        <v>0.63</v>
      </c>
      <c r="O62" s="7">
        <v>-0.42</v>
      </c>
      <c r="P62" s="7">
        <v>-0.16</v>
      </c>
      <c r="Q62" s="7">
        <v>-0.13</v>
      </c>
      <c r="R62" s="7">
        <v>20</v>
      </c>
    </row>
    <row r="63" spans="1:18" ht="15.75" customHeight="1" x14ac:dyDescent="0.25">
      <c r="A63" s="1" t="s">
        <v>146</v>
      </c>
      <c r="B63" s="1" t="s">
        <v>147</v>
      </c>
      <c r="C63" s="1" t="s">
        <v>178</v>
      </c>
      <c r="D63" s="1">
        <v>1700</v>
      </c>
      <c r="E63" s="1" t="s">
        <v>179</v>
      </c>
      <c r="F63" s="12" t="str">
        <f t="shared" si="0"/>
        <v>HIDI LONG_1700</v>
      </c>
      <c r="G63" s="12" t="s">
        <v>20</v>
      </c>
      <c r="H63" s="1">
        <f t="shared" si="1"/>
        <v>0</v>
      </c>
      <c r="I63" s="1" t="s">
        <v>115</v>
      </c>
      <c r="J63" s="1">
        <v>70.312328769999993</v>
      </c>
      <c r="K63" s="7">
        <v>29</v>
      </c>
      <c r="L63" s="7">
        <v>3</v>
      </c>
      <c r="M63" s="7">
        <v>13</v>
      </c>
      <c r="N63" s="8">
        <v>2.23</v>
      </c>
      <c r="O63" s="7">
        <v>1.25</v>
      </c>
      <c r="P63" s="7">
        <v>0.02</v>
      </c>
      <c r="Q63" s="7">
        <v>0.94</v>
      </c>
      <c r="R63" s="7">
        <v>6</v>
      </c>
    </row>
    <row r="64" spans="1:18" ht="15.75" customHeight="1" x14ac:dyDescent="0.25">
      <c r="A64" s="1" t="s">
        <v>146</v>
      </c>
      <c r="B64" s="1" t="s">
        <v>147</v>
      </c>
      <c r="C64" s="1" t="s">
        <v>180</v>
      </c>
      <c r="D64" s="1">
        <v>1800</v>
      </c>
      <c r="E64" s="1" t="s">
        <v>181</v>
      </c>
      <c r="F64" s="12" t="str">
        <f t="shared" si="0"/>
        <v>HIDI LONG_1800</v>
      </c>
      <c r="G64" s="12" t="s">
        <v>20</v>
      </c>
      <c r="H64" s="1">
        <f t="shared" si="1"/>
        <v>0</v>
      </c>
      <c r="I64" s="1" t="s">
        <v>108</v>
      </c>
      <c r="J64" s="1">
        <v>61.005479450000003</v>
      </c>
      <c r="K64" s="7">
        <v>25</v>
      </c>
      <c r="L64" s="7">
        <v>4</v>
      </c>
      <c r="M64" s="7">
        <v>17</v>
      </c>
      <c r="N64" s="8">
        <v>-1.54</v>
      </c>
      <c r="O64" s="7">
        <v>-0.31</v>
      </c>
      <c r="P64" s="7">
        <v>-0.83</v>
      </c>
      <c r="Q64" s="7">
        <v>-1.1100000000000001</v>
      </c>
      <c r="R64" s="7">
        <v>6</v>
      </c>
    </row>
    <row r="65" spans="1:18" ht="15.75" customHeight="1" x14ac:dyDescent="0.25">
      <c r="A65" s="1" t="s">
        <v>146</v>
      </c>
      <c r="B65" s="1" t="s">
        <v>147</v>
      </c>
      <c r="C65" s="1" t="s">
        <v>182</v>
      </c>
      <c r="D65" s="1">
        <v>1900</v>
      </c>
      <c r="E65" s="1" t="s">
        <v>183</v>
      </c>
      <c r="F65" s="12" t="str">
        <f t="shared" si="0"/>
        <v>HIDI LONG_1900</v>
      </c>
      <c r="G65" s="12" t="s">
        <v>20</v>
      </c>
      <c r="H65" s="1">
        <f t="shared" si="1"/>
        <v>0</v>
      </c>
      <c r="I65" s="1" t="s">
        <v>108</v>
      </c>
      <c r="J65" s="1">
        <v>77.493150679999999</v>
      </c>
      <c r="K65" s="7">
        <v>27</v>
      </c>
      <c r="L65" s="7">
        <v>4</v>
      </c>
      <c r="M65" s="7">
        <v>16</v>
      </c>
      <c r="N65" s="8">
        <v>-1.38</v>
      </c>
      <c r="O65" s="7">
        <v>0.06</v>
      </c>
      <c r="P65" s="7">
        <v>-1</v>
      </c>
      <c r="Q65" s="7">
        <v>-0.28000000000000003</v>
      </c>
      <c r="R65" s="7">
        <v>0</v>
      </c>
    </row>
    <row r="66" spans="1:18" ht="15.75" customHeight="1" x14ac:dyDescent="0.25">
      <c r="A66" s="1" t="s">
        <v>146</v>
      </c>
      <c r="B66" s="1" t="s">
        <v>147</v>
      </c>
      <c r="C66" s="1" t="s">
        <v>150</v>
      </c>
      <c r="D66" s="1">
        <v>200</v>
      </c>
      <c r="E66" s="1" t="s">
        <v>151</v>
      </c>
      <c r="F66" s="12" t="str">
        <f t="shared" ref="F66:F129" si="2">A66&amp;"_"&amp;D66</f>
        <v>HIDI LONG_200</v>
      </c>
      <c r="G66" s="12" t="s">
        <v>20</v>
      </c>
      <c r="H66" s="1">
        <f t="shared" ref="H66:H129" si="3">IF(G66="M",0,IF(G66="F",1,""))</f>
        <v>0</v>
      </c>
      <c r="I66" s="1" t="s">
        <v>108</v>
      </c>
      <c r="J66" s="1">
        <v>79.364383559999993</v>
      </c>
      <c r="K66" s="7">
        <v>22</v>
      </c>
      <c r="L66" s="7">
        <v>3</v>
      </c>
      <c r="M66" s="7">
        <v>12</v>
      </c>
      <c r="N66" s="8">
        <v>-0.46</v>
      </c>
      <c r="O66" s="7">
        <v>0.37</v>
      </c>
      <c r="P66" s="7">
        <v>-1.35</v>
      </c>
      <c r="Q66" s="7">
        <v>-1.46</v>
      </c>
      <c r="R66" s="7">
        <v>6</v>
      </c>
    </row>
    <row r="67" spans="1:18" ht="15.75" customHeight="1" x14ac:dyDescent="0.25">
      <c r="A67" s="1" t="s">
        <v>146</v>
      </c>
      <c r="B67" s="1" t="s">
        <v>147</v>
      </c>
      <c r="C67" s="1" t="s">
        <v>184</v>
      </c>
      <c r="D67" s="1">
        <v>2000</v>
      </c>
      <c r="E67" s="1" t="s">
        <v>185</v>
      </c>
      <c r="F67" s="12" t="str">
        <f t="shared" si="2"/>
        <v>HIDI LONG_2000</v>
      </c>
      <c r="G67" s="12" t="s">
        <v>28</v>
      </c>
      <c r="H67" s="1">
        <f t="shared" si="3"/>
        <v>1</v>
      </c>
      <c r="I67" s="1" t="s">
        <v>108</v>
      </c>
      <c r="J67" s="1">
        <v>76.652054789999994</v>
      </c>
      <c r="K67" s="7">
        <v>23</v>
      </c>
      <c r="L67" s="7">
        <v>4</v>
      </c>
      <c r="M67" s="7">
        <v>18</v>
      </c>
      <c r="N67" s="8">
        <v>-0.01</v>
      </c>
      <c r="O67" s="7">
        <v>0.78</v>
      </c>
      <c r="P67" s="7">
        <v>-1.28</v>
      </c>
      <c r="Q67" s="7">
        <v>-1.43</v>
      </c>
      <c r="R67" s="7">
        <v>8</v>
      </c>
    </row>
    <row r="68" spans="1:18" ht="15.75" customHeight="1" x14ac:dyDescent="0.25">
      <c r="A68" s="1" t="s">
        <v>146</v>
      </c>
      <c r="B68" s="1" t="s">
        <v>147</v>
      </c>
      <c r="C68" s="1" t="s">
        <v>186</v>
      </c>
      <c r="D68" s="1">
        <v>2100</v>
      </c>
      <c r="E68" s="1" t="s">
        <v>187</v>
      </c>
      <c r="F68" s="12" t="str">
        <f t="shared" si="2"/>
        <v>HIDI LONG_2100</v>
      </c>
      <c r="G68" s="12" t="s">
        <v>20</v>
      </c>
      <c r="H68" s="1">
        <f t="shared" si="3"/>
        <v>0</v>
      </c>
      <c r="I68" s="1" t="s">
        <v>108</v>
      </c>
      <c r="J68" s="1">
        <v>60.712328769999999</v>
      </c>
      <c r="K68" s="7">
        <v>27</v>
      </c>
      <c r="L68" s="7">
        <v>4</v>
      </c>
      <c r="M68" s="7">
        <v>18</v>
      </c>
      <c r="N68" s="8">
        <v>0.48</v>
      </c>
      <c r="O68" s="7">
        <v>0.68</v>
      </c>
      <c r="P68" s="7">
        <v>-1.07</v>
      </c>
      <c r="Q68" s="7">
        <v>0.31</v>
      </c>
      <c r="R68" s="7">
        <v>12</v>
      </c>
    </row>
    <row r="69" spans="1:18" ht="15.75" customHeight="1" x14ac:dyDescent="0.25">
      <c r="A69" s="1" t="s">
        <v>146</v>
      </c>
      <c r="B69" s="1" t="s">
        <v>147</v>
      </c>
      <c r="C69" s="1" t="s">
        <v>188</v>
      </c>
      <c r="D69" s="1">
        <v>2200</v>
      </c>
      <c r="E69" s="1" t="s">
        <v>189</v>
      </c>
      <c r="F69" s="12" t="str">
        <f t="shared" si="2"/>
        <v>HIDI LONG_2200</v>
      </c>
      <c r="G69" s="12" t="s">
        <v>20</v>
      </c>
      <c r="H69" s="1">
        <f t="shared" si="3"/>
        <v>0</v>
      </c>
      <c r="I69" s="1" t="s">
        <v>108</v>
      </c>
      <c r="J69" s="1">
        <v>66.810958900000003</v>
      </c>
      <c r="K69" s="7">
        <v>27</v>
      </c>
      <c r="L69" s="7">
        <v>3</v>
      </c>
      <c r="M69" s="7">
        <v>13</v>
      </c>
      <c r="N69" s="8">
        <v>0.33</v>
      </c>
      <c r="O69" s="7">
        <v>-0.28000000000000003</v>
      </c>
      <c r="P69" s="7">
        <v>-0.93</v>
      </c>
      <c r="Q69" s="7">
        <v>-0.72</v>
      </c>
      <c r="R69" s="7">
        <v>6</v>
      </c>
    </row>
    <row r="70" spans="1:18" ht="15.75" customHeight="1" x14ac:dyDescent="0.25">
      <c r="A70" s="1" t="s">
        <v>146</v>
      </c>
      <c r="B70" s="1" t="s">
        <v>147</v>
      </c>
      <c r="C70" s="1" t="s">
        <v>190</v>
      </c>
      <c r="D70" s="1">
        <v>2400</v>
      </c>
      <c r="E70" s="1" t="s">
        <v>191</v>
      </c>
      <c r="F70" s="12" t="str">
        <f t="shared" si="2"/>
        <v>HIDI LONG_2400</v>
      </c>
      <c r="G70" s="12" t="s">
        <v>20</v>
      </c>
      <c r="H70" s="1">
        <f t="shared" si="3"/>
        <v>0</v>
      </c>
      <c r="I70" s="1" t="s">
        <v>108</v>
      </c>
      <c r="J70" s="1">
        <v>72.810958900000003</v>
      </c>
      <c r="K70" s="7">
        <v>22</v>
      </c>
      <c r="L70" s="7">
        <v>3</v>
      </c>
      <c r="M70" s="7">
        <v>13</v>
      </c>
      <c r="N70" s="8">
        <v>0.94</v>
      </c>
      <c r="O70" s="7">
        <v>-0.32</v>
      </c>
      <c r="P70" s="7">
        <v>-0.8</v>
      </c>
      <c r="Q70" s="7">
        <v>-0.6</v>
      </c>
      <c r="R70" s="7">
        <v>2</v>
      </c>
    </row>
    <row r="71" spans="1:18" ht="15.75" customHeight="1" x14ac:dyDescent="0.25">
      <c r="A71" s="1" t="s">
        <v>146</v>
      </c>
      <c r="B71" s="1" t="s">
        <v>147</v>
      </c>
      <c r="C71" s="1" t="s">
        <v>192</v>
      </c>
      <c r="D71" s="1">
        <v>2500</v>
      </c>
      <c r="E71" s="1" t="s">
        <v>193</v>
      </c>
      <c r="F71" s="12" t="str">
        <f t="shared" si="2"/>
        <v>HIDI LONG_2500</v>
      </c>
      <c r="G71" s="12" t="s">
        <v>20</v>
      </c>
      <c r="H71" s="1">
        <f t="shared" si="3"/>
        <v>0</v>
      </c>
      <c r="I71" s="1" t="s">
        <v>108</v>
      </c>
      <c r="J71" s="1">
        <v>81.227397260000004</v>
      </c>
      <c r="K71" s="7">
        <v>22</v>
      </c>
      <c r="L71" s="7">
        <v>3</v>
      </c>
      <c r="M71" s="7">
        <v>13</v>
      </c>
      <c r="N71" s="8">
        <v>0.49</v>
      </c>
      <c r="O71" s="7">
        <v>-0.59</v>
      </c>
      <c r="P71" s="7">
        <v>-1.2</v>
      </c>
      <c r="Q71" s="7">
        <v>0</v>
      </c>
      <c r="R71" s="7">
        <v>8</v>
      </c>
    </row>
    <row r="72" spans="1:18" ht="15.75" customHeight="1" x14ac:dyDescent="0.25">
      <c r="A72" s="1" t="s">
        <v>146</v>
      </c>
      <c r="B72" s="1" t="s">
        <v>147</v>
      </c>
      <c r="C72" s="1" t="s">
        <v>194</v>
      </c>
      <c r="D72" s="1">
        <v>2600</v>
      </c>
      <c r="E72" s="1" t="s">
        <v>195</v>
      </c>
      <c r="F72" s="12" t="str">
        <f t="shared" si="2"/>
        <v>HIDI LONG_2600</v>
      </c>
      <c r="G72" s="12" t="s">
        <v>28</v>
      </c>
      <c r="H72" s="1">
        <f t="shared" si="3"/>
        <v>1</v>
      </c>
      <c r="I72" s="1" t="s">
        <v>108</v>
      </c>
      <c r="J72" s="1">
        <v>73.101369860000005</v>
      </c>
      <c r="K72" s="7">
        <v>27</v>
      </c>
      <c r="L72" s="7">
        <v>4</v>
      </c>
      <c r="M72" s="7">
        <v>18</v>
      </c>
      <c r="N72" s="8">
        <v>-0.18</v>
      </c>
      <c r="O72" s="7">
        <v>-0.38</v>
      </c>
      <c r="P72" s="7">
        <v>-1.77</v>
      </c>
      <c r="Q72" s="7">
        <v>-1.48</v>
      </c>
      <c r="R72" s="7">
        <v>10</v>
      </c>
    </row>
    <row r="73" spans="1:18" ht="15.75" customHeight="1" x14ac:dyDescent="0.25">
      <c r="A73" s="1" t="s">
        <v>146</v>
      </c>
      <c r="B73" s="1" t="s">
        <v>147</v>
      </c>
      <c r="C73" s="1" t="s">
        <v>196</v>
      </c>
      <c r="D73" s="1">
        <v>2700</v>
      </c>
      <c r="E73" s="1" t="s">
        <v>197</v>
      </c>
      <c r="F73" s="12" t="str">
        <f t="shared" si="2"/>
        <v>HIDI LONG_2700</v>
      </c>
      <c r="G73" s="12" t="s">
        <v>20</v>
      </c>
      <c r="H73" s="1">
        <f t="shared" si="3"/>
        <v>0</v>
      </c>
      <c r="I73" s="1" t="s">
        <v>108</v>
      </c>
      <c r="J73" s="1">
        <v>77.802739729999999</v>
      </c>
      <c r="K73" s="7">
        <v>22</v>
      </c>
      <c r="L73" s="7">
        <v>3</v>
      </c>
      <c r="M73" s="7">
        <v>13</v>
      </c>
      <c r="N73" s="8">
        <v>-1.93</v>
      </c>
      <c r="O73" s="7">
        <v>-0.84</v>
      </c>
      <c r="P73" s="7">
        <v>-2.15</v>
      </c>
      <c r="Q73" s="7">
        <v>-1.56</v>
      </c>
      <c r="R73" s="7">
        <v>20</v>
      </c>
    </row>
    <row r="74" spans="1:18" ht="15.75" customHeight="1" x14ac:dyDescent="0.25">
      <c r="A74" s="1" t="s">
        <v>146</v>
      </c>
      <c r="B74" s="1" t="s">
        <v>147</v>
      </c>
      <c r="C74" s="1" t="s">
        <v>198</v>
      </c>
      <c r="D74" s="1">
        <v>2800</v>
      </c>
      <c r="E74" s="1" t="s">
        <v>199</v>
      </c>
      <c r="F74" s="12" t="str">
        <f t="shared" si="2"/>
        <v>HIDI LONG_2800</v>
      </c>
      <c r="G74" s="12" t="s">
        <v>20</v>
      </c>
      <c r="H74" s="1">
        <f t="shared" si="3"/>
        <v>0</v>
      </c>
      <c r="I74" s="1" t="s">
        <v>115</v>
      </c>
      <c r="J74" s="1">
        <v>80.92054795</v>
      </c>
      <c r="K74" s="7">
        <v>23</v>
      </c>
      <c r="L74" s="7">
        <v>4</v>
      </c>
      <c r="M74" s="7">
        <v>16</v>
      </c>
      <c r="N74" s="8">
        <v>1.97</v>
      </c>
      <c r="O74" s="7">
        <v>1.25</v>
      </c>
      <c r="P74" s="7">
        <v>0.12</v>
      </c>
      <c r="Q74" s="7">
        <v>0.98</v>
      </c>
      <c r="R74" s="7">
        <v>2</v>
      </c>
    </row>
    <row r="75" spans="1:18" ht="15.75" customHeight="1" x14ac:dyDescent="0.25">
      <c r="A75" s="1" t="s">
        <v>146</v>
      </c>
      <c r="B75" s="1" t="s">
        <v>147</v>
      </c>
      <c r="C75" s="1" t="s">
        <v>200</v>
      </c>
      <c r="D75" s="1">
        <v>2900</v>
      </c>
      <c r="E75" s="1" t="s">
        <v>201</v>
      </c>
      <c r="F75" s="12" t="str">
        <f t="shared" si="2"/>
        <v>HIDI LONG_2900</v>
      </c>
      <c r="G75" s="12" t="s">
        <v>28</v>
      </c>
      <c r="H75" s="1">
        <f t="shared" si="3"/>
        <v>1</v>
      </c>
      <c r="I75" s="1" t="s">
        <v>108</v>
      </c>
      <c r="J75" s="1">
        <v>74.501369859999997</v>
      </c>
      <c r="K75" s="7">
        <v>29</v>
      </c>
      <c r="L75" s="7">
        <v>4</v>
      </c>
      <c r="M75" s="7">
        <v>17</v>
      </c>
      <c r="N75" s="8">
        <v>1.9</v>
      </c>
      <c r="O75" s="7">
        <v>0.89</v>
      </c>
      <c r="P75" s="7">
        <v>-0.59</v>
      </c>
      <c r="Q75" s="7">
        <v>-1.28</v>
      </c>
      <c r="R75" s="7">
        <v>6</v>
      </c>
    </row>
    <row r="76" spans="1:18" ht="15.75" customHeight="1" x14ac:dyDescent="0.25">
      <c r="A76" s="1" t="s">
        <v>146</v>
      </c>
      <c r="B76" s="1" t="s">
        <v>147</v>
      </c>
      <c r="C76" s="1" t="s">
        <v>152</v>
      </c>
      <c r="D76" s="1">
        <v>300</v>
      </c>
      <c r="E76" s="1" t="s">
        <v>153</v>
      </c>
      <c r="F76" s="12" t="str">
        <f t="shared" si="2"/>
        <v>HIDI LONG_300</v>
      </c>
      <c r="G76" s="12" t="s">
        <v>20</v>
      </c>
      <c r="H76" s="1">
        <f t="shared" si="3"/>
        <v>0</v>
      </c>
      <c r="I76" s="1" t="s">
        <v>108</v>
      </c>
      <c r="J76" s="1">
        <v>53.005479450000003</v>
      </c>
      <c r="K76">
        <f>median!C$3</f>
        <v>23</v>
      </c>
      <c r="L76" s="7">
        <v>3</v>
      </c>
      <c r="M76" s="7">
        <v>13</v>
      </c>
      <c r="N76">
        <f>median!F$3</f>
        <v>-2.08</v>
      </c>
      <c r="O76">
        <f>median!G$3</f>
        <v>-0.25</v>
      </c>
      <c r="P76">
        <f>median!H$3</f>
        <v>-0.35</v>
      </c>
      <c r="Q76">
        <f>median!I$3</f>
        <v>-0.9</v>
      </c>
      <c r="R76">
        <f>median!J$3</f>
        <v>0</v>
      </c>
    </row>
    <row r="77" spans="1:18" ht="15.75" customHeight="1" x14ac:dyDescent="0.25">
      <c r="A77" s="1" t="s">
        <v>146</v>
      </c>
      <c r="B77" s="1" t="s">
        <v>147</v>
      </c>
      <c r="C77" s="1" t="s">
        <v>202</v>
      </c>
      <c r="D77" s="1">
        <v>3000</v>
      </c>
      <c r="E77" s="1" t="s">
        <v>203</v>
      </c>
      <c r="F77" s="12" t="str">
        <f t="shared" si="2"/>
        <v>HIDI LONG_3000</v>
      </c>
      <c r="G77" s="12" t="s">
        <v>20</v>
      </c>
      <c r="H77" s="1">
        <f t="shared" si="3"/>
        <v>0</v>
      </c>
      <c r="I77" s="1" t="s">
        <v>108</v>
      </c>
      <c r="J77" s="1">
        <v>68.183561639999994</v>
      </c>
      <c r="K77">
        <f>median!C$3</f>
        <v>23</v>
      </c>
      <c r="L77">
        <f>median!D$3</f>
        <v>4</v>
      </c>
      <c r="M77">
        <f>median!E$3</f>
        <v>18</v>
      </c>
      <c r="N77">
        <f>median!F$3</f>
        <v>-2.08</v>
      </c>
      <c r="O77">
        <f>median!G$3</f>
        <v>-0.25</v>
      </c>
      <c r="P77">
        <f>median!H$3</f>
        <v>-0.35</v>
      </c>
      <c r="Q77">
        <f>median!I$3</f>
        <v>-0.9</v>
      </c>
      <c r="R77">
        <f>median!J$3</f>
        <v>0</v>
      </c>
    </row>
    <row r="78" spans="1:18" ht="15.75" customHeight="1" x14ac:dyDescent="0.25">
      <c r="A78" s="1" t="s">
        <v>146</v>
      </c>
      <c r="B78" s="1" t="s">
        <v>147</v>
      </c>
      <c r="C78" s="1" t="s">
        <v>204</v>
      </c>
      <c r="D78" s="1">
        <v>3100</v>
      </c>
      <c r="E78" s="1" t="s">
        <v>205</v>
      </c>
      <c r="F78" s="12" t="str">
        <f t="shared" si="2"/>
        <v>HIDI LONG_3100</v>
      </c>
      <c r="G78" s="12" t="s">
        <v>20</v>
      </c>
      <c r="H78" s="1">
        <f t="shared" si="3"/>
        <v>0</v>
      </c>
      <c r="I78" s="1" t="s">
        <v>108</v>
      </c>
      <c r="J78" s="1">
        <v>73.238356159999995</v>
      </c>
      <c r="K78" s="7">
        <v>25</v>
      </c>
      <c r="L78" s="7">
        <v>4</v>
      </c>
      <c r="M78" s="7">
        <v>18</v>
      </c>
      <c r="N78" s="8">
        <v>0.13</v>
      </c>
      <c r="O78">
        <f>median!G$3</f>
        <v>-0.25</v>
      </c>
      <c r="P78" s="7">
        <v>0.01</v>
      </c>
      <c r="Q78" s="7">
        <v>-0.25</v>
      </c>
      <c r="R78" s="7">
        <v>2</v>
      </c>
    </row>
    <row r="79" spans="1:18" ht="15.75" customHeight="1" x14ac:dyDescent="0.25">
      <c r="A79" s="1" t="s">
        <v>146</v>
      </c>
      <c r="B79" s="1" t="s">
        <v>147</v>
      </c>
      <c r="C79" s="1" t="s">
        <v>206</v>
      </c>
      <c r="D79" s="1">
        <v>3200</v>
      </c>
      <c r="E79" s="1" t="s">
        <v>207</v>
      </c>
      <c r="F79" s="12" t="str">
        <f t="shared" si="2"/>
        <v>HIDI LONG_3200</v>
      </c>
      <c r="G79" s="12" t="s">
        <v>28</v>
      </c>
      <c r="H79" s="1">
        <f t="shared" si="3"/>
        <v>1</v>
      </c>
      <c r="I79" s="1" t="s">
        <v>108</v>
      </c>
      <c r="J79" s="1">
        <v>84.14246575</v>
      </c>
      <c r="K79" s="7">
        <v>22</v>
      </c>
      <c r="L79">
        <f>median!D$3</f>
        <v>4</v>
      </c>
      <c r="M79" s="7">
        <v>3</v>
      </c>
      <c r="N79" s="8">
        <v>-0.52</v>
      </c>
      <c r="O79" s="7">
        <v>-0.5</v>
      </c>
      <c r="P79" s="7">
        <v>-0.83</v>
      </c>
      <c r="Q79" s="7">
        <v>-0.39</v>
      </c>
      <c r="R79" s="7">
        <v>18</v>
      </c>
    </row>
    <row r="80" spans="1:18" ht="15.75" customHeight="1" x14ac:dyDescent="0.25">
      <c r="A80" s="1" t="s">
        <v>146</v>
      </c>
      <c r="B80" s="1" t="s">
        <v>147</v>
      </c>
      <c r="C80" s="1" t="s">
        <v>208</v>
      </c>
      <c r="D80" s="1">
        <v>3300</v>
      </c>
      <c r="E80" s="1" t="s">
        <v>209</v>
      </c>
      <c r="F80" s="12" t="str">
        <f t="shared" si="2"/>
        <v>HIDI LONG_3300</v>
      </c>
      <c r="G80" s="12" t="s">
        <v>28</v>
      </c>
      <c r="H80" s="1">
        <f t="shared" si="3"/>
        <v>1</v>
      </c>
      <c r="I80" s="1" t="s">
        <v>108</v>
      </c>
      <c r="J80" s="1">
        <v>78.282191780000005</v>
      </c>
      <c r="K80" s="7">
        <v>22</v>
      </c>
      <c r="L80">
        <f>median!D$3</f>
        <v>4</v>
      </c>
      <c r="M80" s="7">
        <v>4</v>
      </c>
      <c r="N80" s="8">
        <v>-1.1200000000000001</v>
      </c>
      <c r="O80" s="7">
        <v>0.37</v>
      </c>
      <c r="P80" s="7">
        <v>-0.08</v>
      </c>
      <c r="Q80" s="7">
        <v>-0.17</v>
      </c>
      <c r="R80" s="7">
        <v>0</v>
      </c>
    </row>
    <row r="81" spans="1:18" ht="15.75" customHeight="1" x14ac:dyDescent="0.25">
      <c r="A81" s="1" t="s">
        <v>146</v>
      </c>
      <c r="B81" s="1" t="s">
        <v>147</v>
      </c>
      <c r="C81" s="1" t="s">
        <v>154</v>
      </c>
      <c r="D81" s="1">
        <v>400</v>
      </c>
      <c r="E81" s="1" t="s">
        <v>155</v>
      </c>
      <c r="F81" s="12" t="str">
        <f t="shared" si="2"/>
        <v>HIDI LONG_400</v>
      </c>
      <c r="G81" s="12" t="s">
        <v>20</v>
      </c>
      <c r="H81" s="1">
        <f t="shared" si="3"/>
        <v>0</v>
      </c>
      <c r="I81" s="1" t="s">
        <v>108</v>
      </c>
      <c r="J81" s="1">
        <v>75.443835620000002</v>
      </c>
      <c r="K81" s="7">
        <v>23</v>
      </c>
      <c r="L81" s="7">
        <v>4</v>
      </c>
      <c r="M81" s="7">
        <v>18</v>
      </c>
      <c r="N81">
        <f>median!F$3</f>
        <v>-2.08</v>
      </c>
      <c r="O81">
        <f>median!G$3</f>
        <v>-0.25</v>
      </c>
      <c r="P81">
        <f>median!H$3</f>
        <v>-0.35</v>
      </c>
      <c r="Q81">
        <f>median!I$3</f>
        <v>-0.9</v>
      </c>
      <c r="R81">
        <f>median!J$3</f>
        <v>0</v>
      </c>
    </row>
    <row r="82" spans="1:18" ht="15.75" customHeight="1" x14ac:dyDescent="0.25">
      <c r="A82" s="1" t="s">
        <v>146</v>
      </c>
      <c r="B82" s="1" t="s">
        <v>147</v>
      </c>
      <c r="C82" s="1" t="s">
        <v>156</v>
      </c>
      <c r="D82" s="1">
        <v>500</v>
      </c>
      <c r="E82" s="1" t="s">
        <v>157</v>
      </c>
      <c r="F82" s="12" t="str">
        <f t="shared" si="2"/>
        <v>HIDI LONG_500</v>
      </c>
      <c r="G82" s="12" t="s">
        <v>28</v>
      </c>
      <c r="H82" s="1">
        <f t="shared" si="3"/>
        <v>1</v>
      </c>
      <c r="I82" s="1" t="s">
        <v>108</v>
      </c>
      <c r="J82" s="1">
        <v>56.923287670000001</v>
      </c>
      <c r="K82" s="7">
        <v>22</v>
      </c>
      <c r="L82" s="7">
        <v>3</v>
      </c>
      <c r="M82" s="7">
        <v>17</v>
      </c>
      <c r="N82" s="8">
        <v>0.36</v>
      </c>
      <c r="O82" s="7">
        <v>0.68</v>
      </c>
      <c r="P82" s="7">
        <v>-0.56000000000000005</v>
      </c>
      <c r="Q82" s="7">
        <v>-1.34</v>
      </c>
      <c r="R82" s="7">
        <v>22</v>
      </c>
    </row>
    <row r="83" spans="1:18" ht="15.75" customHeight="1" x14ac:dyDescent="0.25">
      <c r="A83" s="1" t="s">
        <v>146</v>
      </c>
      <c r="B83" s="1" t="s">
        <v>147</v>
      </c>
      <c r="C83" s="1" t="s">
        <v>158</v>
      </c>
      <c r="D83" s="1">
        <v>600</v>
      </c>
      <c r="E83" s="1" t="s">
        <v>159</v>
      </c>
      <c r="F83" s="12" t="str">
        <f t="shared" si="2"/>
        <v>HIDI LONG_600</v>
      </c>
      <c r="G83" s="12" t="s">
        <v>20</v>
      </c>
      <c r="H83" s="1">
        <f t="shared" si="3"/>
        <v>0</v>
      </c>
      <c r="I83" s="1" t="s">
        <v>108</v>
      </c>
      <c r="J83" s="1">
        <v>63.509589040000002</v>
      </c>
      <c r="K83" s="7">
        <v>25</v>
      </c>
      <c r="L83" s="7">
        <v>4</v>
      </c>
      <c r="M83" s="7">
        <v>18</v>
      </c>
      <c r="N83" s="8">
        <v>-0.15</v>
      </c>
      <c r="O83" s="7">
        <v>1.25</v>
      </c>
      <c r="P83" s="7">
        <v>-0.23</v>
      </c>
      <c r="Q83" s="7">
        <v>-0.01</v>
      </c>
      <c r="R83" s="7">
        <v>10</v>
      </c>
    </row>
    <row r="84" spans="1:18" ht="15.75" customHeight="1" x14ac:dyDescent="0.25">
      <c r="A84" s="1" t="s">
        <v>146</v>
      </c>
      <c r="B84" s="1" t="s">
        <v>147</v>
      </c>
      <c r="C84" s="1" t="s">
        <v>160</v>
      </c>
      <c r="D84" s="1">
        <v>700</v>
      </c>
      <c r="E84" s="1" t="s">
        <v>161</v>
      </c>
      <c r="F84" s="12" t="str">
        <f t="shared" si="2"/>
        <v>HIDI LONG_700</v>
      </c>
      <c r="G84" s="12" t="s">
        <v>20</v>
      </c>
      <c r="H84" s="1">
        <f t="shared" si="3"/>
        <v>0</v>
      </c>
      <c r="I84" s="1" t="s">
        <v>108</v>
      </c>
      <c r="J84" s="1">
        <v>66.805479450000007</v>
      </c>
      <c r="K84">
        <f>median!C$3</f>
        <v>23</v>
      </c>
      <c r="L84">
        <f>median!D$3</f>
        <v>4</v>
      </c>
      <c r="M84">
        <f>median!E$3</f>
        <v>18</v>
      </c>
      <c r="N84">
        <f>median!F$3</f>
        <v>-2.08</v>
      </c>
      <c r="O84">
        <f>median!G$3</f>
        <v>-0.25</v>
      </c>
      <c r="P84">
        <f>median!H$3</f>
        <v>-0.35</v>
      </c>
      <c r="Q84">
        <f>median!I$3</f>
        <v>-0.9</v>
      </c>
      <c r="R84">
        <f>median!J$3</f>
        <v>0</v>
      </c>
    </row>
    <row r="85" spans="1:18" ht="15.75" customHeight="1" x14ac:dyDescent="0.25">
      <c r="A85" s="1" t="s">
        <v>146</v>
      </c>
      <c r="B85" s="1" t="s">
        <v>147</v>
      </c>
      <c r="C85" s="1" t="s">
        <v>162</v>
      </c>
      <c r="D85" s="1">
        <v>800</v>
      </c>
      <c r="E85" s="1" t="s">
        <v>163</v>
      </c>
      <c r="F85" s="12" t="str">
        <f t="shared" si="2"/>
        <v>HIDI LONG_800</v>
      </c>
      <c r="G85" s="12" t="s">
        <v>20</v>
      </c>
      <c r="H85" s="1">
        <f t="shared" si="3"/>
        <v>0</v>
      </c>
      <c r="I85" s="1" t="s">
        <v>115</v>
      </c>
      <c r="J85" s="1">
        <v>58.145205480000001</v>
      </c>
      <c r="K85" s="7">
        <v>23</v>
      </c>
      <c r="L85" s="7">
        <v>3</v>
      </c>
      <c r="M85" s="7">
        <v>13</v>
      </c>
      <c r="N85" s="8">
        <v>1.33</v>
      </c>
      <c r="O85" s="7">
        <v>1.04</v>
      </c>
      <c r="P85" s="7">
        <v>-0.11</v>
      </c>
      <c r="Q85" s="7">
        <v>0.12</v>
      </c>
      <c r="R85" s="7">
        <v>6</v>
      </c>
    </row>
    <row r="86" spans="1:18" ht="15.75" customHeight="1" x14ac:dyDescent="0.25">
      <c r="A86" s="1" t="s">
        <v>146</v>
      </c>
      <c r="B86" s="1" t="s">
        <v>147</v>
      </c>
      <c r="C86" s="1" t="s">
        <v>164</v>
      </c>
      <c r="D86" s="1">
        <v>900</v>
      </c>
      <c r="E86" s="1" t="s">
        <v>165</v>
      </c>
      <c r="F86" s="12" t="str">
        <f t="shared" si="2"/>
        <v>HIDI LONG_900</v>
      </c>
      <c r="G86" s="12" t="s">
        <v>20</v>
      </c>
      <c r="H86" s="1">
        <f t="shared" si="3"/>
        <v>0</v>
      </c>
      <c r="I86" s="1" t="s">
        <v>108</v>
      </c>
      <c r="J86" s="1">
        <v>68.608219180000006</v>
      </c>
      <c r="K86" s="7">
        <v>23</v>
      </c>
      <c r="L86" s="7">
        <v>4</v>
      </c>
      <c r="M86" s="7">
        <v>17</v>
      </c>
      <c r="N86" s="8">
        <v>0.42</v>
      </c>
      <c r="O86">
        <f>median!G$3</f>
        <v>-0.25</v>
      </c>
      <c r="P86" s="7">
        <v>-0.21</v>
      </c>
      <c r="Q86" s="7">
        <v>-0.25</v>
      </c>
      <c r="R86" s="7">
        <v>18</v>
      </c>
    </row>
    <row r="87" spans="1:18" ht="15.75" customHeight="1" x14ac:dyDescent="0.25">
      <c r="A87" s="1" t="s">
        <v>88</v>
      </c>
      <c r="B87" s="1" t="s">
        <v>89</v>
      </c>
      <c r="C87" s="1" t="s">
        <v>649</v>
      </c>
      <c r="D87" s="1">
        <v>1087</v>
      </c>
      <c r="E87" s="1">
        <v>1087</v>
      </c>
      <c r="F87" s="12" t="str">
        <f t="shared" si="2"/>
        <v>Kardiovize_1087</v>
      </c>
      <c r="G87" s="12" t="s">
        <v>20</v>
      </c>
      <c r="H87" s="1">
        <f t="shared" si="3"/>
        <v>0</v>
      </c>
      <c r="I87" s="1" t="s">
        <v>21</v>
      </c>
      <c r="J87" s="1">
        <v>72.53</v>
      </c>
      <c r="K87">
        <f>median!C$3</f>
        <v>23</v>
      </c>
      <c r="L87">
        <f>median!D$3</f>
        <v>4</v>
      </c>
      <c r="M87">
        <f>median!E$3</f>
        <v>18</v>
      </c>
      <c r="N87">
        <f>median!F$3</f>
        <v>-2.08</v>
      </c>
      <c r="O87" s="7">
        <v>0.24199999999999999</v>
      </c>
      <c r="P87" s="7">
        <v>-0.99199999999999999</v>
      </c>
      <c r="Q87" s="7">
        <v>-0.94699999999999995</v>
      </c>
      <c r="R87" s="7">
        <v>1</v>
      </c>
    </row>
    <row r="88" spans="1:18" ht="15.75" customHeight="1" x14ac:dyDescent="0.25">
      <c r="A88" s="1" t="s">
        <v>88</v>
      </c>
      <c r="B88" s="1" t="s">
        <v>89</v>
      </c>
      <c r="C88" s="1" t="s">
        <v>528</v>
      </c>
      <c r="D88" s="1">
        <v>1091</v>
      </c>
      <c r="E88" s="1">
        <v>1091</v>
      </c>
      <c r="F88" s="12" t="str">
        <f t="shared" si="2"/>
        <v>Kardiovize_1091</v>
      </c>
      <c r="G88" s="12" t="s">
        <v>20</v>
      </c>
      <c r="H88" s="1">
        <f t="shared" si="3"/>
        <v>0</v>
      </c>
      <c r="I88" s="1" t="s">
        <v>233</v>
      </c>
      <c r="J88" s="1">
        <v>62.52</v>
      </c>
      <c r="K88" s="7">
        <v>26</v>
      </c>
      <c r="L88" s="7">
        <v>2</v>
      </c>
      <c r="M88" s="7">
        <v>12</v>
      </c>
      <c r="N88" s="8">
        <v>1.3866670000000001</v>
      </c>
      <c r="O88" s="7">
        <v>1.375</v>
      </c>
      <c r="P88" s="7">
        <v>6.6000000000000003E-2</v>
      </c>
      <c r="Q88" s="7">
        <v>7.6666999999999999E-2</v>
      </c>
      <c r="R88" s="7">
        <v>10</v>
      </c>
    </row>
    <row r="89" spans="1:18" ht="15.75" customHeight="1" x14ac:dyDescent="0.25">
      <c r="A89" s="1" t="s">
        <v>88</v>
      </c>
      <c r="B89" s="1" t="s">
        <v>89</v>
      </c>
      <c r="C89" s="1" t="s">
        <v>529</v>
      </c>
      <c r="D89" s="1">
        <v>1096</v>
      </c>
      <c r="E89" s="1">
        <v>1096</v>
      </c>
      <c r="F89" s="12" t="str">
        <f t="shared" si="2"/>
        <v>Kardiovize_1096</v>
      </c>
      <c r="G89" s="12" t="s">
        <v>28</v>
      </c>
      <c r="H89" s="1">
        <f t="shared" si="3"/>
        <v>1</v>
      </c>
      <c r="I89" s="1" t="s">
        <v>391</v>
      </c>
      <c r="J89" s="1">
        <v>74.08</v>
      </c>
      <c r="K89" s="7">
        <v>27</v>
      </c>
      <c r="L89" s="7">
        <v>3</v>
      </c>
      <c r="M89" s="7">
        <v>13</v>
      </c>
      <c r="N89" s="8">
        <v>0.51333300000000004</v>
      </c>
      <c r="O89" s="7">
        <v>0.28999999999999998</v>
      </c>
      <c r="P89" s="7">
        <v>0.14199999999999999</v>
      </c>
      <c r="Q89" s="7">
        <v>-0.245</v>
      </c>
      <c r="R89" s="7">
        <v>3</v>
      </c>
    </row>
    <row r="90" spans="1:18" ht="15.75" customHeight="1" x14ac:dyDescent="0.25">
      <c r="A90" s="1" t="s">
        <v>88</v>
      </c>
      <c r="B90" s="1" t="s">
        <v>89</v>
      </c>
      <c r="C90" s="1" t="s">
        <v>530</v>
      </c>
      <c r="D90" s="1">
        <v>111</v>
      </c>
      <c r="E90" s="1">
        <v>111</v>
      </c>
      <c r="F90" s="12" t="str">
        <f t="shared" si="2"/>
        <v>Kardiovize_111</v>
      </c>
      <c r="G90" s="12" t="s">
        <v>28</v>
      </c>
      <c r="H90" s="1">
        <f t="shared" si="3"/>
        <v>1</v>
      </c>
      <c r="I90" s="1" t="s">
        <v>233</v>
      </c>
      <c r="J90" s="1">
        <v>61.88</v>
      </c>
      <c r="K90" s="7">
        <v>20</v>
      </c>
      <c r="L90" s="7">
        <v>3</v>
      </c>
      <c r="M90" s="7">
        <v>13</v>
      </c>
      <c r="N90" s="8">
        <v>0.123006</v>
      </c>
      <c r="O90" s="7">
        <v>-0.25335000000000002</v>
      </c>
      <c r="P90" s="7">
        <v>0.33333299999999999</v>
      </c>
      <c r="Q90" s="7">
        <v>0.111111</v>
      </c>
      <c r="R90" s="7">
        <v>3</v>
      </c>
    </row>
    <row r="91" spans="1:18" ht="15.75" customHeight="1" x14ac:dyDescent="0.25">
      <c r="A91" s="1" t="s">
        <v>88</v>
      </c>
      <c r="B91" s="1" t="s">
        <v>89</v>
      </c>
      <c r="C91" s="1" t="s">
        <v>100</v>
      </c>
      <c r="D91" s="1">
        <v>1120</v>
      </c>
      <c r="E91" s="1">
        <v>1120</v>
      </c>
      <c r="F91" s="12" t="str">
        <f t="shared" si="2"/>
        <v>Kardiovize_1120</v>
      </c>
      <c r="G91" s="12" t="s">
        <v>28</v>
      </c>
      <c r="H91" s="1">
        <f t="shared" si="3"/>
        <v>1</v>
      </c>
      <c r="I91" s="1" t="s">
        <v>21</v>
      </c>
      <c r="J91" s="1">
        <v>72.53</v>
      </c>
      <c r="K91" s="7">
        <v>23</v>
      </c>
      <c r="L91" s="7">
        <v>3</v>
      </c>
      <c r="M91" s="7">
        <v>13</v>
      </c>
      <c r="N91" s="8">
        <v>-0.53859999999999997</v>
      </c>
      <c r="O91" s="7">
        <v>-1.34076</v>
      </c>
      <c r="P91" s="7">
        <v>0.16666700000000001</v>
      </c>
      <c r="Q91" s="7">
        <v>-0.22222</v>
      </c>
      <c r="R91" s="7">
        <v>2</v>
      </c>
    </row>
    <row r="92" spans="1:18" ht="15.75" customHeight="1" x14ac:dyDescent="0.25">
      <c r="A92" s="1" t="s">
        <v>88</v>
      </c>
      <c r="B92" s="1" t="s">
        <v>89</v>
      </c>
      <c r="C92" s="1" t="s">
        <v>531</v>
      </c>
      <c r="D92" s="1">
        <v>1121</v>
      </c>
      <c r="E92" s="1">
        <v>1121</v>
      </c>
      <c r="F92" s="12" t="str">
        <f t="shared" si="2"/>
        <v>Kardiovize_1121</v>
      </c>
      <c r="G92" s="12" t="s">
        <v>20</v>
      </c>
      <c r="H92" s="1">
        <f t="shared" si="3"/>
        <v>0</v>
      </c>
      <c r="I92" s="1" t="s">
        <v>21</v>
      </c>
      <c r="J92" s="1">
        <v>65.36</v>
      </c>
      <c r="K92" s="7">
        <v>24</v>
      </c>
      <c r="L92" s="7">
        <v>3</v>
      </c>
      <c r="M92" s="7">
        <v>13</v>
      </c>
      <c r="N92" s="8">
        <v>0.63500000000000001</v>
      </c>
      <c r="O92" s="7">
        <v>0.70499999999999996</v>
      </c>
      <c r="P92" s="7">
        <v>0.47399999999999998</v>
      </c>
      <c r="Q92" s="7">
        <v>0.44500000000000001</v>
      </c>
      <c r="R92" s="7">
        <v>0</v>
      </c>
    </row>
    <row r="93" spans="1:18" ht="15.75" customHeight="1" x14ac:dyDescent="0.25">
      <c r="A93" s="1" t="s">
        <v>88</v>
      </c>
      <c r="B93" s="1" t="s">
        <v>89</v>
      </c>
      <c r="C93" s="1" t="s">
        <v>532</v>
      </c>
      <c r="D93" s="1">
        <v>1127</v>
      </c>
      <c r="E93" s="1">
        <v>1127</v>
      </c>
      <c r="F93" s="12" t="str">
        <f t="shared" si="2"/>
        <v>Kardiovize_1127</v>
      </c>
      <c r="G93" s="12" t="s">
        <v>20</v>
      </c>
      <c r="H93" s="1">
        <f t="shared" si="3"/>
        <v>0</v>
      </c>
      <c r="I93" s="1" t="s">
        <v>21</v>
      </c>
      <c r="J93" s="1">
        <v>66.66</v>
      </c>
      <c r="K93" s="7">
        <v>23</v>
      </c>
      <c r="L93" s="7">
        <v>3</v>
      </c>
      <c r="M93" s="7">
        <v>17</v>
      </c>
      <c r="N93" s="8">
        <v>-1.39</v>
      </c>
      <c r="O93" s="7">
        <v>0.54015999999999997</v>
      </c>
      <c r="P93" s="7">
        <v>-0.14000000000000001</v>
      </c>
      <c r="Q93" s="7">
        <v>0.35499999999999998</v>
      </c>
      <c r="R93" s="7">
        <v>2</v>
      </c>
    </row>
    <row r="94" spans="1:18" ht="15.75" customHeight="1" x14ac:dyDescent="0.25">
      <c r="A94" s="1" t="s">
        <v>88</v>
      </c>
      <c r="B94" s="1" t="s">
        <v>89</v>
      </c>
      <c r="C94" s="1" t="s">
        <v>383</v>
      </c>
      <c r="D94" s="1">
        <v>1141</v>
      </c>
      <c r="E94" s="1">
        <v>1141</v>
      </c>
      <c r="F94" s="12" t="str">
        <f t="shared" si="2"/>
        <v>Kardiovize_1141</v>
      </c>
      <c r="G94" s="12" t="s">
        <v>28</v>
      </c>
      <c r="H94" s="1">
        <f t="shared" si="3"/>
        <v>1</v>
      </c>
      <c r="I94" s="1" t="s">
        <v>233</v>
      </c>
      <c r="J94" s="1">
        <v>71.680000000000007</v>
      </c>
      <c r="K94" s="7">
        <v>27</v>
      </c>
      <c r="L94" s="7">
        <v>3</v>
      </c>
      <c r="M94" s="7">
        <v>15</v>
      </c>
      <c r="N94" s="8">
        <v>1.177459</v>
      </c>
      <c r="O94" s="7">
        <v>-0.25335000000000002</v>
      </c>
      <c r="P94" s="7">
        <v>0.33333299999999999</v>
      </c>
      <c r="Q94" s="7">
        <v>-5.5559999999999998E-2</v>
      </c>
      <c r="R94" s="7">
        <v>1</v>
      </c>
    </row>
    <row r="95" spans="1:18" ht="15.75" customHeight="1" x14ac:dyDescent="0.25">
      <c r="A95" s="1" t="s">
        <v>88</v>
      </c>
      <c r="B95" s="1" t="s">
        <v>89</v>
      </c>
      <c r="C95" s="1" t="s">
        <v>533</v>
      </c>
      <c r="D95" s="1">
        <v>1148</v>
      </c>
      <c r="E95" s="1">
        <v>1148</v>
      </c>
      <c r="F95" s="12" t="str">
        <f t="shared" si="2"/>
        <v>Kardiovize_1148</v>
      </c>
      <c r="G95" s="12" t="s">
        <v>20</v>
      </c>
      <c r="H95" s="1">
        <f t="shared" si="3"/>
        <v>0</v>
      </c>
      <c r="I95" s="1" t="s">
        <v>391</v>
      </c>
      <c r="J95" s="1">
        <v>73.22</v>
      </c>
      <c r="K95" s="7">
        <v>24</v>
      </c>
      <c r="L95" s="7">
        <v>3</v>
      </c>
      <c r="M95" s="7">
        <v>18</v>
      </c>
      <c r="N95" s="8">
        <v>0.66333299999999995</v>
      </c>
      <c r="O95" s="7">
        <v>0.45500000000000002</v>
      </c>
      <c r="P95" s="7">
        <v>-0.112</v>
      </c>
      <c r="Q95" s="7">
        <v>-0.64</v>
      </c>
      <c r="R95" s="7">
        <v>9</v>
      </c>
    </row>
    <row r="96" spans="1:18" ht="15.75" customHeight="1" x14ac:dyDescent="0.25">
      <c r="A96" s="1" t="s">
        <v>88</v>
      </c>
      <c r="B96" s="1" t="s">
        <v>89</v>
      </c>
      <c r="C96" s="1" t="s">
        <v>101</v>
      </c>
      <c r="D96" s="1">
        <v>1152</v>
      </c>
      <c r="E96" s="1">
        <v>1152</v>
      </c>
      <c r="F96" s="12" t="str">
        <f t="shared" si="2"/>
        <v>Kardiovize_1152</v>
      </c>
      <c r="G96" s="12" t="s">
        <v>28</v>
      </c>
      <c r="H96" s="1">
        <f t="shared" si="3"/>
        <v>1</v>
      </c>
      <c r="I96" s="1" t="s">
        <v>21</v>
      </c>
      <c r="J96" s="1">
        <v>69.08</v>
      </c>
      <c r="K96" s="7">
        <v>25</v>
      </c>
      <c r="L96" s="7">
        <v>3</v>
      </c>
      <c r="M96" s="7">
        <v>13</v>
      </c>
      <c r="N96" s="8">
        <v>-0.99877000000000005</v>
      </c>
      <c r="O96" s="7">
        <v>-0.77219000000000004</v>
      </c>
      <c r="P96" s="7">
        <v>0.33333299999999999</v>
      </c>
      <c r="Q96" s="7">
        <v>-0.61111000000000004</v>
      </c>
      <c r="R96" s="7">
        <v>3</v>
      </c>
    </row>
    <row r="97" spans="1:18" ht="15.75" customHeight="1" x14ac:dyDescent="0.25">
      <c r="A97" s="1" t="s">
        <v>88</v>
      </c>
      <c r="B97" s="1" t="s">
        <v>89</v>
      </c>
      <c r="C97" s="1" t="s">
        <v>534</v>
      </c>
      <c r="D97" s="1">
        <v>1160</v>
      </c>
      <c r="E97" s="1">
        <v>1160</v>
      </c>
      <c r="F97" s="12" t="str">
        <f t="shared" si="2"/>
        <v>Kardiovize_1160</v>
      </c>
      <c r="G97" s="12" t="s">
        <v>20</v>
      </c>
      <c r="H97" s="1">
        <f t="shared" si="3"/>
        <v>0</v>
      </c>
      <c r="I97" s="1" t="s">
        <v>233</v>
      </c>
      <c r="J97" s="1">
        <v>66.53</v>
      </c>
      <c r="K97" s="7">
        <v>25</v>
      </c>
      <c r="L97" s="7">
        <v>3</v>
      </c>
      <c r="M97" s="7">
        <v>13</v>
      </c>
      <c r="N97" s="8">
        <v>0.55333299999999996</v>
      </c>
      <c r="O97" s="7">
        <v>0.875</v>
      </c>
      <c r="P97" s="7">
        <v>0.128</v>
      </c>
      <c r="Q97" s="7">
        <v>-0.16667000000000001</v>
      </c>
      <c r="R97" s="7">
        <v>0</v>
      </c>
    </row>
    <row r="98" spans="1:18" ht="15.75" customHeight="1" x14ac:dyDescent="0.25">
      <c r="A98" s="1" t="s">
        <v>88</v>
      </c>
      <c r="B98" s="1" t="s">
        <v>89</v>
      </c>
      <c r="C98" s="1" t="s">
        <v>535</v>
      </c>
      <c r="D98" s="1">
        <v>1175</v>
      </c>
      <c r="E98" s="1">
        <v>1175</v>
      </c>
      <c r="F98" s="12" t="str">
        <f t="shared" si="2"/>
        <v>Kardiovize_1175</v>
      </c>
      <c r="G98" s="12" t="s">
        <v>20</v>
      </c>
      <c r="H98" s="1">
        <f t="shared" si="3"/>
        <v>0</v>
      </c>
      <c r="I98" s="1" t="s">
        <v>233</v>
      </c>
      <c r="J98" s="1">
        <v>70.739999999999995</v>
      </c>
      <c r="K98" s="7">
        <v>22</v>
      </c>
      <c r="L98" s="7">
        <v>2</v>
      </c>
      <c r="M98" s="7">
        <v>12</v>
      </c>
      <c r="N98" s="8">
        <v>0.29399999999999998</v>
      </c>
      <c r="O98" s="7">
        <v>7.4999999999999997E-2</v>
      </c>
      <c r="P98" s="7">
        <v>-0.442</v>
      </c>
      <c r="Q98">
        <f>median!I$3</f>
        <v>-0.9</v>
      </c>
      <c r="R98" s="7">
        <v>4</v>
      </c>
    </row>
    <row r="99" spans="1:18" ht="15.75" customHeight="1" x14ac:dyDescent="0.25">
      <c r="A99" s="1" t="s">
        <v>88</v>
      </c>
      <c r="B99" s="1" t="s">
        <v>89</v>
      </c>
      <c r="C99" s="1" t="s">
        <v>523</v>
      </c>
      <c r="D99" s="1">
        <v>1186</v>
      </c>
      <c r="E99" s="1">
        <v>1186</v>
      </c>
      <c r="F99" s="12" t="str">
        <f t="shared" si="2"/>
        <v>Kardiovize_1186</v>
      </c>
      <c r="G99" s="12" t="s">
        <v>20</v>
      </c>
      <c r="H99" s="1">
        <f t="shared" si="3"/>
        <v>0</v>
      </c>
      <c r="I99" s="1" t="s">
        <v>391</v>
      </c>
      <c r="J99" s="1">
        <v>73.44</v>
      </c>
      <c r="K99" s="7">
        <v>25</v>
      </c>
      <c r="L99" s="7">
        <v>4</v>
      </c>
      <c r="M99" s="7">
        <v>18</v>
      </c>
      <c r="N99" s="8">
        <v>-0.46848000000000001</v>
      </c>
      <c r="O99" s="7">
        <v>1.080319</v>
      </c>
      <c r="P99" s="7">
        <v>-0.66666999999999998</v>
      </c>
      <c r="Q99" s="7">
        <v>-0.27778000000000003</v>
      </c>
      <c r="R99" s="7">
        <v>3</v>
      </c>
    </row>
    <row r="100" spans="1:18" ht="15.75" customHeight="1" x14ac:dyDescent="0.25">
      <c r="A100" s="1" t="s">
        <v>88</v>
      </c>
      <c r="B100" s="1" t="s">
        <v>89</v>
      </c>
      <c r="C100" s="1" t="s">
        <v>536</v>
      </c>
      <c r="D100" s="1">
        <v>1202</v>
      </c>
      <c r="E100" s="1">
        <v>1202</v>
      </c>
      <c r="F100" s="12" t="str">
        <f t="shared" si="2"/>
        <v>Kardiovize_1202</v>
      </c>
      <c r="G100" s="12" t="s">
        <v>20</v>
      </c>
      <c r="H100" s="1">
        <f t="shared" si="3"/>
        <v>0</v>
      </c>
      <c r="I100" s="1" t="s">
        <v>233</v>
      </c>
      <c r="J100" s="1">
        <v>75</v>
      </c>
      <c r="K100" s="7">
        <v>25</v>
      </c>
      <c r="L100" s="7">
        <v>3</v>
      </c>
      <c r="M100" s="7">
        <v>13</v>
      </c>
      <c r="N100" s="8">
        <v>-0.49</v>
      </c>
      <c r="O100" s="7">
        <v>0.54</v>
      </c>
      <c r="P100" s="7">
        <v>0.02</v>
      </c>
      <c r="Q100" s="7">
        <v>2.1666999999999999E-2</v>
      </c>
      <c r="R100" s="7">
        <v>3</v>
      </c>
    </row>
    <row r="101" spans="1:18" ht="15.75" customHeight="1" x14ac:dyDescent="0.25">
      <c r="A101" s="1" t="s">
        <v>88</v>
      </c>
      <c r="B101" s="1" t="s">
        <v>89</v>
      </c>
      <c r="C101" s="1" t="s">
        <v>384</v>
      </c>
      <c r="D101" s="1">
        <v>1210</v>
      </c>
      <c r="E101" s="1">
        <v>1210</v>
      </c>
      <c r="F101" s="12" t="str">
        <f t="shared" si="2"/>
        <v>Kardiovize_1210</v>
      </c>
      <c r="G101" s="12" t="s">
        <v>20</v>
      </c>
      <c r="H101" s="1">
        <f t="shared" si="3"/>
        <v>0</v>
      </c>
      <c r="I101" s="1" t="s">
        <v>233</v>
      </c>
      <c r="J101">
        <v>74.165639970000001</v>
      </c>
      <c r="K101" s="7">
        <v>26</v>
      </c>
      <c r="L101" s="7">
        <v>4</v>
      </c>
      <c r="M101" s="7">
        <v>18</v>
      </c>
      <c r="N101" s="8">
        <v>0.321658</v>
      </c>
      <c r="O101" s="7">
        <v>1.080319</v>
      </c>
      <c r="P101" s="7">
        <v>0.83333299999999999</v>
      </c>
      <c r="Q101" s="7">
        <v>0.61111099999999996</v>
      </c>
      <c r="R101" s="7">
        <v>3</v>
      </c>
    </row>
    <row r="102" spans="1:18" ht="15.75" customHeight="1" x14ac:dyDescent="0.25">
      <c r="A102" s="1" t="s">
        <v>88</v>
      </c>
      <c r="B102" s="1" t="s">
        <v>89</v>
      </c>
      <c r="C102" s="1" t="s">
        <v>524</v>
      </c>
      <c r="D102" s="1">
        <v>1222</v>
      </c>
      <c r="E102" s="1">
        <v>1222</v>
      </c>
      <c r="F102" s="12" t="str">
        <f t="shared" si="2"/>
        <v>Kardiovize_1222</v>
      </c>
      <c r="G102" s="12" t="s">
        <v>28</v>
      </c>
      <c r="H102" s="1">
        <f t="shared" si="3"/>
        <v>1</v>
      </c>
      <c r="I102" s="1" t="s">
        <v>391</v>
      </c>
      <c r="J102" s="1">
        <v>69.959999999999994</v>
      </c>
      <c r="K102" s="7">
        <v>19</v>
      </c>
      <c r="L102" s="7">
        <v>2</v>
      </c>
      <c r="M102" s="7">
        <v>12</v>
      </c>
      <c r="N102" s="8">
        <v>-1.47261</v>
      </c>
      <c r="O102" s="7">
        <v>-2.1700900000000001</v>
      </c>
      <c r="P102" s="7">
        <v>-1.1666700000000001</v>
      </c>
      <c r="Q102" s="7">
        <v>-0.38889000000000001</v>
      </c>
      <c r="R102" s="7">
        <v>6</v>
      </c>
    </row>
    <row r="103" spans="1:18" ht="15.75" customHeight="1" x14ac:dyDescent="0.25">
      <c r="A103" s="1" t="s">
        <v>88</v>
      </c>
      <c r="B103" s="1" t="s">
        <v>89</v>
      </c>
      <c r="C103" s="1" t="s">
        <v>537</v>
      </c>
      <c r="D103" s="1">
        <v>1234</v>
      </c>
      <c r="E103" s="1">
        <v>1234</v>
      </c>
      <c r="F103" s="12" t="str">
        <f t="shared" si="2"/>
        <v>Kardiovize_1234</v>
      </c>
      <c r="G103" s="12" t="s">
        <v>28</v>
      </c>
      <c r="H103" s="1">
        <f t="shared" si="3"/>
        <v>1</v>
      </c>
      <c r="I103" s="1" t="s">
        <v>233</v>
      </c>
      <c r="J103" s="1">
        <v>67.08</v>
      </c>
      <c r="K103" s="7">
        <v>27</v>
      </c>
      <c r="L103" s="7">
        <v>3</v>
      </c>
      <c r="M103" s="7">
        <v>13</v>
      </c>
      <c r="N103" s="8">
        <v>1.1666669999999999</v>
      </c>
      <c r="O103" s="7">
        <v>-0.125</v>
      </c>
      <c r="P103" s="7">
        <v>0.68200000000000005</v>
      </c>
      <c r="Q103" s="7">
        <v>0.77833300000000005</v>
      </c>
      <c r="R103" s="7">
        <v>3</v>
      </c>
    </row>
    <row r="104" spans="1:18" ht="15.75" customHeight="1" x14ac:dyDescent="0.25">
      <c r="A104" s="1" t="s">
        <v>88</v>
      </c>
      <c r="B104" s="1" t="s">
        <v>89</v>
      </c>
      <c r="C104" s="1" t="s">
        <v>538</v>
      </c>
      <c r="D104" s="1">
        <v>1254</v>
      </c>
      <c r="E104" s="1">
        <v>1254</v>
      </c>
      <c r="F104" s="12" t="str">
        <f t="shared" si="2"/>
        <v>Kardiovize_1254</v>
      </c>
      <c r="G104" s="12" t="s">
        <v>20</v>
      </c>
      <c r="H104" s="1">
        <f t="shared" si="3"/>
        <v>0</v>
      </c>
      <c r="I104" s="1" t="s">
        <v>233</v>
      </c>
      <c r="J104">
        <v>74.165639970000001</v>
      </c>
      <c r="K104">
        <f>median!C$3</f>
        <v>23</v>
      </c>
      <c r="L104">
        <f>median!D$3</f>
        <v>4</v>
      </c>
      <c r="M104">
        <f>median!E$3</f>
        <v>18</v>
      </c>
      <c r="N104" s="8">
        <v>0.56833299999999998</v>
      </c>
      <c r="O104" s="7">
        <v>-0.46</v>
      </c>
      <c r="P104" s="7">
        <v>-0.16</v>
      </c>
      <c r="Q104" s="7">
        <v>-0.57167000000000001</v>
      </c>
      <c r="R104" s="7">
        <v>1</v>
      </c>
    </row>
    <row r="105" spans="1:18" ht="15.75" customHeight="1" x14ac:dyDescent="0.25">
      <c r="A105" s="1" t="s">
        <v>88</v>
      </c>
      <c r="B105" s="1" t="s">
        <v>89</v>
      </c>
      <c r="C105" s="1" t="s">
        <v>539</v>
      </c>
      <c r="D105" s="1">
        <v>1268</v>
      </c>
      <c r="E105" s="1">
        <v>1268</v>
      </c>
      <c r="F105" s="12" t="str">
        <f t="shared" si="2"/>
        <v>Kardiovize_1268</v>
      </c>
      <c r="G105" s="12" t="s">
        <v>20</v>
      </c>
      <c r="H105" s="1">
        <f t="shared" si="3"/>
        <v>0</v>
      </c>
      <c r="I105" s="1" t="s">
        <v>233</v>
      </c>
      <c r="J105" s="1">
        <v>61.64</v>
      </c>
      <c r="K105">
        <f>median!C$3</f>
        <v>23</v>
      </c>
      <c r="L105" s="7">
        <v>4</v>
      </c>
      <c r="M105" s="7">
        <v>18</v>
      </c>
      <c r="N105" s="8">
        <v>1.0249999999999999</v>
      </c>
      <c r="O105" s="7">
        <v>0.70499999999999996</v>
      </c>
      <c r="P105" s="7">
        <v>0.214</v>
      </c>
      <c r="Q105" s="7">
        <v>0.43333300000000002</v>
      </c>
      <c r="R105" s="7">
        <v>6</v>
      </c>
    </row>
    <row r="106" spans="1:18" ht="15.75" customHeight="1" x14ac:dyDescent="0.25">
      <c r="A106" s="1" t="s">
        <v>88</v>
      </c>
      <c r="B106" s="1" t="s">
        <v>89</v>
      </c>
      <c r="C106" s="1" t="s">
        <v>540</v>
      </c>
      <c r="D106" s="1">
        <v>127</v>
      </c>
      <c r="E106" s="1">
        <v>127</v>
      </c>
      <c r="F106" s="12" t="str">
        <f t="shared" si="2"/>
        <v>Kardiovize_127</v>
      </c>
      <c r="G106" s="12" t="s">
        <v>28</v>
      </c>
      <c r="H106" s="1">
        <f t="shared" si="3"/>
        <v>1</v>
      </c>
      <c r="I106" s="1" t="s">
        <v>233</v>
      </c>
      <c r="J106" s="1">
        <v>71.790000000000006</v>
      </c>
      <c r="K106" s="7">
        <v>27</v>
      </c>
      <c r="L106" s="7">
        <v>4</v>
      </c>
      <c r="M106" s="7">
        <v>18</v>
      </c>
      <c r="N106" s="8">
        <v>1.5516669999999999</v>
      </c>
      <c r="O106" s="7">
        <v>-4.4999999999999998E-2</v>
      </c>
      <c r="P106" s="7">
        <v>0.35399999999999998</v>
      </c>
      <c r="Q106" s="7">
        <v>0.94</v>
      </c>
      <c r="R106" s="7">
        <v>2</v>
      </c>
    </row>
    <row r="107" spans="1:18" ht="15.75" customHeight="1" x14ac:dyDescent="0.25">
      <c r="A107" s="1" t="s">
        <v>88</v>
      </c>
      <c r="B107" s="1" t="s">
        <v>89</v>
      </c>
      <c r="C107" s="1" t="s">
        <v>541</v>
      </c>
      <c r="D107" s="1">
        <v>1289</v>
      </c>
      <c r="E107" s="1">
        <v>1289</v>
      </c>
      <c r="F107" s="12" t="str">
        <f t="shared" si="2"/>
        <v>Kardiovize_1289</v>
      </c>
      <c r="G107" s="12" t="s">
        <v>28</v>
      </c>
      <c r="H107" s="1">
        <f t="shared" si="3"/>
        <v>1</v>
      </c>
      <c r="I107" s="1" t="s">
        <v>391</v>
      </c>
      <c r="J107">
        <v>74.165639970000001</v>
      </c>
      <c r="K107">
        <f>median!C$3</f>
        <v>23</v>
      </c>
      <c r="L107" s="7">
        <v>3</v>
      </c>
      <c r="M107" s="7">
        <v>13</v>
      </c>
      <c r="N107" s="8">
        <v>0.97</v>
      </c>
      <c r="O107" s="7">
        <v>-0.505</v>
      </c>
      <c r="P107" s="7">
        <v>-0.67400000000000004</v>
      </c>
      <c r="Q107" s="7">
        <v>0.255</v>
      </c>
      <c r="R107" s="7">
        <v>3</v>
      </c>
    </row>
    <row r="108" spans="1:18" ht="15.75" customHeight="1" x14ac:dyDescent="0.25">
      <c r="A108" s="1" t="s">
        <v>88</v>
      </c>
      <c r="B108" s="1" t="s">
        <v>89</v>
      </c>
      <c r="C108" s="1" t="s">
        <v>526</v>
      </c>
      <c r="D108" s="1">
        <v>1294</v>
      </c>
      <c r="E108" s="1">
        <v>1294</v>
      </c>
      <c r="F108" s="12" t="str">
        <f t="shared" si="2"/>
        <v>Kardiovize_1294</v>
      </c>
      <c r="G108" s="12" t="s">
        <v>20</v>
      </c>
      <c r="H108" s="1">
        <f t="shared" si="3"/>
        <v>0</v>
      </c>
      <c r="I108" s="1" t="s">
        <v>233</v>
      </c>
      <c r="J108" s="1">
        <v>73.92</v>
      </c>
      <c r="K108" s="7">
        <v>24</v>
      </c>
      <c r="L108" s="7">
        <v>2</v>
      </c>
      <c r="M108" s="7">
        <v>12</v>
      </c>
      <c r="N108" s="8">
        <v>-0.60692999999999997</v>
      </c>
      <c r="O108" s="7">
        <v>-0.77219000000000004</v>
      </c>
      <c r="P108" s="7">
        <v>-0.5</v>
      </c>
      <c r="Q108" s="7">
        <v>-0.38889000000000001</v>
      </c>
      <c r="R108" s="7">
        <v>10</v>
      </c>
    </row>
    <row r="109" spans="1:18" ht="15.75" customHeight="1" x14ac:dyDescent="0.25">
      <c r="A109" s="1" t="s">
        <v>88</v>
      </c>
      <c r="B109" s="1" t="s">
        <v>89</v>
      </c>
      <c r="C109" s="1" t="s">
        <v>102</v>
      </c>
      <c r="D109" s="1">
        <v>1300</v>
      </c>
      <c r="E109" s="1">
        <v>1300</v>
      </c>
      <c r="F109" s="12" t="str">
        <f t="shared" si="2"/>
        <v>Kardiovize_1300</v>
      </c>
      <c r="G109" s="12" t="s">
        <v>20</v>
      </c>
      <c r="H109" s="1">
        <f t="shared" si="3"/>
        <v>0</v>
      </c>
      <c r="I109" s="1" t="s">
        <v>21</v>
      </c>
      <c r="J109" s="1">
        <v>73.3</v>
      </c>
      <c r="K109" s="7">
        <v>21</v>
      </c>
      <c r="L109" s="7">
        <v>2</v>
      </c>
      <c r="M109" s="7">
        <v>12</v>
      </c>
      <c r="N109" s="8">
        <v>-1.26841</v>
      </c>
      <c r="O109" s="7">
        <v>0.58284199999999997</v>
      </c>
      <c r="P109" s="7">
        <v>-0.83333000000000002</v>
      </c>
      <c r="Q109" s="7">
        <v>-0.77778000000000003</v>
      </c>
      <c r="R109" s="7">
        <v>1</v>
      </c>
    </row>
    <row r="110" spans="1:18" ht="15.75" customHeight="1" x14ac:dyDescent="0.25">
      <c r="A110" s="1" t="s">
        <v>88</v>
      </c>
      <c r="B110" s="1" t="s">
        <v>89</v>
      </c>
      <c r="C110" s="1" t="s">
        <v>542</v>
      </c>
      <c r="D110" s="1">
        <v>1336</v>
      </c>
      <c r="E110" s="1">
        <v>1336</v>
      </c>
      <c r="F110" s="12" t="str">
        <f t="shared" si="2"/>
        <v>Kardiovize_1336</v>
      </c>
      <c r="G110" s="12" t="s">
        <v>20</v>
      </c>
      <c r="H110" s="1">
        <f t="shared" si="3"/>
        <v>0</v>
      </c>
      <c r="I110" s="1" t="s">
        <v>391</v>
      </c>
      <c r="J110" s="1">
        <v>71.849999999999994</v>
      </c>
      <c r="K110" s="7">
        <v>22</v>
      </c>
      <c r="L110" s="7">
        <v>3</v>
      </c>
      <c r="M110" s="7">
        <v>17</v>
      </c>
      <c r="N110" s="8">
        <v>6.5036999999999998E-2</v>
      </c>
      <c r="O110" s="7">
        <v>0.58284199999999997</v>
      </c>
      <c r="P110" s="7">
        <v>-1</v>
      </c>
      <c r="Q110" s="7">
        <v>0.06</v>
      </c>
      <c r="R110" s="7">
        <v>2</v>
      </c>
    </row>
    <row r="111" spans="1:18" ht="15.75" customHeight="1" x14ac:dyDescent="0.25">
      <c r="A111" s="1" t="s">
        <v>88</v>
      </c>
      <c r="B111" s="1" t="s">
        <v>89</v>
      </c>
      <c r="C111" s="1" t="s">
        <v>543</v>
      </c>
      <c r="D111" s="1">
        <v>1337</v>
      </c>
      <c r="E111" s="1">
        <v>1337</v>
      </c>
      <c r="F111" s="12" t="str">
        <f t="shared" si="2"/>
        <v>Kardiovize_1337</v>
      </c>
      <c r="G111" s="12" t="s">
        <v>28</v>
      </c>
      <c r="H111" s="1">
        <f t="shared" si="3"/>
        <v>1</v>
      </c>
      <c r="I111" s="1" t="s">
        <v>233</v>
      </c>
      <c r="J111" s="1">
        <v>64.739999999999995</v>
      </c>
      <c r="K111" s="7">
        <v>29</v>
      </c>
      <c r="L111" s="7">
        <v>3</v>
      </c>
      <c r="M111" s="7">
        <v>13</v>
      </c>
      <c r="N111" s="8">
        <v>1.4683330000000001</v>
      </c>
      <c r="O111" s="7">
        <v>-0.125</v>
      </c>
      <c r="P111" s="7">
        <v>0.67400000000000004</v>
      </c>
      <c r="Q111" s="7">
        <v>0.83333299999999999</v>
      </c>
      <c r="R111" s="7">
        <v>1</v>
      </c>
    </row>
    <row r="112" spans="1:18" ht="15.75" customHeight="1" x14ac:dyDescent="0.25">
      <c r="A112" s="1" t="s">
        <v>88</v>
      </c>
      <c r="B112" s="1" t="s">
        <v>89</v>
      </c>
      <c r="C112" s="1" t="s">
        <v>525</v>
      </c>
      <c r="D112" s="1">
        <v>1361</v>
      </c>
      <c r="E112" s="1">
        <v>1361</v>
      </c>
      <c r="F112" s="12" t="str">
        <f t="shared" si="2"/>
        <v>Kardiovize_1361</v>
      </c>
      <c r="G112" s="12" t="s">
        <v>28</v>
      </c>
      <c r="H112" s="1">
        <f t="shared" si="3"/>
        <v>1</v>
      </c>
      <c r="I112" s="1" t="s">
        <v>391</v>
      </c>
      <c r="J112" s="1">
        <v>64.010000000000005</v>
      </c>
      <c r="K112" s="7">
        <v>26</v>
      </c>
      <c r="L112" s="7">
        <v>2</v>
      </c>
      <c r="M112" s="7">
        <v>12</v>
      </c>
      <c r="N112" s="8">
        <v>-1.907E-2</v>
      </c>
      <c r="O112" s="7">
        <v>-1.7506900000000001</v>
      </c>
      <c r="P112" s="7">
        <v>-1.6666700000000001</v>
      </c>
      <c r="Q112" s="7">
        <v>-1</v>
      </c>
      <c r="R112" s="7">
        <v>4</v>
      </c>
    </row>
    <row r="113" spans="1:18" ht="15.75" customHeight="1" x14ac:dyDescent="0.25">
      <c r="A113" s="1" t="s">
        <v>88</v>
      </c>
      <c r="B113" s="1" t="s">
        <v>89</v>
      </c>
      <c r="C113" s="1" t="s">
        <v>544</v>
      </c>
      <c r="D113" s="1">
        <v>1390</v>
      </c>
      <c r="E113" s="1">
        <v>1390</v>
      </c>
      <c r="F113" s="12" t="str">
        <f t="shared" si="2"/>
        <v>Kardiovize_1390</v>
      </c>
      <c r="G113" s="12" t="s">
        <v>28</v>
      </c>
      <c r="H113" s="1">
        <f t="shared" si="3"/>
        <v>1</v>
      </c>
      <c r="I113" s="1" t="s">
        <v>233</v>
      </c>
      <c r="J113">
        <f>median!B$3</f>
        <v>74.165639970000001</v>
      </c>
      <c r="K113">
        <f>median!C$3</f>
        <v>23</v>
      </c>
      <c r="L113" s="7">
        <v>4</v>
      </c>
      <c r="M113" s="7">
        <v>18</v>
      </c>
      <c r="N113" s="8">
        <v>0.62833300000000003</v>
      </c>
      <c r="O113" s="7">
        <v>-0.72</v>
      </c>
      <c r="P113" s="7">
        <v>0.28199999999999997</v>
      </c>
      <c r="Q113" s="7">
        <v>-0.16167000000000001</v>
      </c>
      <c r="R113" s="7">
        <v>6</v>
      </c>
    </row>
    <row r="114" spans="1:18" ht="15.75" customHeight="1" x14ac:dyDescent="0.25">
      <c r="A114" s="1" t="s">
        <v>88</v>
      </c>
      <c r="B114" s="1" t="s">
        <v>89</v>
      </c>
      <c r="C114" s="1" t="s">
        <v>650</v>
      </c>
      <c r="D114" s="1">
        <v>1396</v>
      </c>
      <c r="E114" s="1">
        <v>1396</v>
      </c>
      <c r="F114" s="12" t="str">
        <f t="shared" si="2"/>
        <v>Kardiovize_1396</v>
      </c>
      <c r="G114" s="12" t="s">
        <v>28</v>
      </c>
      <c r="H114" s="1">
        <f t="shared" si="3"/>
        <v>1</v>
      </c>
      <c r="I114" s="1" t="s">
        <v>233</v>
      </c>
      <c r="J114" s="1">
        <v>71.41</v>
      </c>
      <c r="K114" s="7">
        <v>26</v>
      </c>
      <c r="L114" s="7">
        <v>3</v>
      </c>
      <c r="M114" s="7">
        <v>13</v>
      </c>
      <c r="N114" s="8">
        <v>1.31</v>
      </c>
      <c r="O114" s="7">
        <v>-0.25335000000000002</v>
      </c>
      <c r="P114" s="7">
        <v>0.83499999999999996</v>
      </c>
      <c r="Q114" s="7">
        <v>0</v>
      </c>
      <c r="R114" s="7">
        <v>5</v>
      </c>
    </row>
    <row r="115" spans="1:18" ht="15.75" customHeight="1" x14ac:dyDescent="0.25">
      <c r="A115" s="1" t="s">
        <v>88</v>
      </c>
      <c r="B115" s="1" t="s">
        <v>89</v>
      </c>
      <c r="C115" s="1" t="s">
        <v>545</v>
      </c>
      <c r="D115" s="1">
        <v>1404</v>
      </c>
      <c r="E115" s="1">
        <v>1404</v>
      </c>
      <c r="F115" s="12" t="str">
        <f t="shared" si="2"/>
        <v>Kardiovize_1404</v>
      </c>
      <c r="G115" s="12" t="s">
        <v>20</v>
      </c>
      <c r="H115" s="1">
        <f t="shared" si="3"/>
        <v>0</v>
      </c>
      <c r="I115" s="1" t="s">
        <v>233</v>
      </c>
      <c r="J115" s="1">
        <v>61.53</v>
      </c>
      <c r="K115" s="7">
        <v>24</v>
      </c>
      <c r="L115" s="7">
        <v>4</v>
      </c>
      <c r="M115" s="7">
        <v>17</v>
      </c>
      <c r="N115" s="8">
        <v>0.53333299999999995</v>
      </c>
      <c r="O115" s="7">
        <v>0.54</v>
      </c>
      <c r="P115" s="7">
        <v>0.30599999999999999</v>
      </c>
      <c r="Q115" s="7">
        <v>1.0833330000000001</v>
      </c>
      <c r="R115" s="7">
        <v>1</v>
      </c>
    </row>
    <row r="116" spans="1:18" ht="15.75" customHeight="1" x14ac:dyDescent="0.25">
      <c r="A116" s="1" t="s">
        <v>88</v>
      </c>
      <c r="B116" s="1" t="s">
        <v>89</v>
      </c>
      <c r="C116" s="1" t="s">
        <v>546</v>
      </c>
      <c r="D116" s="1">
        <v>142</v>
      </c>
      <c r="E116" s="1">
        <v>142</v>
      </c>
      <c r="F116" s="12" t="str">
        <f t="shared" si="2"/>
        <v>Kardiovize_142</v>
      </c>
      <c r="G116" s="12" t="s">
        <v>28</v>
      </c>
      <c r="H116" s="1">
        <f t="shared" si="3"/>
        <v>1</v>
      </c>
      <c r="I116" s="1" t="s">
        <v>21</v>
      </c>
      <c r="J116" s="1">
        <v>71.91</v>
      </c>
      <c r="K116" s="7">
        <v>25</v>
      </c>
      <c r="L116" s="7">
        <v>3</v>
      </c>
      <c r="M116" s="7">
        <v>14</v>
      </c>
      <c r="N116" s="8">
        <v>-0.79832999999999998</v>
      </c>
      <c r="O116" s="7">
        <v>-0.67</v>
      </c>
      <c r="P116" s="7">
        <v>-0.13400000000000001</v>
      </c>
      <c r="Q116" s="7">
        <v>-0.47166999999999998</v>
      </c>
      <c r="R116" s="7">
        <v>3</v>
      </c>
    </row>
    <row r="117" spans="1:18" ht="15.75" customHeight="1" x14ac:dyDescent="0.25">
      <c r="A117" s="1" t="s">
        <v>88</v>
      </c>
      <c r="B117" s="1" t="s">
        <v>89</v>
      </c>
      <c r="C117" s="1" t="s">
        <v>547</v>
      </c>
      <c r="D117" s="1">
        <v>1421</v>
      </c>
      <c r="E117" s="1">
        <v>1421</v>
      </c>
      <c r="F117" s="12" t="str">
        <f t="shared" si="2"/>
        <v>Kardiovize_1421</v>
      </c>
      <c r="G117" s="12" t="s">
        <v>28</v>
      </c>
      <c r="H117" s="1">
        <f t="shared" si="3"/>
        <v>1</v>
      </c>
      <c r="I117" s="1" t="s">
        <v>233</v>
      </c>
      <c r="J117" s="1">
        <v>71.92</v>
      </c>
      <c r="K117" s="7">
        <v>23</v>
      </c>
      <c r="L117" s="7">
        <v>3</v>
      </c>
      <c r="M117" s="7">
        <v>13</v>
      </c>
      <c r="N117" s="8">
        <v>-0.15051999999999999</v>
      </c>
      <c r="O117" s="7">
        <v>-0.25335000000000002</v>
      </c>
      <c r="P117" s="7">
        <v>-0.5</v>
      </c>
      <c r="Q117" s="7">
        <v>-0.44444</v>
      </c>
      <c r="R117" s="7">
        <v>3</v>
      </c>
    </row>
    <row r="118" spans="1:18" ht="15.75" customHeight="1" x14ac:dyDescent="0.25">
      <c r="A118" s="1" t="s">
        <v>88</v>
      </c>
      <c r="B118" s="1" t="s">
        <v>89</v>
      </c>
      <c r="C118" s="1" t="s">
        <v>548</v>
      </c>
      <c r="D118" s="1">
        <v>1451</v>
      </c>
      <c r="E118" s="1">
        <v>1451</v>
      </c>
      <c r="F118" s="12" t="str">
        <f t="shared" si="2"/>
        <v>Kardiovize_1451</v>
      </c>
      <c r="G118" s="12" t="s">
        <v>20</v>
      </c>
      <c r="H118" s="1">
        <f t="shared" si="3"/>
        <v>0</v>
      </c>
      <c r="I118" s="1" t="s">
        <v>21</v>
      </c>
      <c r="J118" s="1">
        <v>74.61</v>
      </c>
      <c r="K118" s="7">
        <v>19</v>
      </c>
      <c r="L118" s="7">
        <v>3</v>
      </c>
      <c r="M118" s="7">
        <v>13</v>
      </c>
      <c r="N118" s="8">
        <v>5.0150000000000004E-3</v>
      </c>
      <c r="O118" s="7">
        <v>0.15096899999999999</v>
      </c>
      <c r="P118" s="7">
        <v>-0.33333000000000002</v>
      </c>
      <c r="Q118" s="7">
        <v>-0.67</v>
      </c>
      <c r="R118" s="7">
        <v>3</v>
      </c>
    </row>
    <row r="119" spans="1:18" ht="15.75" customHeight="1" x14ac:dyDescent="0.25">
      <c r="A119" s="1" t="s">
        <v>88</v>
      </c>
      <c r="B119" s="1" t="s">
        <v>89</v>
      </c>
      <c r="C119" s="1" t="s">
        <v>549</v>
      </c>
      <c r="D119" s="1">
        <v>1453</v>
      </c>
      <c r="E119" s="1">
        <v>1453</v>
      </c>
      <c r="F119" s="12" t="str">
        <f t="shared" si="2"/>
        <v>Kardiovize_1453</v>
      </c>
      <c r="G119" s="12" t="s">
        <v>20</v>
      </c>
      <c r="H119" s="1">
        <f t="shared" si="3"/>
        <v>0</v>
      </c>
      <c r="I119" s="1" t="s">
        <v>233</v>
      </c>
      <c r="J119" s="1">
        <v>65.22</v>
      </c>
      <c r="K119" s="7">
        <v>29</v>
      </c>
      <c r="L119" s="7">
        <v>3</v>
      </c>
      <c r="M119" s="7">
        <v>13</v>
      </c>
      <c r="N119" s="8">
        <v>1.6950000000000001</v>
      </c>
      <c r="O119" s="7">
        <v>0.54</v>
      </c>
      <c r="P119" s="7">
        <v>0.33200000000000002</v>
      </c>
      <c r="Q119" s="7">
        <v>0.30499999999999999</v>
      </c>
      <c r="R119" s="7">
        <v>1</v>
      </c>
    </row>
    <row r="120" spans="1:18" ht="15.75" customHeight="1" x14ac:dyDescent="0.25">
      <c r="A120" s="1" t="s">
        <v>88</v>
      </c>
      <c r="B120" s="1" t="s">
        <v>89</v>
      </c>
      <c r="C120" s="1" t="s">
        <v>550</v>
      </c>
      <c r="D120" s="1">
        <v>1475</v>
      </c>
      <c r="E120" s="1">
        <v>1475</v>
      </c>
      <c r="F120" s="12" t="str">
        <f t="shared" si="2"/>
        <v>Kardiovize_1475</v>
      </c>
      <c r="G120" s="12" t="s">
        <v>20</v>
      </c>
      <c r="H120" s="1">
        <f t="shared" si="3"/>
        <v>0</v>
      </c>
      <c r="I120" s="1" t="s">
        <v>21</v>
      </c>
      <c r="J120" s="1">
        <v>66.349999999999994</v>
      </c>
      <c r="K120" s="7">
        <v>27</v>
      </c>
      <c r="L120" s="7">
        <v>2</v>
      </c>
      <c r="M120" s="7">
        <v>12</v>
      </c>
      <c r="N120" s="8">
        <v>0.16500000000000001</v>
      </c>
      <c r="O120" s="7">
        <v>-0.26</v>
      </c>
      <c r="P120" s="7">
        <v>-0.60599999999999998</v>
      </c>
      <c r="Q120" s="7">
        <v>-1.03833</v>
      </c>
      <c r="R120" s="7">
        <v>2</v>
      </c>
    </row>
    <row r="121" spans="1:18" ht="15.75" customHeight="1" x14ac:dyDescent="0.25">
      <c r="A121" s="1" t="s">
        <v>88</v>
      </c>
      <c r="B121" s="1" t="s">
        <v>89</v>
      </c>
      <c r="C121" s="1" t="s">
        <v>651</v>
      </c>
      <c r="D121" s="1">
        <v>1478</v>
      </c>
      <c r="E121" s="1">
        <v>1478</v>
      </c>
      <c r="F121" s="12" t="str">
        <f t="shared" si="2"/>
        <v>Kardiovize_1478</v>
      </c>
      <c r="G121" s="12" t="s">
        <v>20</v>
      </c>
      <c r="H121" s="1">
        <f t="shared" si="3"/>
        <v>0</v>
      </c>
      <c r="I121" s="1" t="s">
        <v>21</v>
      </c>
      <c r="J121" s="1">
        <v>65.010000000000005</v>
      </c>
      <c r="K121" s="7">
        <v>23</v>
      </c>
      <c r="L121" s="7">
        <v>3</v>
      </c>
      <c r="M121" s="7">
        <v>13</v>
      </c>
      <c r="N121" s="8">
        <v>-0.78332999999999997</v>
      </c>
      <c r="O121" s="7">
        <v>-0.25335000000000002</v>
      </c>
      <c r="P121" s="7">
        <v>4.335</v>
      </c>
      <c r="Q121" s="7">
        <v>-0.66666999999999998</v>
      </c>
      <c r="R121" s="7">
        <v>5</v>
      </c>
    </row>
    <row r="122" spans="1:18" ht="15.75" customHeight="1" x14ac:dyDescent="0.25">
      <c r="A122" s="1" t="s">
        <v>88</v>
      </c>
      <c r="B122" s="1" t="s">
        <v>89</v>
      </c>
      <c r="C122" s="1" t="s">
        <v>652</v>
      </c>
      <c r="D122" s="1">
        <v>1483</v>
      </c>
      <c r="E122" s="1">
        <v>1483</v>
      </c>
      <c r="F122" s="12" t="str">
        <f t="shared" si="2"/>
        <v>Kardiovize_1483</v>
      </c>
      <c r="G122" s="12" t="s">
        <v>20</v>
      </c>
      <c r="H122" s="1">
        <f t="shared" si="3"/>
        <v>0</v>
      </c>
      <c r="I122" s="1" t="s">
        <v>233</v>
      </c>
      <c r="J122" s="1">
        <v>68.22</v>
      </c>
      <c r="K122">
        <f>median!C$3</f>
        <v>23</v>
      </c>
      <c r="L122" s="7">
        <v>4</v>
      </c>
      <c r="M122" s="7">
        <v>17</v>
      </c>
      <c r="N122" s="8">
        <v>0.98166699999999996</v>
      </c>
      <c r="O122" s="7">
        <v>0.57499999999999996</v>
      </c>
      <c r="P122" s="7">
        <v>1.3340000000000001</v>
      </c>
      <c r="Q122" s="7">
        <v>1.2833330000000001</v>
      </c>
      <c r="R122" s="7">
        <v>2</v>
      </c>
    </row>
    <row r="123" spans="1:18" ht="15.75" customHeight="1" x14ac:dyDescent="0.25">
      <c r="A123" s="1" t="s">
        <v>88</v>
      </c>
      <c r="B123" s="1" t="s">
        <v>89</v>
      </c>
      <c r="C123" s="1" t="s">
        <v>551</v>
      </c>
      <c r="D123" s="1">
        <v>1537</v>
      </c>
      <c r="E123" s="1">
        <v>1537</v>
      </c>
      <c r="F123" s="12" t="str">
        <f t="shared" si="2"/>
        <v>Kardiovize_1537</v>
      </c>
      <c r="G123" s="12" t="s">
        <v>20</v>
      </c>
      <c r="H123" s="1">
        <f t="shared" si="3"/>
        <v>0</v>
      </c>
      <c r="I123" s="1" t="s">
        <v>233</v>
      </c>
      <c r="J123" s="1">
        <v>62.34</v>
      </c>
      <c r="K123">
        <f>median!C$3</f>
        <v>23</v>
      </c>
      <c r="L123" s="7">
        <v>3</v>
      </c>
      <c r="M123" s="7">
        <v>13</v>
      </c>
      <c r="N123" s="8">
        <v>0.745</v>
      </c>
      <c r="O123" s="7">
        <v>0.20499999999999999</v>
      </c>
      <c r="P123" s="7">
        <v>0.188</v>
      </c>
      <c r="Q123" s="7">
        <v>0.193333</v>
      </c>
      <c r="R123" s="7">
        <v>7</v>
      </c>
    </row>
    <row r="124" spans="1:18" ht="15.75" customHeight="1" x14ac:dyDescent="0.25">
      <c r="A124" s="1" t="s">
        <v>88</v>
      </c>
      <c r="B124" s="1" t="s">
        <v>89</v>
      </c>
      <c r="C124" s="1" t="s">
        <v>552</v>
      </c>
      <c r="D124" s="1">
        <v>1548</v>
      </c>
      <c r="E124" s="1">
        <v>1548</v>
      </c>
      <c r="F124" s="12" t="str">
        <f t="shared" si="2"/>
        <v>Kardiovize_1548</v>
      </c>
      <c r="G124" s="12" t="s">
        <v>28</v>
      </c>
      <c r="H124" s="1">
        <f t="shared" si="3"/>
        <v>1</v>
      </c>
      <c r="I124" s="1" t="s">
        <v>391</v>
      </c>
      <c r="J124">
        <f>median!B$3</f>
        <v>74.165639970000001</v>
      </c>
      <c r="K124">
        <f>median!C$3</f>
        <v>23</v>
      </c>
      <c r="L124" s="7">
        <v>2</v>
      </c>
      <c r="M124" s="7">
        <v>12</v>
      </c>
      <c r="N124" s="8">
        <v>0.85666699999999996</v>
      </c>
      <c r="O124" s="7">
        <v>-0.505</v>
      </c>
      <c r="P124" s="7">
        <v>-6.0000000000000001E-3</v>
      </c>
      <c r="Q124" s="7">
        <v>-0.43332999999999999</v>
      </c>
      <c r="R124" s="7">
        <v>8</v>
      </c>
    </row>
    <row r="125" spans="1:18" ht="15.75" customHeight="1" x14ac:dyDescent="0.25">
      <c r="A125" s="1" t="s">
        <v>88</v>
      </c>
      <c r="B125" s="1" t="s">
        <v>89</v>
      </c>
      <c r="C125" s="1" t="s">
        <v>553</v>
      </c>
      <c r="D125" s="1">
        <v>1562</v>
      </c>
      <c r="E125" s="1">
        <v>1562</v>
      </c>
      <c r="F125" s="12" t="str">
        <f t="shared" si="2"/>
        <v>Kardiovize_1562</v>
      </c>
      <c r="G125" s="12" t="s">
        <v>28</v>
      </c>
      <c r="H125" s="1">
        <f t="shared" si="3"/>
        <v>1</v>
      </c>
      <c r="I125" s="1" t="s">
        <v>233</v>
      </c>
      <c r="J125">
        <f>median!B$3</f>
        <v>74.165639970000001</v>
      </c>
      <c r="K125">
        <f>median!C$3</f>
        <v>23</v>
      </c>
      <c r="L125" s="7">
        <v>4</v>
      </c>
      <c r="M125" s="7">
        <v>18</v>
      </c>
      <c r="N125" s="8">
        <v>0.55000000000000004</v>
      </c>
      <c r="O125" s="7">
        <v>0.875</v>
      </c>
      <c r="P125" s="7">
        <v>0.53400000000000003</v>
      </c>
      <c r="Q125" s="7">
        <v>0.17166699999999999</v>
      </c>
      <c r="R125" s="7">
        <v>1</v>
      </c>
    </row>
    <row r="126" spans="1:18" ht="15.75" customHeight="1" x14ac:dyDescent="0.25">
      <c r="A126" s="1" t="s">
        <v>88</v>
      </c>
      <c r="B126" s="1" t="s">
        <v>89</v>
      </c>
      <c r="C126" s="1" t="s">
        <v>554</v>
      </c>
      <c r="D126" s="1">
        <v>1602</v>
      </c>
      <c r="E126" s="1">
        <v>1602</v>
      </c>
      <c r="F126" s="12" t="str">
        <f t="shared" si="2"/>
        <v>Kardiovize_1602</v>
      </c>
      <c r="G126" s="12" t="s">
        <v>28</v>
      </c>
      <c r="H126" s="1">
        <f t="shared" si="3"/>
        <v>1</v>
      </c>
      <c r="I126" s="1" t="s">
        <v>233</v>
      </c>
      <c r="J126" s="1">
        <v>70.010000000000005</v>
      </c>
      <c r="K126">
        <f>median!C$3</f>
        <v>23</v>
      </c>
      <c r="L126" s="7">
        <v>4</v>
      </c>
      <c r="M126" s="7">
        <v>19</v>
      </c>
      <c r="N126" s="8">
        <v>1.288333</v>
      </c>
      <c r="O126" s="7">
        <v>0.24</v>
      </c>
      <c r="P126" s="7">
        <v>0.36799999999999999</v>
      </c>
      <c r="Q126" s="7">
        <v>0.14499999999999999</v>
      </c>
      <c r="R126" s="7">
        <v>8</v>
      </c>
    </row>
    <row r="127" spans="1:18" ht="15.75" customHeight="1" x14ac:dyDescent="0.25">
      <c r="A127" s="1" t="s">
        <v>88</v>
      </c>
      <c r="B127" s="1" t="s">
        <v>89</v>
      </c>
      <c r="C127" s="1" t="s">
        <v>555</v>
      </c>
      <c r="D127" s="1">
        <v>1609</v>
      </c>
      <c r="E127" s="1">
        <v>1609</v>
      </c>
      <c r="F127" s="12" t="str">
        <f t="shared" si="2"/>
        <v>Kardiovize_1609</v>
      </c>
      <c r="G127" s="12" t="s">
        <v>20</v>
      </c>
      <c r="H127" s="1">
        <f t="shared" si="3"/>
        <v>0</v>
      </c>
      <c r="I127" s="1" t="s">
        <v>233</v>
      </c>
      <c r="J127" s="1">
        <v>74</v>
      </c>
      <c r="K127" s="7">
        <v>24</v>
      </c>
      <c r="L127" s="7">
        <v>2</v>
      </c>
      <c r="M127" s="7">
        <v>12</v>
      </c>
      <c r="N127" s="8">
        <v>1.171945</v>
      </c>
      <c r="O127" s="7">
        <v>0.58284199999999997</v>
      </c>
      <c r="P127" s="7">
        <v>1</v>
      </c>
      <c r="Q127" s="7">
        <v>0.111111</v>
      </c>
      <c r="R127" s="7">
        <v>1</v>
      </c>
    </row>
    <row r="128" spans="1:18" ht="15.75" customHeight="1" x14ac:dyDescent="0.25">
      <c r="A128" s="1" t="s">
        <v>88</v>
      </c>
      <c r="B128" s="1" t="s">
        <v>89</v>
      </c>
      <c r="C128" s="1" t="s">
        <v>556</v>
      </c>
      <c r="D128" s="1">
        <v>1628</v>
      </c>
      <c r="E128" s="1">
        <v>1628</v>
      </c>
      <c r="F128" s="12" t="str">
        <f t="shared" si="2"/>
        <v>Kardiovize_1628</v>
      </c>
      <c r="G128" s="12" t="s">
        <v>28</v>
      </c>
      <c r="H128" s="1">
        <f t="shared" si="3"/>
        <v>1</v>
      </c>
      <c r="I128" s="1" t="s">
        <v>233</v>
      </c>
      <c r="J128">
        <f>median!B$3</f>
        <v>74.165639970000001</v>
      </c>
      <c r="K128">
        <f>median!C$3</f>
        <v>23</v>
      </c>
      <c r="L128" s="7">
        <v>4</v>
      </c>
      <c r="M128" s="7">
        <v>18</v>
      </c>
      <c r="N128" s="8">
        <v>0.79500000000000004</v>
      </c>
      <c r="O128" s="7">
        <v>0.74</v>
      </c>
      <c r="P128" s="7">
        <v>8.7999999999999995E-2</v>
      </c>
      <c r="Q128" s="7">
        <v>0.56000000000000005</v>
      </c>
      <c r="R128" s="7">
        <v>5</v>
      </c>
    </row>
    <row r="129" spans="1:18" ht="15.75" customHeight="1" x14ac:dyDescent="0.25">
      <c r="A129" s="1" t="s">
        <v>88</v>
      </c>
      <c r="B129" s="1" t="s">
        <v>89</v>
      </c>
      <c r="C129" s="1" t="s">
        <v>557</v>
      </c>
      <c r="D129" s="1">
        <v>1671</v>
      </c>
      <c r="E129" s="1">
        <v>1671</v>
      </c>
      <c r="F129" s="12" t="str">
        <f t="shared" si="2"/>
        <v>Kardiovize_1671</v>
      </c>
      <c r="G129" s="12" t="s">
        <v>28</v>
      </c>
      <c r="H129" s="1">
        <f t="shared" si="3"/>
        <v>1</v>
      </c>
      <c r="I129" s="1" t="s">
        <v>233</v>
      </c>
      <c r="J129" s="1">
        <v>70.319999999999993</v>
      </c>
      <c r="K129">
        <f>median!C$3</f>
        <v>23</v>
      </c>
      <c r="L129" s="7">
        <v>4</v>
      </c>
      <c r="M129" s="7">
        <v>18</v>
      </c>
      <c r="N129" s="8">
        <v>1.5149999999999999</v>
      </c>
      <c r="O129" s="7">
        <v>-0.26</v>
      </c>
      <c r="P129" s="7">
        <v>0.77400000000000002</v>
      </c>
      <c r="Q129" s="7">
        <v>0.37166700000000003</v>
      </c>
      <c r="R129" s="7">
        <v>0</v>
      </c>
    </row>
    <row r="130" spans="1:18" ht="15.75" customHeight="1" x14ac:dyDescent="0.25">
      <c r="A130" s="1" t="s">
        <v>88</v>
      </c>
      <c r="B130" s="1" t="s">
        <v>89</v>
      </c>
      <c r="C130" s="1" t="s">
        <v>558</v>
      </c>
      <c r="D130" s="1">
        <v>1673</v>
      </c>
      <c r="E130" s="1">
        <v>1673</v>
      </c>
      <c r="F130" s="12" t="str">
        <f t="shared" ref="F130:F193" si="4">A130&amp;"_"&amp;D130</f>
        <v>Kardiovize_1673</v>
      </c>
      <c r="G130" s="12" t="s">
        <v>28</v>
      </c>
      <c r="H130" s="1">
        <f t="shared" ref="H130:H193" si="5">IF(G130="M",0,IF(G130="F",1,""))</f>
        <v>1</v>
      </c>
      <c r="I130" s="1" t="s">
        <v>21</v>
      </c>
      <c r="J130">
        <f>median!B$3</f>
        <v>74.165639970000001</v>
      </c>
      <c r="K130">
        <f>median!C$3</f>
        <v>23</v>
      </c>
      <c r="L130" s="7">
        <v>2</v>
      </c>
      <c r="M130" s="7">
        <v>12</v>
      </c>
      <c r="N130" s="8">
        <v>0.37333300000000003</v>
      </c>
      <c r="O130" s="7">
        <v>-0.875</v>
      </c>
      <c r="P130" s="7">
        <v>0.32600000000000001</v>
      </c>
      <c r="Q130" s="7">
        <v>0.56166700000000003</v>
      </c>
      <c r="R130" s="7">
        <v>0</v>
      </c>
    </row>
    <row r="131" spans="1:18" ht="15.75" customHeight="1" x14ac:dyDescent="0.25">
      <c r="A131" s="1" t="s">
        <v>88</v>
      </c>
      <c r="B131" s="1" t="s">
        <v>89</v>
      </c>
      <c r="C131" s="1" t="s">
        <v>90</v>
      </c>
      <c r="D131" s="1">
        <v>168</v>
      </c>
      <c r="E131" s="1">
        <v>168</v>
      </c>
      <c r="F131" s="12" t="str">
        <f t="shared" si="4"/>
        <v>Kardiovize_168</v>
      </c>
      <c r="G131" s="12" t="s">
        <v>20</v>
      </c>
      <c r="H131" s="1">
        <f t="shared" si="5"/>
        <v>0</v>
      </c>
      <c r="I131" s="1" t="s">
        <v>21</v>
      </c>
      <c r="J131" s="1">
        <v>70.010000000000005</v>
      </c>
      <c r="K131" s="7">
        <v>23</v>
      </c>
      <c r="L131" s="7">
        <v>3</v>
      </c>
      <c r="M131" s="7">
        <v>14</v>
      </c>
      <c r="N131" s="8">
        <v>-1.20713</v>
      </c>
      <c r="O131" s="7">
        <v>-1.34076</v>
      </c>
      <c r="P131" s="7">
        <v>-0.66666999999999998</v>
      </c>
      <c r="Q131" s="7">
        <v>-0.72221999999999997</v>
      </c>
      <c r="R131" s="7">
        <v>1</v>
      </c>
    </row>
    <row r="132" spans="1:18" ht="15.75" customHeight="1" x14ac:dyDescent="0.25">
      <c r="A132" s="1" t="s">
        <v>88</v>
      </c>
      <c r="B132" s="1" t="s">
        <v>89</v>
      </c>
      <c r="C132" s="1" t="s">
        <v>559</v>
      </c>
      <c r="D132" s="1">
        <v>1705</v>
      </c>
      <c r="E132" s="1">
        <v>1705</v>
      </c>
      <c r="F132" s="12" t="str">
        <f t="shared" si="4"/>
        <v>Kardiovize_1705</v>
      </c>
      <c r="G132" s="12" t="s">
        <v>28</v>
      </c>
      <c r="H132" s="1">
        <f t="shared" si="5"/>
        <v>1</v>
      </c>
      <c r="I132" s="1" t="s">
        <v>233</v>
      </c>
      <c r="J132" s="1">
        <v>62.54</v>
      </c>
      <c r="K132" s="7">
        <v>27</v>
      </c>
      <c r="L132" s="7">
        <v>3</v>
      </c>
      <c r="M132" s="7">
        <v>13</v>
      </c>
      <c r="N132" s="8">
        <v>1.8966670000000001</v>
      </c>
      <c r="O132" s="7">
        <v>-4.4999999999999998E-2</v>
      </c>
      <c r="P132" s="7">
        <v>0.90600000000000003</v>
      </c>
      <c r="Q132" s="7">
        <v>1.1066670000000001</v>
      </c>
      <c r="R132" s="7">
        <v>5</v>
      </c>
    </row>
    <row r="133" spans="1:18" ht="15.75" customHeight="1" x14ac:dyDescent="0.25">
      <c r="A133" s="1" t="s">
        <v>88</v>
      </c>
      <c r="B133" s="1" t="s">
        <v>89</v>
      </c>
      <c r="C133" s="1" t="s">
        <v>653</v>
      </c>
      <c r="D133" s="1">
        <v>1710</v>
      </c>
      <c r="E133" s="1">
        <v>1710</v>
      </c>
      <c r="F133" s="12" t="str">
        <f t="shared" si="4"/>
        <v>Kardiovize_1710</v>
      </c>
      <c r="G133" s="12" t="s">
        <v>28</v>
      </c>
      <c r="H133" s="1">
        <f t="shared" si="5"/>
        <v>1</v>
      </c>
      <c r="I133" s="1" t="s">
        <v>233</v>
      </c>
      <c r="J133" s="1">
        <v>62.43</v>
      </c>
      <c r="K133" s="7">
        <v>24</v>
      </c>
      <c r="L133" s="7">
        <v>2</v>
      </c>
      <c r="M133" s="7">
        <v>12</v>
      </c>
      <c r="N133" s="8">
        <v>-0.19391</v>
      </c>
      <c r="O133" s="7">
        <v>-0.25335000000000002</v>
      </c>
      <c r="P133" s="7">
        <v>1</v>
      </c>
      <c r="Q133" s="7">
        <v>0.5</v>
      </c>
      <c r="R133" s="7">
        <v>5</v>
      </c>
    </row>
    <row r="134" spans="1:18" ht="15.75" customHeight="1" x14ac:dyDescent="0.25">
      <c r="A134" s="1" t="s">
        <v>88</v>
      </c>
      <c r="B134" s="1" t="s">
        <v>89</v>
      </c>
      <c r="C134" s="1" t="s">
        <v>560</v>
      </c>
      <c r="D134" s="1">
        <v>1715</v>
      </c>
      <c r="E134" s="1">
        <v>1715</v>
      </c>
      <c r="F134" s="12" t="str">
        <f t="shared" si="4"/>
        <v>Kardiovize_1715</v>
      </c>
      <c r="G134" s="12" t="s">
        <v>28</v>
      </c>
      <c r="H134" s="1">
        <f t="shared" si="5"/>
        <v>1</v>
      </c>
      <c r="I134" s="1" t="s">
        <v>233</v>
      </c>
      <c r="J134">
        <f>median!B$3</f>
        <v>74.165639970000001</v>
      </c>
      <c r="K134">
        <f>median!C$3</f>
        <v>23</v>
      </c>
      <c r="L134" s="7">
        <v>3</v>
      </c>
      <c r="M134" s="7">
        <v>16</v>
      </c>
      <c r="N134" s="8">
        <v>1.5549999999999999</v>
      </c>
      <c r="O134" s="7">
        <v>0.70499999999999996</v>
      </c>
      <c r="P134" s="7">
        <v>0.76800000000000002</v>
      </c>
      <c r="Q134" s="7">
        <v>0.48499999999999999</v>
      </c>
      <c r="R134" s="7">
        <v>4</v>
      </c>
    </row>
    <row r="135" spans="1:18" ht="15.75" customHeight="1" x14ac:dyDescent="0.25">
      <c r="A135" s="1" t="s">
        <v>88</v>
      </c>
      <c r="B135" s="1" t="s">
        <v>89</v>
      </c>
      <c r="C135" s="1" t="s">
        <v>561</v>
      </c>
      <c r="D135" s="1">
        <v>1719</v>
      </c>
      <c r="E135" s="1">
        <v>1719</v>
      </c>
      <c r="F135" s="12" t="str">
        <f t="shared" si="4"/>
        <v>Kardiovize_1719</v>
      </c>
      <c r="G135" s="12" t="s">
        <v>28</v>
      </c>
      <c r="H135" s="1">
        <f t="shared" si="5"/>
        <v>1</v>
      </c>
      <c r="I135" s="1" t="s">
        <v>233</v>
      </c>
      <c r="J135">
        <f>median!B$3</f>
        <v>74.165639970000001</v>
      </c>
      <c r="K135">
        <f>median!C$3</f>
        <v>23</v>
      </c>
      <c r="L135" s="7">
        <v>4</v>
      </c>
      <c r="M135" s="7">
        <v>18</v>
      </c>
      <c r="N135" s="8">
        <v>0.64333300000000004</v>
      </c>
      <c r="O135" s="7">
        <v>-0.55000000000000004</v>
      </c>
      <c r="P135" s="7">
        <v>0.88600000000000001</v>
      </c>
      <c r="Q135" s="7">
        <v>0.52166699999999999</v>
      </c>
      <c r="R135" s="7">
        <v>9</v>
      </c>
    </row>
    <row r="136" spans="1:18" ht="15.75" customHeight="1" x14ac:dyDescent="0.25">
      <c r="A136" s="1" t="s">
        <v>88</v>
      </c>
      <c r="B136" s="1" t="s">
        <v>89</v>
      </c>
      <c r="C136" s="1" t="s">
        <v>562</v>
      </c>
      <c r="D136" s="1">
        <v>173</v>
      </c>
      <c r="E136" s="1">
        <v>173</v>
      </c>
      <c r="F136" s="12" t="str">
        <f t="shared" si="4"/>
        <v>Kardiovize_173</v>
      </c>
      <c r="G136" s="12" t="s">
        <v>20</v>
      </c>
      <c r="H136" s="1">
        <f t="shared" si="5"/>
        <v>0</v>
      </c>
      <c r="I136" s="1" t="s">
        <v>233</v>
      </c>
      <c r="J136" s="1">
        <v>73.97</v>
      </c>
      <c r="K136" s="7">
        <v>21</v>
      </c>
      <c r="L136" s="7">
        <v>2</v>
      </c>
      <c r="M136" s="7">
        <v>12</v>
      </c>
      <c r="N136" s="8">
        <v>-0.18410000000000001</v>
      </c>
      <c r="O136" s="7">
        <v>0.15096899999999999</v>
      </c>
      <c r="P136" s="7">
        <v>0</v>
      </c>
      <c r="Q136" s="7">
        <v>0.16666700000000001</v>
      </c>
      <c r="R136" s="7">
        <v>3</v>
      </c>
    </row>
    <row r="137" spans="1:18" ht="15.75" customHeight="1" x14ac:dyDescent="0.25">
      <c r="A137" s="1" t="s">
        <v>88</v>
      </c>
      <c r="B137" s="1" t="s">
        <v>89</v>
      </c>
      <c r="C137" s="1" t="s">
        <v>527</v>
      </c>
      <c r="D137" s="1">
        <v>1730</v>
      </c>
      <c r="E137" s="1">
        <v>1730</v>
      </c>
      <c r="F137" s="12" t="str">
        <f t="shared" si="4"/>
        <v>Kardiovize_1730</v>
      </c>
      <c r="G137" s="12" t="s">
        <v>28</v>
      </c>
      <c r="H137" s="1">
        <f t="shared" si="5"/>
        <v>1</v>
      </c>
      <c r="I137" s="1" t="s">
        <v>391</v>
      </c>
      <c r="J137" s="1">
        <v>62.93</v>
      </c>
      <c r="K137" s="7">
        <v>25</v>
      </c>
      <c r="L137" s="7">
        <v>3</v>
      </c>
      <c r="M137" s="7">
        <v>13</v>
      </c>
      <c r="N137" s="8">
        <v>-1.3032999999999999</v>
      </c>
      <c r="O137" s="7">
        <v>-2.1700900000000001</v>
      </c>
      <c r="P137" s="7">
        <v>-1.5</v>
      </c>
      <c r="Q137" s="7">
        <v>-0.61111000000000004</v>
      </c>
      <c r="R137" s="7">
        <v>12</v>
      </c>
    </row>
    <row r="138" spans="1:18" ht="15.75" customHeight="1" x14ac:dyDescent="0.25">
      <c r="A138" s="1" t="s">
        <v>88</v>
      </c>
      <c r="B138" s="1" t="s">
        <v>89</v>
      </c>
      <c r="C138" s="1" t="s">
        <v>563</v>
      </c>
      <c r="D138" s="1">
        <v>174</v>
      </c>
      <c r="E138" s="1">
        <v>174</v>
      </c>
      <c r="F138" s="12" t="str">
        <f t="shared" si="4"/>
        <v>Kardiovize_174</v>
      </c>
      <c r="G138" s="12" t="s">
        <v>28</v>
      </c>
      <c r="H138" s="1">
        <f t="shared" si="5"/>
        <v>1</v>
      </c>
      <c r="I138" s="1" t="s">
        <v>233</v>
      </c>
      <c r="J138">
        <f>median!B$3</f>
        <v>74.165639970000001</v>
      </c>
      <c r="K138">
        <f>median!C$3</f>
        <v>23</v>
      </c>
      <c r="L138" s="7">
        <v>3</v>
      </c>
      <c r="M138" s="7">
        <v>13</v>
      </c>
      <c r="N138" s="8">
        <v>1.5333330000000001</v>
      </c>
      <c r="O138" s="7">
        <v>0.24</v>
      </c>
      <c r="P138" s="7">
        <v>0.70799999999999996</v>
      </c>
      <c r="Q138" s="7">
        <v>1.2216670000000001</v>
      </c>
      <c r="R138" s="7">
        <v>0</v>
      </c>
    </row>
    <row r="139" spans="1:18" ht="15.75" customHeight="1" x14ac:dyDescent="0.25">
      <c r="A139" s="1" t="s">
        <v>88</v>
      </c>
      <c r="B139" s="1" t="s">
        <v>89</v>
      </c>
      <c r="C139" s="1" t="s">
        <v>103</v>
      </c>
      <c r="D139" s="1">
        <v>1743</v>
      </c>
      <c r="E139" s="1">
        <v>1743</v>
      </c>
      <c r="F139" s="12" t="str">
        <f t="shared" si="4"/>
        <v>Kardiovize_1743</v>
      </c>
      <c r="G139" s="12" t="s">
        <v>28</v>
      </c>
      <c r="H139" s="1">
        <f t="shared" si="5"/>
        <v>1</v>
      </c>
      <c r="I139" s="1" t="s">
        <v>21</v>
      </c>
      <c r="J139" s="1">
        <v>72.64</v>
      </c>
      <c r="K139" s="7">
        <v>24</v>
      </c>
      <c r="L139" s="7">
        <v>2</v>
      </c>
      <c r="M139" s="7">
        <v>12</v>
      </c>
      <c r="N139" s="8">
        <v>-0.72936000000000001</v>
      </c>
      <c r="O139" s="7">
        <v>0.58284199999999997</v>
      </c>
      <c r="P139" s="7">
        <v>0</v>
      </c>
      <c r="Q139" s="7">
        <v>-0.27778000000000003</v>
      </c>
      <c r="R139" s="7">
        <v>11</v>
      </c>
    </row>
    <row r="140" spans="1:18" ht="15.75" customHeight="1" x14ac:dyDescent="0.25">
      <c r="A140" s="1" t="s">
        <v>88</v>
      </c>
      <c r="B140" s="1" t="s">
        <v>89</v>
      </c>
      <c r="C140" s="1" t="s">
        <v>564</v>
      </c>
      <c r="D140" s="1">
        <v>1751</v>
      </c>
      <c r="E140" s="1">
        <v>1751</v>
      </c>
      <c r="F140" s="12" t="str">
        <f t="shared" si="4"/>
        <v>Kardiovize_1751</v>
      </c>
      <c r="G140" s="12" t="s">
        <v>28</v>
      </c>
      <c r="H140" s="1">
        <f t="shared" si="5"/>
        <v>1</v>
      </c>
      <c r="I140" s="1" t="s">
        <v>391</v>
      </c>
      <c r="J140" s="1">
        <v>68.739999999999995</v>
      </c>
      <c r="K140" s="7">
        <v>29</v>
      </c>
      <c r="L140" s="7">
        <v>4</v>
      </c>
      <c r="M140" s="7">
        <v>18</v>
      </c>
      <c r="N140" s="8">
        <v>0.50333300000000003</v>
      </c>
      <c r="O140" s="7">
        <v>-0.28999999999999998</v>
      </c>
      <c r="P140" s="7">
        <v>0.08</v>
      </c>
      <c r="Q140" s="7">
        <v>-0.21167</v>
      </c>
      <c r="R140" s="7">
        <v>2</v>
      </c>
    </row>
    <row r="141" spans="1:18" ht="15.75" customHeight="1" x14ac:dyDescent="0.25">
      <c r="A141" s="1" t="s">
        <v>88</v>
      </c>
      <c r="B141" s="1" t="s">
        <v>89</v>
      </c>
      <c r="C141" s="1" t="s">
        <v>654</v>
      </c>
      <c r="D141" s="1">
        <v>1794</v>
      </c>
      <c r="E141" s="1">
        <v>1794</v>
      </c>
      <c r="F141" s="12" t="str">
        <f t="shared" si="4"/>
        <v>Kardiovize_1794</v>
      </c>
      <c r="G141" s="12" t="s">
        <v>28</v>
      </c>
      <c r="H141" s="1">
        <f t="shared" si="5"/>
        <v>1</v>
      </c>
      <c r="I141" s="1" t="s">
        <v>21</v>
      </c>
      <c r="J141" s="1">
        <v>74.5</v>
      </c>
      <c r="K141">
        <f>median!C$3</f>
        <v>23</v>
      </c>
      <c r="L141">
        <f>median!D$3</f>
        <v>4</v>
      </c>
      <c r="M141" s="7">
        <v>12</v>
      </c>
      <c r="N141" s="8">
        <v>0.21</v>
      </c>
      <c r="O141" s="7">
        <v>-1.19</v>
      </c>
      <c r="P141" s="7">
        <v>-0.434</v>
      </c>
      <c r="Q141" s="7">
        <v>-0.38333</v>
      </c>
      <c r="R141" s="7">
        <v>3</v>
      </c>
    </row>
    <row r="142" spans="1:18" ht="15.75" customHeight="1" x14ac:dyDescent="0.25">
      <c r="A142" s="1" t="s">
        <v>88</v>
      </c>
      <c r="B142" s="1" t="s">
        <v>89</v>
      </c>
      <c r="C142" s="1" t="s">
        <v>565</v>
      </c>
      <c r="D142" s="1">
        <v>1797</v>
      </c>
      <c r="E142" s="1">
        <v>1797</v>
      </c>
      <c r="F142" s="12" t="str">
        <f t="shared" si="4"/>
        <v>Kardiovize_1797</v>
      </c>
      <c r="G142" s="12" t="s">
        <v>20</v>
      </c>
      <c r="H142" s="1">
        <f t="shared" si="5"/>
        <v>0</v>
      </c>
      <c r="I142" s="1" t="s">
        <v>233</v>
      </c>
      <c r="J142" s="1">
        <v>64.599999999999994</v>
      </c>
      <c r="K142" s="7">
        <v>26</v>
      </c>
      <c r="L142" s="7">
        <v>4</v>
      </c>
      <c r="M142" s="7">
        <v>18</v>
      </c>
      <c r="N142" s="8">
        <v>0.80333299999999996</v>
      </c>
      <c r="O142" s="7">
        <v>0.125</v>
      </c>
      <c r="P142" s="7">
        <v>-0.39400000000000002</v>
      </c>
      <c r="Q142" s="7">
        <v>0.79500000000000004</v>
      </c>
      <c r="R142" s="7">
        <v>7</v>
      </c>
    </row>
    <row r="143" spans="1:18" ht="15.75" customHeight="1" x14ac:dyDescent="0.25">
      <c r="A143" s="1" t="s">
        <v>88</v>
      </c>
      <c r="B143" s="1" t="s">
        <v>89</v>
      </c>
      <c r="C143" s="1" t="s">
        <v>566</v>
      </c>
      <c r="D143" s="1">
        <v>1802</v>
      </c>
      <c r="E143" s="1">
        <v>1802</v>
      </c>
      <c r="F143" s="12" t="str">
        <f t="shared" si="4"/>
        <v>Kardiovize_1802</v>
      </c>
      <c r="G143" s="12" t="s">
        <v>20</v>
      </c>
      <c r="H143" s="1">
        <f t="shared" si="5"/>
        <v>0</v>
      </c>
      <c r="I143" s="1" t="s">
        <v>233</v>
      </c>
      <c r="J143" s="1">
        <v>68.099999999999994</v>
      </c>
      <c r="K143" s="7">
        <v>25</v>
      </c>
      <c r="L143" s="7">
        <v>3</v>
      </c>
      <c r="M143" s="7">
        <v>13</v>
      </c>
      <c r="N143" s="8">
        <v>0.75595599999999996</v>
      </c>
      <c r="O143" s="7">
        <v>-0.25335000000000002</v>
      </c>
      <c r="P143" s="7">
        <v>0.33333299999999999</v>
      </c>
      <c r="Q143" s="7">
        <v>0.11</v>
      </c>
      <c r="R143" s="7">
        <v>0</v>
      </c>
    </row>
    <row r="144" spans="1:18" ht="15.75" customHeight="1" x14ac:dyDescent="0.25">
      <c r="A144" s="1" t="s">
        <v>88</v>
      </c>
      <c r="B144" s="1" t="s">
        <v>89</v>
      </c>
      <c r="C144" s="1" t="s">
        <v>567</v>
      </c>
      <c r="D144" s="1">
        <v>1828</v>
      </c>
      <c r="E144" s="1">
        <v>1828</v>
      </c>
      <c r="F144" s="12" t="str">
        <f t="shared" si="4"/>
        <v>Kardiovize_1828</v>
      </c>
      <c r="G144" s="12" t="s">
        <v>28</v>
      </c>
      <c r="H144" s="1">
        <f t="shared" si="5"/>
        <v>1</v>
      </c>
      <c r="I144" s="1" t="s">
        <v>233</v>
      </c>
      <c r="J144" s="1">
        <v>70.37</v>
      </c>
      <c r="K144" s="7">
        <v>24</v>
      </c>
      <c r="L144" s="7">
        <v>3</v>
      </c>
      <c r="M144" s="7">
        <v>13</v>
      </c>
      <c r="N144" s="8">
        <v>0.81166700000000003</v>
      </c>
      <c r="O144" s="10">
        <v>7.4999999999999997E-2</v>
      </c>
      <c r="P144" s="7">
        <v>0.63800000000000001</v>
      </c>
      <c r="Q144" s="7">
        <v>0.92833299999999996</v>
      </c>
      <c r="R144" s="7">
        <v>2</v>
      </c>
    </row>
    <row r="145" spans="1:18" ht="15.75" customHeight="1" x14ac:dyDescent="0.25">
      <c r="A145" s="1" t="s">
        <v>88</v>
      </c>
      <c r="B145" s="1" t="s">
        <v>89</v>
      </c>
      <c r="C145" s="1" t="s">
        <v>568</v>
      </c>
      <c r="D145" s="1">
        <v>1843</v>
      </c>
      <c r="E145" s="1">
        <v>1843</v>
      </c>
      <c r="F145" s="12" t="str">
        <f t="shared" si="4"/>
        <v>Kardiovize_1843</v>
      </c>
      <c r="G145" s="12" t="s">
        <v>28</v>
      </c>
      <c r="H145" s="1">
        <f t="shared" si="5"/>
        <v>1</v>
      </c>
      <c r="I145" s="1" t="s">
        <v>233</v>
      </c>
      <c r="J145" s="1">
        <v>65.930000000000007</v>
      </c>
      <c r="K145" s="7">
        <v>23</v>
      </c>
      <c r="L145" s="7">
        <v>3</v>
      </c>
      <c r="M145" s="7">
        <v>14</v>
      </c>
      <c r="N145" s="8">
        <v>0.43833299999999997</v>
      </c>
      <c r="O145" s="7">
        <v>-0.375</v>
      </c>
      <c r="P145" s="7">
        <v>0.8</v>
      </c>
      <c r="Q145" s="7">
        <v>0.44500000000000001</v>
      </c>
      <c r="R145" s="7">
        <v>3</v>
      </c>
    </row>
    <row r="146" spans="1:18" ht="15.75" customHeight="1" x14ac:dyDescent="0.25">
      <c r="A146" s="1" t="s">
        <v>88</v>
      </c>
      <c r="B146" s="1" t="s">
        <v>89</v>
      </c>
      <c r="C146" s="1" t="s">
        <v>569</v>
      </c>
      <c r="D146" s="1">
        <v>1844</v>
      </c>
      <c r="E146" s="1">
        <v>1844</v>
      </c>
      <c r="F146" s="12" t="str">
        <f t="shared" si="4"/>
        <v>Kardiovize_1844</v>
      </c>
      <c r="G146" s="12" t="s">
        <v>28</v>
      </c>
      <c r="H146" s="1">
        <f t="shared" si="5"/>
        <v>1</v>
      </c>
      <c r="I146" s="1" t="s">
        <v>21</v>
      </c>
      <c r="J146" s="1">
        <v>61.96</v>
      </c>
      <c r="K146" s="7">
        <v>28</v>
      </c>
      <c r="L146" s="7">
        <v>4</v>
      </c>
      <c r="M146" s="7">
        <v>15</v>
      </c>
      <c r="N146" s="8">
        <v>0.92648600000000003</v>
      </c>
      <c r="O146" s="7">
        <v>-2.1700900000000001</v>
      </c>
      <c r="P146" s="7">
        <v>0.66666700000000001</v>
      </c>
      <c r="Q146" s="7">
        <v>0.11</v>
      </c>
      <c r="R146" s="7">
        <v>2</v>
      </c>
    </row>
    <row r="147" spans="1:18" ht="15.75" customHeight="1" x14ac:dyDescent="0.25">
      <c r="A147" s="1" t="s">
        <v>88</v>
      </c>
      <c r="B147" s="1" t="s">
        <v>89</v>
      </c>
      <c r="C147" s="1" t="s">
        <v>570</v>
      </c>
      <c r="D147" s="1">
        <v>185</v>
      </c>
      <c r="E147" s="1">
        <v>185</v>
      </c>
      <c r="F147" s="12" t="str">
        <f t="shared" si="4"/>
        <v>Kardiovize_185</v>
      </c>
      <c r="G147" s="12" t="s">
        <v>20</v>
      </c>
      <c r="H147" s="1">
        <f t="shared" si="5"/>
        <v>0</v>
      </c>
      <c r="I147" s="1" t="s">
        <v>233</v>
      </c>
      <c r="J147" s="1">
        <v>74.77</v>
      </c>
      <c r="K147" s="7">
        <v>26</v>
      </c>
      <c r="L147" s="7">
        <v>4</v>
      </c>
      <c r="M147" s="7">
        <v>17</v>
      </c>
      <c r="N147" s="8">
        <v>-0.47872999999999999</v>
      </c>
      <c r="O147" s="7">
        <v>1.080319</v>
      </c>
      <c r="P147" s="7">
        <v>0.5</v>
      </c>
      <c r="Q147" s="7">
        <v>-0.27778000000000003</v>
      </c>
      <c r="R147" s="7">
        <v>2</v>
      </c>
    </row>
    <row r="148" spans="1:18" ht="15.75" customHeight="1" x14ac:dyDescent="0.25">
      <c r="A148" s="1" t="s">
        <v>88</v>
      </c>
      <c r="B148" s="1" t="s">
        <v>89</v>
      </c>
      <c r="C148" s="1" t="s">
        <v>571</v>
      </c>
      <c r="D148" s="1">
        <v>1858</v>
      </c>
      <c r="E148" s="1">
        <v>1858</v>
      </c>
      <c r="F148" s="12" t="str">
        <f t="shared" si="4"/>
        <v>Kardiovize_1858</v>
      </c>
      <c r="G148" s="12" t="s">
        <v>20</v>
      </c>
      <c r="H148" s="1">
        <f t="shared" si="5"/>
        <v>0</v>
      </c>
      <c r="I148" s="1" t="s">
        <v>391</v>
      </c>
      <c r="J148">
        <f>median!B$3</f>
        <v>74.165639970000001</v>
      </c>
      <c r="K148" s="7">
        <v>26</v>
      </c>
      <c r="L148" s="7">
        <v>2</v>
      </c>
      <c r="M148" s="7">
        <v>12</v>
      </c>
      <c r="N148" s="8">
        <v>-7.8329999999999997E-2</v>
      </c>
      <c r="O148" s="7">
        <v>0.375</v>
      </c>
      <c r="P148" s="7">
        <v>-0.26</v>
      </c>
      <c r="Q148" s="7">
        <v>-3.3329999999999999E-2</v>
      </c>
      <c r="R148" s="7">
        <v>5</v>
      </c>
    </row>
    <row r="149" spans="1:18" ht="15.75" customHeight="1" x14ac:dyDescent="0.25">
      <c r="A149" s="1" t="s">
        <v>88</v>
      </c>
      <c r="B149" s="1" t="s">
        <v>89</v>
      </c>
      <c r="C149" s="1" t="s">
        <v>572</v>
      </c>
      <c r="D149" s="1">
        <v>1872</v>
      </c>
      <c r="E149" s="1">
        <v>1872</v>
      </c>
      <c r="F149" s="12" t="str">
        <f t="shared" si="4"/>
        <v>Kardiovize_1872</v>
      </c>
      <c r="G149" s="12" t="s">
        <v>28</v>
      </c>
      <c r="H149" s="1">
        <f t="shared" si="5"/>
        <v>1</v>
      </c>
      <c r="I149" s="1" t="s">
        <v>391</v>
      </c>
      <c r="J149" s="1">
        <v>70.209999999999994</v>
      </c>
      <c r="K149" s="7">
        <v>25</v>
      </c>
      <c r="L149" s="7">
        <v>3</v>
      </c>
      <c r="M149" s="7">
        <v>13</v>
      </c>
      <c r="N149" s="8">
        <v>0.61</v>
      </c>
      <c r="O149" s="7">
        <v>-0.875</v>
      </c>
      <c r="P149" s="7">
        <v>1.026</v>
      </c>
      <c r="Q149" s="7">
        <v>0.55000000000000004</v>
      </c>
      <c r="R149" s="7">
        <v>2</v>
      </c>
    </row>
    <row r="150" spans="1:18" ht="15.75" customHeight="1" x14ac:dyDescent="0.25">
      <c r="A150" s="1" t="s">
        <v>88</v>
      </c>
      <c r="B150" s="1" t="s">
        <v>89</v>
      </c>
      <c r="C150" s="1" t="s">
        <v>573</v>
      </c>
      <c r="D150" s="1">
        <v>1873</v>
      </c>
      <c r="E150" s="1">
        <v>1873</v>
      </c>
      <c r="F150" s="12" t="str">
        <f t="shared" si="4"/>
        <v>Kardiovize_1873</v>
      </c>
      <c r="G150" s="12" t="s">
        <v>20</v>
      </c>
      <c r="H150" s="1">
        <f t="shared" si="5"/>
        <v>0</v>
      </c>
      <c r="I150" s="1" t="s">
        <v>233</v>
      </c>
      <c r="J150" s="1">
        <v>64.930000000000007</v>
      </c>
      <c r="K150" s="7">
        <v>24</v>
      </c>
      <c r="L150" s="7">
        <v>3</v>
      </c>
      <c r="M150" s="7">
        <v>13</v>
      </c>
      <c r="N150" s="8">
        <v>0.70666700000000005</v>
      </c>
      <c r="O150" s="7">
        <v>0.28999999999999998</v>
      </c>
      <c r="P150" s="7">
        <v>0.14799999999999999</v>
      </c>
      <c r="Q150" s="7">
        <v>0.15</v>
      </c>
      <c r="R150" s="7">
        <v>10</v>
      </c>
    </row>
    <row r="151" spans="1:18" ht="15.75" customHeight="1" x14ac:dyDescent="0.25">
      <c r="A151" s="1" t="s">
        <v>88</v>
      </c>
      <c r="B151" s="1" t="s">
        <v>89</v>
      </c>
      <c r="C151" s="1" t="s">
        <v>574</v>
      </c>
      <c r="D151" s="1">
        <v>1874</v>
      </c>
      <c r="E151" s="1">
        <v>1874</v>
      </c>
      <c r="F151" s="12" t="str">
        <f t="shared" si="4"/>
        <v>Kardiovize_1874</v>
      </c>
      <c r="G151" s="12" t="s">
        <v>28</v>
      </c>
      <c r="H151" s="1">
        <f t="shared" si="5"/>
        <v>1</v>
      </c>
      <c r="I151" s="1" t="s">
        <v>233</v>
      </c>
      <c r="J151" s="1">
        <v>65.25</v>
      </c>
      <c r="K151" s="7">
        <v>29</v>
      </c>
      <c r="L151" s="7">
        <v>2</v>
      </c>
      <c r="M151" s="7">
        <v>15</v>
      </c>
      <c r="N151" s="8">
        <v>0.54833299999999996</v>
      </c>
      <c r="O151" s="7">
        <v>0.79</v>
      </c>
      <c r="P151" s="7">
        <v>0.46600000000000003</v>
      </c>
      <c r="Q151" s="7">
        <v>-0.27833000000000002</v>
      </c>
      <c r="R151" s="7">
        <v>0</v>
      </c>
    </row>
    <row r="152" spans="1:18" ht="15.75" customHeight="1" x14ac:dyDescent="0.25">
      <c r="A152" s="1" t="s">
        <v>88</v>
      </c>
      <c r="B152" s="1" t="s">
        <v>89</v>
      </c>
      <c r="C152" s="1" t="s">
        <v>378</v>
      </c>
      <c r="D152" s="1">
        <v>188</v>
      </c>
      <c r="E152" s="1">
        <v>188</v>
      </c>
      <c r="F152" s="12" t="str">
        <f t="shared" si="4"/>
        <v>Kardiovize_188</v>
      </c>
      <c r="G152" s="12" t="s">
        <v>28</v>
      </c>
      <c r="H152" s="1">
        <f t="shared" si="5"/>
        <v>1</v>
      </c>
      <c r="I152" s="1" t="s">
        <v>233</v>
      </c>
      <c r="J152" s="1">
        <v>62.24</v>
      </c>
      <c r="K152" s="7">
        <v>28</v>
      </c>
      <c r="L152" s="7">
        <v>3</v>
      </c>
      <c r="M152" s="7">
        <v>13</v>
      </c>
      <c r="N152" s="8">
        <v>1.0387219999999999</v>
      </c>
      <c r="O152" s="7">
        <v>0.58284199999999997</v>
      </c>
      <c r="P152" s="7">
        <v>1.1666669999999999</v>
      </c>
      <c r="Q152" s="7">
        <v>0.27777800000000002</v>
      </c>
      <c r="R152" s="7">
        <v>4</v>
      </c>
    </row>
    <row r="153" spans="1:18" ht="15.75" customHeight="1" x14ac:dyDescent="0.25">
      <c r="A153" s="1" t="s">
        <v>88</v>
      </c>
      <c r="B153" s="1" t="s">
        <v>89</v>
      </c>
      <c r="C153" s="1" t="s">
        <v>575</v>
      </c>
      <c r="D153" s="1">
        <v>1889</v>
      </c>
      <c r="E153" s="1">
        <v>1889</v>
      </c>
      <c r="F153" s="12" t="str">
        <f t="shared" si="4"/>
        <v>Kardiovize_1889</v>
      </c>
      <c r="G153" s="12" t="s">
        <v>28</v>
      </c>
      <c r="H153" s="1">
        <f t="shared" si="5"/>
        <v>1</v>
      </c>
      <c r="I153" s="1" t="s">
        <v>391</v>
      </c>
      <c r="J153" s="1">
        <v>67.59</v>
      </c>
      <c r="K153">
        <f>median!C$3</f>
        <v>23</v>
      </c>
      <c r="L153" s="7">
        <v>4</v>
      </c>
      <c r="M153" s="7">
        <v>18</v>
      </c>
      <c r="N153" s="8">
        <v>-0.33333000000000002</v>
      </c>
      <c r="O153" s="7">
        <v>-0.17</v>
      </c>
      <c r="P153" s="7">
        <v>-0.45800000000000002</v>
      </c>
      <c r="Q153" s="7">
        <v>-0.11</v>
      </c>
      <c r="R153" s="7">
        <v>0</v>
      </c>
    </row>
    <row r="154" spans="1:18" ht="15.75" customHeight="1" x14ac:dyDescent="0.25">
      <c r="A154" s="1" t="s">
        <v>88</v>
      </c>
      <c r="B154" s="1" t="s">
        <v>89</v>
      </c>
      <c r="C154" s="1" t="s">
        <v>655</v>
      </c>
      <c r="D154" s="1">
        <v>1903</v>
      </c>
      <c r="E154" s="1">
        <v>1903</v>
      </c>
      <c r="F154" s="12" t="str">
        <f t="shared" si="4"/>
        <v>Kardiovize_1903</v>
      </c>
      <c r="G154" s="12" t="s">
        <v>20</v>
      </c>
      <c r="H154" s="1">
        <f t="shared" si="5"/>
        <v>0</v>
      </c>
      <c r="I154" s="1" t="s">
        <v>233</v>
      </c>
      <c r="J154" s="1">
        <v>74.709999999999994</v>
      </c>
      <c r="K154">
        <f>median!C$3</f>
        <v>23</v>
      </c>
      <c r="L154" s="7">
        <v>4</v>
      </c>
      <c r="M154" s="7">
        <v>22</v>
      </c>
      <c r="N154" s="8">
        <v>0.24333299999999999</v>
      </c>
      <c r="O154" s="7">
        <v>0.79</v>
      </c>
      <c r="P154" s="7">
        <v>0.752</v>
      </c>
      <c r="Q154" s="7">
        <v>0.84</v>
      </c>
      <c r="R154" s="7">
        <v>5</v>
      </c>
    </row>
    <row r="155" spans="1:18" ht="15.75" customHeight="1" x14ac:dyDescent="0.25">
      <c r="A155" s="1" t="s">
        <v>88</v>
      </c>
      <c r="B155" s="1" t="s">
        <v>89</v>
      </c>
      <c r="C155" s="1" t="s">
        <v>576</v>
      </c>
      <c r="D155" s="1">
        <v>1936</v>
      </c>
      <c r="E155" s="1">
        <v>1936</v>
      </c>
      <c r="F155" s="12" t="str">
        <f t="shared" si="4"/>
        <v>Kardiovize_1936</v>
      </c>
      <c r="G155" s="12" t="s">
        <v>28</v>
      </c>
      <c r="H155" s="1">
        <f t="shared" si="5"/>
        <v>1</v>
      </c>
      <c r="I155" s="1" t="s">
        <v>233</v>
      </c>
      <c r="J155" s="1">
        <v>70.12</v>
      </c>
      <c r="K155" s="7">
        <v>27</v>
      </c>
      <c r="L155" s="7">
        <v>4</v>
      </c>
      <c r="M155" s="7">
        <v>26</v>
      </c>
      <c r="N155" s="8">
        <v>1.4266669999999999</v>
      </c>
      <c r="O155" s="7">
        <v>-0.22</v>
      </c>
      <c r="P155" s="7">
        <v>0.38800000000000001</v>
      </c>
      <c r="Q155" s="7">
        <v>8.1667000000000003E-2</v>
      </c>
      <c r="R155" s="7">
        <v>3</v>
      </c>
    </row>
    <row r="156" spans="1:18" ht="15.75" customHeight="1" x14ac:dyDescent="0.25">
      <c r="A156" s="1" t="s">
        <v>88</v>
      </c>
      <c r="B156" s="1" t="s">
        <v>89</v>
      </c>
      <c r="C156" s="1" t="s">
        <v>577</v>
      </c>
      <c r="D156" s="1">
        <v>1937</v>
      </c>
      <c r="E156" s="1">
        <v>1937</v>
      </c>
      <c r="F156" s="12" t="str">
        <f t="shared" si="4"/>
        <v>Kardiovize_1937</v>
      </c>
      <c r="G156" s="12" t="s">
        <v>28</v>
      </c>
      <c r="H156" s="1">
        <f t="shared" si="5"/>
        <v>1</v>
      </c>
      <c r="I156" s="1" t="s">
        <v>233</v>
      </c>
      <c r="J156" s="1">
        <v>69.739999999999995</v>
      </c>
      <c r="K156" s="7">
        <v>26</v>
      </c>
      <c r="L156" s="7">
        <v>3</v>
      </c>
      <c r="M156" s="7">
        <v>13</v>
      </c>
      <c r="N156" s="8">
        <v>1.1779999999999999</v>
      </c>
      <c r="O156" s="7">
        <v>-0.55300000000000005</v>
      </c>
      <c r="P156" s="7">
        <v>0.25</v>
      </c>
      <c r="Q156" s="7">
        <v>-0.56699999999999995</v>
      </c>
      <c r="R156">
        <f>median!J$3</f>
        <v>0</v>
      </c>
    </row>
    <row r="157" spans="1:18" ht="15.75" customHeight="1" x14ac:dyDescent="0.25">
      <c r="A157" s="1" t="s">
        <v>88</v>
      </c>
      <c r="B157" s="1" t="s">
        <v>89</v>
      </c>
      <c r="C157" s="1" t="s">
        <v>578</v>
      </c>
      <c r="D157" s="1">
        <v>1943</v>
      </c>
      <c r="E157" s="1">
        <v>1943</v>
      </c>
      <c r="F157" s="12" t="str">
        <f t="shared" si="4"/>
        <v>Kardiovize_1943</v>
      </c>
      <c r="G157" s="12" t="s">
        <v>28</v>
      </c>
      <c r="H157" s="1">
        <f t="shared" si="5"/>
        <v>1</v>
      </c>
      <c r="I157" s="1" t="s">
        <v>21</v>
      </c>
      <c r="J157" s="1">
        <v>67.89</v>
      </c>
      <c r="K157">
        <f>median!C$3</f>
        <v>23</v>
      </c>
      <c r="L157" s="7">
        <v>4</v>
      </c>
      <c r="M157" s="7">
        <v>18</v>
      </c>
      <c r="N157" s="8">
        <v>0.48333300000000001</v>
      </c>
      <c r="O157" s="7">
        <v>-0.28999999999999998</v>
      </c>
      <c r="P157" s="7">
        <v>-0.40799999999999997</v>
      </c>
      <c r="Q157" s="7">
        <v>0.151667</v>
      </c>
      <c r="R157" s="7">
        <v>0</v>
      </c>
    </row>
    <row r="158" spans="1:18" ht="15.75" customHeight="1" x14ac:dyDescent="0.25">
      <c r="A158" s="1" t="s">
        <v>88</v>
      </c>
      <c r="B158" s="1" t="s">
        <v>89</v>
      </c>
      <c r="C158" s="1" t="s">
        <v>104</v>
      </c>
      <c r="D158" s="1">
        <v>1957</v>
      </c>
      <c r="E158" s="1">
        <v>1957</v>
      </c>
      <c r="F158" s="12" t="str">
        <f t="shared" si="4"/>
        <v>Kardiovize_1957</v>
      </c>
      <c r="G158" s="12" t="s">
        <v>28</v>
      </c>
      <c r="H158" s="1">
        <f t="shared" si="5"/>
        <v>1</v>
      </c>
      <c r="I158" s="1" t="s">
        <v>21</v>
      </c>
      <c r="J158" s="1">
        <v>61.3</v>
      </c>
      <c r="K158" s="7">
        <v>27</v>
      </c>
      <c r="L158" s="7">
        <v>3</v>
      </c>
      <c r="M158" s="7">
        <v>13</v>
      </c>
      <c r="N158" s="8">
        <v>0.20537</v>
      </c>
      <c r="O158" s="7">
        <v>-0.25335000000000002</v>
      </c>
      <c r="P158" s="7">
        <v>0.33333299999999999</v>
      </c>
      <c r="Q158" s="7">
        <v>-0.94443999999999995</v>
      </c>
      <c r="R158" s="7">
        <v>0</v>
      </c>
    </row>
    <row r="159" spans="1:18" ht="15.75" customHeight="1" x14ac:dyDescent="0.25">
      <c r="A159" s="1" t="s">
        <v>88</v>
      </c>
      <c r="B159" s="1" t="s">
        <v>89</v>
      </c>
      <c r="C159" s="1" t="s">
        <v>579</v>
      </c>
      <c r="D159" s="1">
        <v>1981</v>
      </c>
      <c r="E159" s="1">
        <v>1981</v>
      </c>
      <c r="F159" s="12" t="str">
        <f t="shared" si="4"/>
        <v>Kardiovize_1981</v>
      </c>
      <c r="G159" s="12" t="s">
        <v>20</v>
      </c>
      <c r="H159" s="1">
        <f t="shared" si="5"/>
        <v>0</v>
      </c>
      <c r="I159" s="1" t="s">
        <v>21</v>
      </c>
      <c r="J159" s="1">
        <v>65.48</v>
      </c>
      <c r="K159" s="7">
        <v>26</v>
      </c>
      <c r="L159" s="7">
        <v>2</v>
      </c>
      <c r="M159" s="7">
        <v>12</v>
      </c>
      <c r="N159" s="8">
        <v>0.26500000000000001</v>
      </c>
      <c r="O159" s="7">
        <v>0.70499999999999996</v>
      </c>
      <c r="P159" s="7">
        <v>-0.35199999999999998</v>
      </c>
      <c r="Q159" s="7">
        <v>0.06</v>
      </c>
      <c r="R159" s="7">
        <v>9</v>
      </c>
    </row>
    <row r="160" spans="1:18" ht="15.75" customHeight="1" x14ac:dyDescent="0.25">
      <c r="A160" s="1" t="s">
        <v>88</v>
      </c>
      <c r="B160" s="1" t="s">
        <v>89</v>
      </c>
      <c r="C160" s="1" t="s">
        <v>580</v>
      </c>
      <c r="D160" s="1">
        <v>2027</v>
      </c>
      <c r="E160" s="1">
        <v>2027</v>
      </c>
      <c r="F160" s="12" t="str">
        <f t="shared" si="4"/>
        <v>Kardiovize_2027</v>
      </c>
      <c r="G160" s="12" t="s">
        <v>20</v>
      </c>
      <c r="H160" s="1">
        <f t="shared" si="5"/>
        <v>0</v>
      </c>
      <c r="I160" s="1" t="s">
        <v>391</v>
      </c>
      <c r="J160" s="1">
        <v>63.32</v>
      </c>
      <c r="K160" s="7">
        <v>23</v>
      </c>
      <c r="L160" s="7">
        <v>4</v>
      </c>
      <c r="M160" s="7">
        <v>18</v>
      </c>
      <c r="N160" s="8">
        <v>2.1666999999999999E-2</v>
      </c>
      <c r="O160" s="7">
        <v>7.4999999999999997E-2</v>
      </c>
      <c r="P160" s="7">
        <v>-0.88</v>
      </c>
      <c r="Q160" s="7">
        <v>-0.32667000000000002</v>
      </c>
      <c r="R160" s="7">
        <v>5</v>
      </c>
    </row>
    <row r="161" spans="1:18" ht="15.75" customHeight="1" x14ac:dyDescent="0.25">
      <c r="A161" s="1" t="s">
        <v>88</v>
      </c>
      <c r="B161" s="1" t="s">
        <v>89</v>
      </c>
      <c r="C161" s="1" t="s">
        <v>581</v>
      </c>
      <c r="D161" s="1">
        <v>2096</v>
      </c>
      <c r="E161" s="1">
        <v>2096</v>
      </c>
      <c r="F161" s="12" t="str">
        <f t="shared" si="4"/>
        <v>Kardiovize_2096</v>
      </c>
      <c r="G161" s="12" t="s">
        <v>20</v>
      </c>
      <c r="H161" s="1">
        <f t="shared" si="5"/>
        <v>0</v>
      </c>
      <c r="I161" s="1" t="s">
        <v>233</v>
      </c>
      <c r="J161">
        <f>median!B$3</f>
        <v>74.165639970000001</v>
      </c>
      <c r="K161">
        <f>median!C$3</f>
        <v>23</v>
      </c>
      <c r="L161" s="7">
        <v>4</v>
      </c>
      <c r="M161" s="7">
        <v>17</v>
      </c>
      <c r="N161" s="8">
        <v>0.77833300000000005</v>
      </c>
      <c r="O161" s="7">
        <v>1.04</v>
      </c>
      <c r="P161" s="7">
        <v>0.38800000000000001</v>
      </c>
      <c r="Q161" s="7">
        <v>4.8333000000000001E-2</v>
      </c>
      <c r="R161" s="7">
        <v>4</v>
      </c>
    </row>
    <row r="162" spans="1:18" ht="15.75" customHeight="1" x14ac:dyDescent="0.25">
      <c r="A162" s="1" t="s">
        <v>88</v>
      </c>
      <c r="B162" s="1" t="s">
        <v>89</v>
      </c>
      <c r="C162" s="1" t="s">
        <v>582</v>
      </c>
      <c r="D162" s="1">
        <v>2109</v>
      </c>
      <c r="E162" s="1">
        <v>2109</v>
      </c>
      <c r="F162" s="12" t="str">
        <f t="shared" si="4"/>
        <v>Kardiovize_2109</v>
      </c>
      <c r="G162" s="12" t="s">
        <v>28</v>
      </c>
      <c r="H162" s="1">
        <f t="shared" si="5"/>
        <v>1</v>
      </c>
      <c r="I162" s="1" t="s">
        <v>233</v>
      </c>
      <c r="J162" s="1">
        <v>73.540000000000006</v>
      </c>
      <c r="K162">
        <f>median!C$3</f>
        <v>23</v>
      </c>
      <c r="L162" s="7">
        <v>3</v>
      </c>
      <c r="M162" s="7">
        <v>13</v>
      </c>
      <c r="N162" s="8">
        <v>0.67</v>
      </c>
      <c r="O162" s="7">
        <v>0.04</v>
      </c>
      <c r="P162" s="7">
        <v>0.55400000000000005</v>
      </c>
      <c r="Q162" s="7">
        <v>8.3049999999999997</v>
      </c>
      <c r="R162" s="7">
        <v>9</v>
      </c>
    </row>
    <row r="163" spans="1:18" ht="15.75" customHeight="1" x14ac:dyDescent="0.25">
      <c r="A163" s="1" t="s">
        <v>88</v>
      </c>
      <c r="B163" s="1" t="s">
        <v>89</v>
      </c>
      <c r="C163" s="1" t="s">
        <v>379</v>
      </c>
      <c r="D163" s="1">
        <v>211</v>
      </c>
      <c r="E163" s="1">
        <v>211</v>
      </c>
      <c r="F163" s="12" t="str">
        <f t="shared" si="4"/>
        <v>Kardiovize_211</v>
      </c>
      <c r="G163" s="12" t="s">
        <v>20</v>
      </c>
      <c r="H163" s="1">
        <f t="shared" si="5"/>
        <v>0</v>
      </c>
      <c r="I163" s="1" t="s">
        <v>233</v>
      </c>
      <c r="J163" s="1">
        <v>69.47</v>
      </c>
      <c r="K163" s="7">
        <v>26</v>
      </c>
      <c r="L163" s="7">
        <v>3</v>
      </c>
      <c r="M163" s="7">
        <v>13</v>
      </c>
      <c r="N163" s="8">
        <v>1.6780630000000001</v>
      </c>
      <c r="O163" s="7">
        <v>1.080319</v>
      </c>
      <c r="P163" s="7">
        <v>0</v>
      </c>
      <c r="Q163" s="7">
        <v>1.25</v>
      </c>
      <c r="R163" s="7">
        <v>10</v>
      </c>
    </row>
    <row r="164" spans="1:18" ht="15.75" customHeight="1" x14ac:dyDescent="0.25">
      <c r="A164" s="1" t="s">
        <v>88</v>
      </c>
      <c r="B164" s="1" t="s">
        <v>89</v>
      </c>
      <c r="C164" s="1" t="s">
        <v>583</v>
      </c>
      <c r="D164" s="1">
        <v>2129</v>
      </c>
      <c r="E164" s="1">
        <v>2129</v>
      </c>
      <c r="F164" s="12" t="str">
        <f t="shared" si="4"/>
        <v>Kardiovize_2129</v>
      </c>
      <c r="G164" s="12" t="s">
        <v>20</v>
      </c>
      <c r="H164" s="1">
        <f t="shared" si="5"/>
        <v>0</v>
      </c>
      <c r="I164" s="1" t="s">
        <v>391</v>
      </c>
      <c r="J164" s="1">
        <v>68.77</v>
      </c>
      <c r="K164" s="7">
        <v>25</v>
      </c>
      <c r="L164" s="7">
        <v>4</v>
      </c>
      <c r="M164" s="7">
        <v>18</v>
      </c>
      <c r="N164" s="8">
        <v>1.1533329999999999</v>
      </c>
      <c r="O164" s="7">
        <v>0.45500000000000002</v>
      </c>
      <c r="P164" s="7">
        <v>0.56000000000000005</v>
      </c>
      <c r="Q164" s="7">
        <v>-0.23832999999999999</v>
      </c>
      <c r="R164" s="7">
        <v>1</v>
      </c>
    </row>
    <row r="165" spans="1:18" ht="15.75" customHeight="1" x14ac:dyDescent="0.25">
      <c r="A165" s="1" t="s">
        <v>88</v>
      </c>
      <c r="B165" s="1" t="s">
        <v>89</v>
      </c>
      <c r="C165" s="1" t="s">
        <v>584</v>
      </c>
      <c r="D165" s="1">
        <v>2147</v>
      </c>
      <c r="E165" s="1">
        <v>2147</v>
      </c>
      <c r="F165" s="12" t="str">
        <f t="shared" si="4"/>
        <v>Kardiovize_2147</v>
      </c>
      <c r="G165" s="12" t="s">
        <v>28</v>
      </c>
      <c r="H165" s="1">
        <f t="shared" si="5"/>
        <v>1</v>
      </c>
      <c r="I165" s="1" t="s">
        <v>233</v>
      </c>
      <c r="J165" s="1">
        <v>70.2</v>
      </c>
      <c r="K165">
        <f>median!C$3</f>
        <v>23</v>
      </c>
      <c r="L165" s="7">
        <v>3</v>
      </c>
      <c r="M165" s="7">
        <v>13</v>
      </c>
      <c r="N165" s="8">
        <v>1.288333</v>
      </c>
      <c r="O165" s="7">
        <v>-0.72</v>
      </c>
      <c r="P165" s="7">
        <v>0.36599999999999999</v>
      </c>
      <c r="Q165" s="7">
        <v>-0.42832999999999999</v>
      </c>
      <c r="R165" s="7">
        <v>1</v>
      </c>
    </row>
    <row r="166" spans="1:18" ht="15.75" customHeight="1" x14ac:dyDescent="0.25">
      <c r="A166" s="1" t="s">
        <v>88</v>
      </c>
      <c r="B166" s="1" t="s">
        <v>89</v>
      </c>
      <c r="C166" s="1" t="s">
        <v>585</v>
      </c>
      <c r="D166" s="1">
        <v>2161</v>
      </c>
      <c r="E166" s="1">
        <v>2161</v>
      </c>
      <c r="F166" s="12" t="str">
        <f t="shared" si="4"/>
        <v>Kardiovize_2161</v>
      </c>
      <c r="G166" s="12" t="s">
        <v>20</v>
      </c>
      <c r="H166" s="1">
        <f t="shared" si="5"/>
        <v>0</v>
      </c>
      <c r="I166" s="1" t="s">
        <v>233</v>
      </c>
      <c r="J166" s="1">
        <v>63.44</v>
      </c>
      <c r="K166" s="7">
        <v>28</v>
      </c>
      <c r="L166" s="7">
        <v>4</v>
      </c>
      <c r="M166" s="7">
        <v>18</v>
      </c>
      <c r="N166" s="8">
        <v>0.216667</v>
      </c>
      <c r="O166" s="7">
        <v>0.375</v>
      </c>
      <c r="P166" s="7">
        <v>-0.12</v>
      </c>
      <c r="Q166" s="7">
        <v>0.61166699999999996</v>
      </c>
      <c r="R166" s="7">
        <v>0</v>
      </c>
    </row>
    <row r="167" spans="1:18" ht="15.75" customHeight="1" x14ac:dyDescent="0.25">
      <c r="A167" s="1" t="s">
        <v>88</v>
      </c>
      <c r="B167" s="1" t="s">
        <v>89</v>
      </c>
      <c r="C167" s="1" t="s">
        <v>586</v>
      </c>
      <c r="D167" s="1">
        <v>2234</v>
      </c>
      <c r="E167" s="1">
        <v>2234</v>
      </c>
      <c r="F167" s="12" t="str">
        <f t="shared" si="4"/>
        <v>Kardiovize_2234</v>
      </c>
      <c r="G167" s="12" t="s">
        <v>20</v>
      </c>
      <c r="H167" s="1">
        <f t="shared" si="5"/>
        <v>0</v>
      </c>
      <c r="I167" s="1" t="s">
        <v>233</v>
      </c>
      <c r="J167">
        <f>median!B$3</f>
        <v>74.165639970000001</v>
      </c>
      <c r="K167" s="7">
        <v>27</v>
      </c>
      <c r="L167" s="7">
        <v>2</v>
      </c>
      <c r="M167" s="7">
        <v>12</v>
      </c>
      <c r="N167" s="8">
        <v>-7.3330000000000006E-2</v>
      </c>
      <c r="O167" s="7">
        <v>0.375</v>
      </c>
      <c r="P167" s="7">
        <v>-0.36599999999999999</v>
      </c>
      <c r="Q167" s="7">
        <v>-0.745</v>
      </c>
      <c r="R167" s="7">
        <v>7</v>
      </c>
    </row>
    <row r="168" spans="1:18" ht="15.75" customHeight="1" x14ac:dyDescent="0.25">
      <c r="A168" s="1" t="s">
        <v>88</v>
      </c>
      <c r="B168" s="1" t="s">
        <v>89</v>
      </c>
      <c r="C168" s="1" t="s">
        <v>587</v>
      </c>
      <c r="D168" s="1">
        <v>2241</v>
      </c>
      <c r="E168" s="1">
        <v>2241</v>
      </c>
      <c r="F168" s="12" t="str">
        <f t="shared" si="4"/>
        <v>Kardiovize_2241</v>
      </c>
      <c r="G168" s="12" t="s">
        <v>20</v>
      </c>
      <c r="H168" s="1">
        <f t="shared" si="5"/>
        <v>0</v>
      </c>
      <c r="I168" s="1" t="s">
        <v>391</v>
      </c>
      <c r="J168">
        <f>median!B$3</f>
        <v>74.165639970000001</v>
      </c>
      <c r="K168">
        <f>median!C$3</f>
        <v>23</v>
      </c>
      <c r="L168" s="7">
        <v>2</v>
      </c>
      <c r="M168" s="7">
        <v>12</v>
      </c>
      <c r="N168" s="8">
        <v>-0.35666999999999999</v>
      </c>
      <c r="O168" s="7">
        <v>0.625</v>
      </c>
      <c r="P168" s="7">
        <v>0.73399999999999999</v>
      </c>
      <c r="Q168" s="7">
        <v>-0.155</v>
      </c>
      <c r="R168" s="7">
        <v>0</v>
      </c>
    </row>
    <row r="169" spans="1:18" ht="15.75" customHeight="1" x14ac:dyDescent="0.25">
      <c r="A169" s="1" t="s">
        <v>88</v>
      </c>
      <c r="B169" s="1" t="s">
        <v>89</v>
      </c>
      <c r="C169" s="1" t="s">
        <v>588</v>
      </c>
      <c r="D169" s="1">
        <v>2249</v>
      </c>
      <c r="E169" s="1">
        <v>2249</v>
      </c>
      <c r="F169" s="12" t="str">
        <f t="shared" si="4"/>
        <v>Kardiovize_2249</v>
      </c>
      <c r="G169" s="12" t="s">
        <v>20</v>
      </c>
      <c r="H169" s="1">
        <f t="shared" si="5"/>
        <v>0</v>
      </c>
      <c r="I169" s="1" t="s">
        <v>233</v>
      </c>
      <c r="J169" s="1">
        <v>73.709999999999994</v>
      </c>
      <c r="K169" s="7">
        <v>29</v>
      </c>
      <c r="L169" s="7">
        <v>4</v>
      </c>
      <c r="M169" s="7">
        <v>18</v>
      </c>
      <c r="N169" s="8">
        <v>1.92</v>
      </c>
      <c r="O169" s="7">
        <v>1.2050000000000001</v>
      </c>
      <c r="P169" s="7">
        <v>0.36599999999999999</v>
      </c>
      <c r="Q169" s="7">
        <v>1.0433330000000001</v>
      </c>
      <c r="R169" s="7">
        <v>1</v>
      </c>
    </row>
    <row r="170" spans="1:18" ht="15.75" customHeight="1" x14ac:dyDescent="0.25">
      <c r="A170" s="1" t="s">
        <v>88</v>
      </c>
      <c r="B170" s="1" t="s">
        <v>89</v>
      </c>
      <c r="C170" s="1" t="s">
        <v>589</v>
      </c>
      <c r="D170" s="1">
        <v>2263</v>
      </c>
      <c r="E170" s="1">
        <v>2263</v>
      </c>
      <c r="F170" s="12" t="str">
        <f t="shared" si="4"/>
        <v>Kardiovize_2263</v>
      </c>
      <c r="G170" s="12" t="s">
        <v>28</v>
      </c>
      <c r="H170" s="1">
        <f t="shared" si="5"/>
        <v>1</v>
      </c>
      <c r="I170" s="1" t="s">
        <v>391</v>
      </c>
      <c r="J170">
        <f>median!B$3</f>
        <v>74.165639970000001</v>
      </c>
      <c r="K170">
        <f>median!C$3</f>
        <v>23</v>
      </c>
      <c r="L170" s="7">
        <v>2</v>
      </c>
      <c r="M170" s="7">
        <v>11</v>
      </c>
      <c r="N170" s="8">
        <v>0.69833299999999998</v>
      </c>
      <c r="O170" s="7">
        <v>-1.19</v>
      </c>
      <c r="P170" s="7">
        <v>-0.48799999999999999</v>
      </c>
      <c r="Q170" s="7">
        <v>-0.09</v>
      </c>
      <c r="R170" s="7">
        <v>7</v>
      </c>
    </row>
    <row r="171" spans="1:18" ht="15.75" customHeight="1" x14ac:dyDescent="0.25">
      <c r="A171" s="1" t="s">
        <v>88</v>
      </c>
      <c r="B171" s="1" t="s">
        <v>89</v>
      </c>
      <c r="C171" s="1" t="s">
        <v>590</v>
      </c>
      <c r="D171" s="1">
        <v>2293</v>
      </c>
      <c r="E171" s="1">
        <v>2293</v>
      </c>
      <c r="F171" s="12" t="str">
        <f t="shared" si="4"/>
        <v>Kardiovize_2293</v>
      </c>
      <c r="G171" s="12" t="s">
        <v>28</v>
      </c>
      <c r="H171" s="1">
        <f t="shared" si="5"/>
        <v>1</v>
      </c>
      <c r="I171" s="1" t="s">
        <v>233</v>
      </c>
      <c r="J171">
        <f>median!B$3</f>
        <v>74.165639970000001</v>
      </c>
      <c r="K171">
        <f>median!C$3</f>
        <v>23</v>
      </c>
      <c r="L171" s="7">
        <v>3</v>
      </c>
      <c r="M171" s="7">
        <v>13</v>
      </c>
      <c r="N171" s="8">
        <v>0.526667</v>
      </c>
      <c r="O171" s="7">
        <v>0.24</v>
      </c>
      <c r="P171" s="7">
        <v>0.72</v>
      </c>
      <c r="Q171" s="7">
        <v>3.8332999999999999E-2</v>
      </c>
      <c r="R171" s="7">
        <v>10</v>
      </c>
    </row>
    <row r="172" spans="1:18" ht="15.75" customHeight="1" x14ac:dyDescent="0.25">
      <c r="A172" s="1" t="s">
        <v>88</v>
      </c>
      <c r="B172" s="1" t="s">
        <v>89</v>
      </c>
      <c r="C172" s="1" t="s">
        <v>591</v>
      </c>
      <c r="D172" s="1">
        <v>2294</v>
      </c>
      <c r="E172" s="1">
        <v>2294</v>
      </c>
      <c r="F172" s="12" t="str">
        <f t="shared" si="4"/>
        <v>Kardiovize_2294</v>
      </c>
      <c r="G172" s="12" t="s">
        <v>20</v>
      </c>
      <c r="H172" s="1">
        <f t="shared" si="5"/>
        <v>0</v>
      </c>
      <c r="I172" s="1" t="s">
        <v>391</v>
      </c>
      <c r="J172" s="1">
        <v>74</v>
      </c>
      <c r="K172" s="7">
        <v>25</v>
      </c>
      <c r="L172" s="7">
        <v>2</v>
      </c>
      <c r="M172" s="7">
        <v>12</v>
      </c>
      <c r="N172" s="8">
        <v>-0.91666999999999998</v>
      </c>
      <c r="O172" s="7">
        <v>-0.86</v>
      </c>
      <c r="P172" s="7">
        <v>-0.85399999999999998</v>
      </c>
      <c r="Q172" s="7">
        <v>-0.92832999999999999</v>
      </c>
      <c r="R172" s="7">
        <v>5</v>
      </c>
    </row>
    <row r="173" spans="1:18" ht="15.75" customHeight="1" x14ac:dyDescent="0.25">
      <c r="A173" s="1" t="s">
        <v>88</v>
      </c>
      <c r="B173" s="1" t="s">
        <v>89</v>
      </c>
      <c r="C173" s="1" t="s">
        <v>592</v>
      </c>
      <c r="D173" s="1">
        <v>2299</v>
      </c>
      <c r="E173" s="1">
        <v>2299</v>
      </c>
      <c r="F173" s="12" t="str">
        <f t="shared" si="4"/>
        <v>Kardiovize_2299</v>
      </c>
      <c r="G173" s="12" t="s">
        <v>28</v>
      </c>
      <c r="H173" s="1">
        <f t="shared" si="5"/>
        <v>1</v>
      </c>
      <c r="I173" s="1" t="s">
        <v>391</v>
      </c>
      <c r="J173" s="1">
        <v>72.739999999999995</v>
      </c>
      <c r="K173">
        <f>median!C$3</f>
        <v>23</v>
      </c>
      <c r="L173" s="7">
        <v>3</v>
      </c>
      <c r="M173" s="7">
        <v>13</v>
      </c>
      <c r="N173" s="8">
        <v>0.83</v>
      </c>
      <c r="O173" s="7">
        <v>-0.46</v>
      </c>
      <c r="P173" s="7">
        <v>-0.25800000000000001</v>
      </c>
      <c r="Q173" s="7">
        <v>-7.3330000000000006E-2</v>
      </c>
      <c r="R173" s="7">
        <v>4</v>
      </c>
    </row>
    <row r="174" spans="1:18" ht="15.75" customHeight="1" x14ac:dyDescent="0.25">
      <c r="A174" s="1" t="s">
        <v>88</v>
      </c>
      <c r="B174" s="1" t="s">
        <v>89</v>
      </c>
      <c r="C174" s="1" t="s">
        <v>593</v>
      </c>
      <c r="D174" s="1">
        <v>2329</v>
      </c>
      <c r="E174" s="1">
        <v>2329</v>
      </c>
      <c r="F174" s="12" t="str">
        <f t="shared" si="4"/>
        <v>Kardiovize_2329</v>
      </c>
      <c r="G174" s="12" t="s">
        <v>28</v>
      </c>
      <c r="H174" s="1">
        <f t="shared" si="5"/>
        <v>1</v>
      </c>
      <c r="I174" s="1" t="s">
        <v>233</v>
      </c>
      <c r="J174" s="1">
        <v>74.11</v>
      </c>
      <c r="K174" s="7">
        <v>28</v>
      </c>
      <c r="L174" s="7">
        <v>4</v>
      </c>
      <c r="M174" s="7">
        <v>18</v>
      </c>
      <c r="N174" s="8">
        <v>1.1399999999999999</v>
      </c>
      <c r="O174" s="7">
        <v>-0.67</v>
      </c>
      <c r="P174" s="7">
        <v>0.46700000000000003</v>
      </c>
      <c r="Q174" s="7">
        <v>0.18</v>
      </c>
      <c r="R174" s="7">
        <v>0</v>
      </c>
    </row>
    <row r="175" spans="1:18" ht="15.75" customHeight="1" x14ac:dyDescent="0.25">
      <c r="A175" s="1" t="s">
        <v>88</v>
      </c>
      <c r="B175" s="1" t="s">
        <v>89</v>
      </c>
      <c r="C175" s="1" t="s">
        <v>594</v>
      </c>
      <c r="D175" s="1">
        <v>2330</v>
      </c>
      <c r="E175" s="1">
        <v>2330</v>
      </c>
      <c r="F175" s="12" t="str">
        <f t="shared" si="4"/>
        <v>Kardiovize_2330</v>
      </c>
      <c r="G175" s="12" t="s">
        <v>20</v>
      </c>
      <c r="H175" s="1">
        <f t="shared" si="5"/>
        <v>0</v>
      </c>
      <c r="I175" s="1" t="s">
        <v>391</v>
      </c>
      <c r="J175" s="1">
        <v>74.8</v>
      </c>
      <c r="K175">
        <f>median!C$3</f>
        <v>23</v>
      </c>
      <c r="L175">
        <f>median!D$3</f>
        <v>4</v>
      </c>
      <c r="M175" s="7">
        <v>12</v>
      </c>
      <c r="N175" s="8">
        <v>-0.1</v>
      </c>
      <c r="O175" s="7">
        <v>0.04</v>
      </c>
      <c r="P175" s="7">
        <v>-0.44800000000000001</v>
      </c>
      <c r="Q175" s="7">
        <v>-0.90500000000000003</v>
      </c>
      <c r="R175" s="7">
        <v>6</v>
      </c>
    </row>
    <row r="176" spans="1:18" ht="15.75" customHeight="1" x14ac:dyDescent="0.25">
      <c r="A176" s="1" t="s">
        <v>88</v>
      </c>
      <c r="B176" s="1" t="s">
        <v>89</v>
      </c>
      <c r="C176" s="1" t="s">
        <v>595</v>
      </c>
      <c r="D176" s="1">
        <v>2343</v>
      </c>
      <c r="E176" s="1">
        <v>2343</v>
      </c>
      <c r="F176" s="12" t="str">
        <f t="shared" si="4"/>
        <v>Kardiovize_2343</v>
      </c>
      <c r="G176" s="12" t="s">
        <v>28</v>
      </c>
      <c r="H176" s="1">
        <f t="shared" si="5"/>
        <v>1</v>
      </c>
      <c r="I176" s="1" t="s">
        <v>233</v>
      </c>
      <c r="J176" s="1">
        <v>74.63</v>
      </c>
      <c r="K176" s="7">
        <v>29</v>
      </c>
      <c r="L176" s="7">
        <v>3</v>
      </c>
      <c r="M176" s="7">
        <v>13</v>
      </c>
      <c r="N176" s="8">
        <v>0.74333300000000002</v>
      </c>
      <c r="O176" s="7">
        <v>-0.55000000000000004</v>
      </c>
      <c r="P176" s="7">
        <v>0.59399999999999997</v>
      </c>
      <c r="Q176" s="7">
        <v>0.92666700000000002</v>
      </c>
      <c r="R176" s="7">
        <v>4</v>
      </c>
    </row>
    <row r="177" spans="1:18" ht="15.75" customHeight="1" x14ac:dyDescent="0.25">
      <c r="A177" s="1" t="s">
        <v>88</v>
      </c>
      <c r="B177" s="1" t="s">
        <v>89</v>
      </c>
      <c r="C177" s="1" t="s">
        <v>596</v>
      </c>
      <c r="D177" s="1">
        <v>2344</v>
      </c>
      <c r="E177" s="1">
        <v>2344</v>
      </c>
      <c r="F177" s="12" t="str">
        <f t="shared" si="4"/>
        <v>Kardiovize_2344</v>
      </c>
      <c r="G177" s="12" t="s">
        <v>28</v>
      </c>
      <c r="H177" s="1">
        <f t="shared" si="5"/>
        <v>1</v>
      </c>
      <c r="I177" s="1" t="s">
        <v>391</v>
      </c>
      <c r="J177" s="1">
        <v>74.38</v>
      </c>
      <c r="K177" s="7">
        <v>22</v>
      </c>
      <c r="L177" s="7">
        <v>3</v>
      </c>
      <c r="M177" s="7">
        <v>13</v>
      </c>
      <c r="N177" s="8">
        <v>-9.6670000000000006E-2</v>
      </c>
      <c r="O177" s="7">
        <v>0.70499999999999996</v>
      </c>
      <c r="P177" s="7">
        <v>0.23200000000000001</v>
      </c>
      <c r="Q177">
        <f>median!I$3</f>
        <v>-0.9</v>
      </c>
      <c r="R177" s="7">
        <v>8</v>
      </c>
    </row>
    <row r="178" spans="1:18" ht="15.75" customHeight="1" x14ac:dyDescent="0.25">
      <c r="A178" s="1" t="s">
        <v>88</v>
      </c>
      <c r="B178" s="1" t="s">
        <v>89</v>
      </c>
      <c r="C178" s="1" t="s">
        <v>656</v>
      </c>
      <c r="D178" s="1">
        <v>2372</v>
      </c>
      <c r="E178" s="1">
        <v>2372</v>
      </c>
      <c r="F178" s="12" t="str">
        <f t="shared" si="4"/>
        <v>Kardiovize_2372</v>
      </c>
      <c r="G178" s="12" t="s">
        <v>28</v>
      </c>
      <c r="H178" s="1">
        <f t="shared" si="5"/>
        <v>1</v>
      </c>
      <c r="I178" s="1" t="s">
        <v>391</v>
      </c>
      <c r="J178" s="1">
        <v>73.47</v>
      </c>
      <c r="K178">
        <f>median!C$3</f>
        <v>23</v>
      </c>
      <c r="L178" s="7">
        <v>2</v>
      </c>
      <c r="M178" s="7">
        <v>12</v>
      </c>
      <c r="N178" s="8">
        <v>-0.89832999999999996</v>
      </c>
      <c r="O178" s="7">
        <v>-1.36</v>
      </c>
      <c r="P178" s="7">
        <v>-0.65400000000000003</v>
      </c>
      <c r="Q178" s="7">
        <v>-0.67666999999999999</v>
      </c>
      <c r="R178" s="7">
        <v>10</v>
      </c>
    </row>
    <row r="179" spans="1:18" ht="15.75" customHeight="1" x14ac:dyDescent="0.25">
      <c r="A179" s="1" t="s">
        <v>88</v>
      </c>
      <c r="B179" s="1" t="s">
        <v>89</v>
      </c>
      <c r="C179" s="1" t="s">
        <v>597</v>
      </c>
      <c r="D179" s="1">
        <v>2401</v>
      </c>
      <c r="E179" s="1">
        <v>2401</v>
      </c>
      <c r="F179" s="12" t="str">
        <f t="shared" si="4"/>
        <v>Kardiovize_2401</v>
      </c>
      <c r="G179" s="12" t="s">
        <v>28</v>
      </c>
      <c r="H179" s="1">
        <f t="shared" si="5"/>
        <v>1</v>
      </c>
      <c r="I179" s="1" t="s">
        <v>233</v>
      </c>
      <c r="J179" s="1">
        <v>71.25</v>
      </c>
      <c r="K179" s="7">
        <v>28</v>
      </c>
      <c r="L179" s="7">
        <v>4</v>
      </c>
      <c r="M179" s="7">
        <v>18</v>
      </c>
      <c r="N179" s="8">
        <v>1.4083330000000001</v>
      </c>
      <c r="O179" s="7">
        <v>-0.67</v>
      </c>
      <c r="P179" s="7">
        <v>1.034</v>
      </c>
      <c r="Q179" s="7">
        <v>0.221667</v>
      </c>
      <c r="R179" s="7">
        <v>2</v>
      </c>
    </row>
    <row r="180" spans="1:18" ht="15.75" customHeight="1" x14ac:dyDescent="0.25">
      <c r="A180" s="1" t="s">
        <v>88</v>
      </c>
      <c r="B180" s="1" t="s">
        <v>89</v>
      </c>
      <c r="C180" s="1" t="s">
        <v>91</v>
      </c>
      <c r="D180" s="1">
        <v>243</v>
      </c>
      <c r="E180" s="1">
        <v>243</v>
      </c>
      <c r="F180" s="12" t="str">
        <f t="shared" si="4"/>
        <v>Kardiovize_243</v>
      </c>
      <c r="G180" s="12" t="s">
        <v>28</v>
      </c>
      <c r="H180" s="1">
        <f t="shared" si="5"/>
        <v>1</v>
      </c>
      <c r="I180" s="1" t="s">
        <v>21</v>
      </c>
      <c r="J180" s="1">
        <v>70.06</v>
      </c>
      <c r="K180" s="7">
        <v>27</v>
      </c>
      <c r="L180" s="7">
        <v>4</v>
      </c>
      <c r="M180" s="7">
        <v>21</v>
      </c>
      <c r="N180" s="8">
        <v>-0.37991000000000003</v>
      </c>
      <c r="O180" s="7">
        <v>-0.77219000000000004</v>
      </c>
      <c r="P180" s="7">
        <v>0.83333299999999999</v>
      </c>
      <c r="Q180" s="7">
        <v>-0.27778000000000003</v>
      </c>
      <c r="R180" s="7">
        <v>0</v>
      </c>
    </row>
    <row r="181" spans="1:18" ht="15.75" customHeight="1" x14ac:dyDescent="0.25">
      <c r="A181" s="1" t="s">
        <v>88</v>
      </c>
      <c r="B181" s="1" t="s">
        <v>89</v>
      </c>
      <c r="C181" s="1" t="s">
        <v>598</v>
      </c>
      <c r="D181" s="1">
        <v>2441</v>
      </c>
      <c r="E181" s="1">
        <v>2441</v>
      </c>
      <c r="F181" s="12" t="str">
        <f t="shared" si="4"/>
        <v>Kardiovize_2441</v>
      </c>
      <c r="G181" s="12" t="s">
        <v>20</v>
      </c>
      <c r="H181" s="1">
        <f t="shared" si="5"/>
        <v>0</v>
      </c>
      <c r="I181" s="1" t="s">
        <v>233</v>
      </c>
      <c r="J181" s="1">
        <v>71.87</v>
      </c>
      <c r="K181" s="7">
        <v>28</v>
      </c>
      <c r="L181" s="7">
        <v>2</v>
      </c>
      <c r="M181" s="7">
        <v>12</v>
      </c>
      <c r="N181" s="8">
        <v>-0.19667000000000001</v>
      </c>
      <c r="O181" s="7">
        <v>0.37332599999999999</v>
      </c>
      <c r="P181" s="7">
        <v>-8.5999999999999993E-2</v>
      </c>
      <c r="Q181" s="7">
        <v>0.95666700000000005</v>
      </c>
      <c r="R181" s="7">
        <v>1</v>
      </c>
    </row>
    <row r="182" spans="1:18" ht="15.75" customHeight="1" x14ac:dyDescent="0.25">
      <c r="A182" s="1" t="s">
        <v>88</v>
      </c>
      <c r="B182" s="1" t="s">
        <v>89</v>
      </c>
      <c r="C182" s="1" t="s">
        <v>599</v>
      </c>
      <c r="D182" s="1">
        <v>2459</v>
      </c>
      <c r="E182" s="1">
        <v>2459</v>
      </c>
      <c r="F182" s="12" t="str">
        <f t="shared" si="4"/>
        <v>Kardiovize_2459</v>
      </c>
      <c r="G182" s="12" t="s">
        <v>20</v>
      </c>
      <c r="H182" s="1">
        <f t="shared" si="5"/>
        <v>0</v>
      </c>
      <c r="I182" s="1" t="s">
        <v>21</v>
      </c>
      <c r="J182" s="1">
        <v>74.319999999999993</v>
      </c>
      <c r="K182" s="7">
        <v>20</v>
      </c>
      <c r="L182" s="7">
        <v>3</v>
      </c>
      <c r="M182" s="7">
        <v>13</v>
      </c>
      <c r="N182" s="8">
        <v>-0.01</v>
      </c>
      <c r="O182" s="7">
        <v>0.115</v>
      </c>
      <c r="P182" s="7">
        <v>-0.59199999999999997</v>
      </c>
      <c r="Q182" s="7">
        <v>-1.1383300000000001</v>
      </c>
      <c r="R182" s="7">
        <v>2</v>
      </c>
    </row>
    <row r="183" spans="1:18" ht="15.75" customHeight="1" x14ac:dyDescent="0.25">
      <c r="A183" s="1" t="s">
        <v>88</v>
      </c>
      <c r="B183" s="1" t="s">
        <v>89</v>
      </c>
      <c r="C183" s="1" t="s">
        <v>380</v>
      </c>
      <c r="D183" s="1">
        <v>246</v>
      </c>
      <c r="E183" s="1">
        <v>246</v>
      </c>
      <c r="F183" s="12" t="str">
        <f t="shared" si="4"/>
        <v>Kardiovize_246</v>
      </c>
      <c r="G183" s="12" t="s">
        <v>20</v>
      </c>
      <c r="H183" s="1">
        <f t="shared" si="5"/>
        <v>0</v>
      </c>
      <c r="I183" s="1" t="s">
        <v>233</v>
      </c>
      <c r="J183" s="1">
        <v>62.28</v>
      </c>
      <c r="K183" s="7">
        <v>28</v>
      </c>
      <c r="L183" s="7">
        <v>4</v>
      </c>
      <c r="M183" s="7">
        <v>18</v>
      </c>
      <c r="N183" s="8">
        <v>0.54746300000000003</v>
      </c>
      <c r="O183" s="7">
        <v>1.080319</v>
      </c>
      <c r="P183" s="7">
        <v>0.16666700000000001</v>
      </c>
      <c r="Q183" s="7">
        <v>0.44444400000000001</v>
      </c>
      <c r="R183" s="7">
        <v>5</v>
      </c>
    </row>
    <row r="184" spans="1:18" ht="15.75" customHeight="1" x14ac:dyDescent="0.25">
      <c r="A184" s="1" t="s">
        <v>88</v>
      </c>
      <c r="B184" s="1" t="s">
        <v>89</v>
      </c>
      <c r="C184" s="1" t="s">
        <v>600</v>
      </c>
      <c r="D184" s="1">
        <v>2462</v>
      </c>
      <c r="E184" s="1">
        <v>2462</v>
      </c>
      <c r="F184" s="12" t="str">
        <f t="shared" si="4"/>
        <v>Kardiovize_2462</v>
      </c>
      <c r="G184" s="12" t="s">
        <v>20</v>
      </c>
      <c r="H184" s="1">
        <f t="shared" si="5"/>
        <v>0</v>
      </c>
      <c r="I184" s="1" t="s">
        <v>21</v>
      </c>
      <c r="J184" s="1">
        <v>70.930000000000007</v>
      </c>
      <c r="K184">
        <f>median!C$3</f>
        <v>23</v>
      </c>
      <c r="L184" s="7">
        <v>3</v>
      </c>
      <c r="M184" s="7">
        <v>18</v>
      </c>
      <c r="N184" s="8">
        <v>-1.0516700000000001</v>
      </c>
      <c r="O184" s="7">
        <v>0.95499999999999996</v>
      </c>
      <c r="P184" s="7">
        <v>0.22</v>
      </c>
      <c r="Q184" s="7">
        <v>-7.1669999999999998E-2</v>
      </c>
      <c r="R184" s="7">
        <v>1</v>
      </c>
    </row>
    <row r="185" spans="1:18" ht="15.75" customHeight="1" x14ac:dyDescent="0.25">
      <c r="A185" s="1" t="s">
        <v>88</v>
      </c>
      <c r="B185" s="1" t="s">
        <v>89</v>
      </c>
      <c r="C185" s="1" t="s">
        <v>601</v>
      </c>
      <c r="D185" s="1">
        <v>2463</v>
      </c>
      <c r="E185" s="1">
        <v>2463</v>
      </c>
      <c r="F185" s="12" t="str">
        <f t="shared" si="4"/>
        <v>Kardiovize_2463</v>
      </c>
      <c r="G185" s="12" t="s">
        <v>20</v>
      </c>
      <c r="H185" s="1">
        <f t="shared" si="5"/>
        <v>0</v>
      </c>
      <c r="I185" s="1" t="s">
        <v>233</v>
      </c>
      <c r="J185">
        <f>median!B$3</f>
        <v>74.165639970000001</v>
      </c>
      <c r="K185">
        <f>median!C$3</f>
        <v>23</v>
      </c>
      <c r="L185" s="7">
        <v>4</v>
      </c>
      <c r="M185" s="7">
        <v>17</v>
      </c>
      <c r="N185" s="8">
        <v>0.346667</v>
      </c>
      <c r="O185" s="7">
        <v>0.625</v>
      </c>
      <c r="P185" s="7">
        <v>1.0660000000000001</v>
      </c>
      <c r="Q185" s="7">
        <v>1.1883330000000001</v>
      </c>
      <c r="R185" s="7">
        <v>8</v>
      </c>
    </row>
    <row r="186" spans="1:18" ht="15.75" customHeight="1" x14ac:dyDescent="0.25">
      <c r="A186" s="1" t="s">
        <v>88</v>
      </c>
      <c r="B186" s="1" t="s">
        <v>89</v>
      </c>
      <c r="C186" s="1" t="s">
        <v>602</v>
      </c>
      <c r="D186" s="1">
        <v>2466</v>
      </c>
      <c r="E186" s="1">
        <v>2466</v>
      </c>
      <c r="F186" s="12" t="str">
        <f t="shared" si="4"/>
        <v>Kardiovize_2466</v>
      </c>
      <c r="G186" s="12" t="s">
        <v>20</v>
      </c>
      <c r="H186" s="1">
        <f t="shared" si="5"/>
        <v>0</v>
      </c>
      <c r="I186" s="1" t="s">
        <v>233</v>
      </c>
      <c r="J186" s="1">
        <v>76.349999999999994</v>
      </c>
      <c r="K186">
        <f>median!C$3</f>
        <v>23</v>
      </c>
      <c r="L186" s="7">
        <v>4</v>
      </c>
      <c r="M186" s="7">
        <v>18</v>
      </c>
      <c r="N186" s="8">
        <v>-8.6669999999999997E-2</v>
      </c>
      <c r="O186" s="7">
        <v>0.54</v>
      </c>
      <c r="P186" s="7">
        <v>0.66600000000000004</v>
      </c>
      <c r="Q186" s="7">
        <v>0.23833299999999999</v>
      </c>
      <c r="R186" s="7">
        <v>1</v>
      </c>
    </row>
    <row r="187" spans="1:18" ht="15.75" customHeight="1" x14ac:dyDescent="0.25">
      <c r="A187" s="1" t="s">
        <v>88</v>
      </c>
      <c r="B187" s="1" t="s">
        <v>89</v>
      </c>
      <c r="C187" s="1" t="s">
        <v>603</v>
      </c>
      <c r="D187" s="1">
        <v>2467</v>
      </c>
      <c r="E187" s="1">
        <v>2467</v>
      </c>
      <c r="F187" s="12" t="str">
        <f t="shared" si="4"/>
        <v>Kardiovize_2467</v>
      </c>
      <c r="G187" s="12" t="s">
        <v>20</v>
      </c>
      <c r="H187" s="1">
        <f t="shared" si="5"/>
        <v>0</v>
      </c>
      <c r="I187" s="1" t="s">
        <v>21</v>
      </c>
      <c r="J187" s="1">
        <v>73.78</v>
      </c>
      <c r="K187">
        <f>median!C$3</f>
        <v>23</v>
      </c>
      <c r="L187" s="7">
        <v>2</v>
      </c>
      <c r="M187" s="7">
        <v>12</v>
      </c>
      <c r="N187" s="8">
        <v>-0.11167000000000001</v>
      </c>
      <c r="O187" s="7">
        <v>-0.46</v>
      </c>
      <c r="P187" s="7">
        <v>-4.2000000000000003E-2</v>
      </c>
      <c r="Q187" s="7">
        <v>-0.70667000000000002</v>
      </c>
      <c r="R187" s="7">
        <v>4</v>
      </c>
    </row>
    <row r="188" spans="1:18" ht="15.75" customHeight="1" x14ac:dyDescent="0.25">
      <c r="A188" s="1" t="s">
        <v>88</v>
      </c>
      <c r="B188" s="1" t="s">
        <v>89</v>
      </c>
      <c r="C188" s="1" t="s">
        <v>604</v>
      </c>
      <c r="D188" s="1">
        <v>2472</v>
      </c>
      <c r="E188" s="1">
        <v>2472</v>
      </c>
      <c r="F188" s="12" t="str">
        <f t="shared" si="4"/>
        <v>Kardiovize_2472</v>
      </c>
      <c r="G188" s="12" t="s">
        <v>28</v>
      </c>
      <c r="H188" s="1">
        <f t="shared" si="5"/>
        <v>1</v>
      </c>
      <c r="I188" s="1" t="s">
        <v>233</v>
      </c>
      <c r="J188" s="1">
        <v>72.849999999999994</v>
      </c>
      <c r="K188" s="7">
        <v>29</v>
      </c>
      <c r="L188" s="7">
        <v>4</v>
      </c>
      <c r="M188" s="7">
        <v>17</v>
      </c>
      <c r="N188" s="8">
        <v>0.86499999999999999</v>
      </c>
      <c r="O188" s="7">
        <v>0.45500000000000002</v>
      </c>
      <c r="P188" s="7">
        <v>0.16</v>
      </c>
      <c r="Q188" s="7">
        <v>0.26666699999999999</v>
      </c>
      <c r="R188" s="7">
        <v>1</v>
      </c>
    </row>
    <row r="189" spans="1:18" ht="15.75" customHeight="1" x14ac:dyDescent="0.25">
      <c r="A189" s="1" t="s">
        <v>88</v>
      </c>
      <c r="B189" s="1" t="s">
        <v>89</v>
      </c>
      <c r="C189" s="1" t="s">
        <v>605</v>
      </c>
      <c r="D189" s="1">
        <v>2484</v>
      </c>
      <c r="E189" s="1">
        <v>2484</v>
      </c>
      <c r="F189" s="12" t="str">
        <f t="shared" si="4"/>
        <v>Kardiovize_2484</v>
      </c>
      <c r="G189" s="12" t="s">
        <v>28</v>
      </c>
      <c r="H189" s="1">
        <f t="shared" si="5"/>
        <v>1</v>
      </c>
      <c r="I189" s="1" t="s">
        <v>21</v>
      </c>
      <c r="J189" s="1">
        <v>71.14</v>
      </c>
      <c r="K189" s="7">
        <v>27</v>
      </c>
      <c r="L189" s="7">
        <v>3</v>
      </c>
      <c r="M189" s="7">
        <v>13</v>
      </c>
      <c r="N189" s="8">
        <v>-0.31333</v>
      </c>
      <c r="O189" s="7">
        <v>0.240485</v>
      </c>
      <c r="P189" s="7">
        <v>0.54</v>
      </c>
      <c r="Q189" s="7">
        <v>0.29499999999999998</v>
      </c>
      <c r="R189" s="7">
        <v>1</v>
      </c>
    </row>
    <row r="190" spans="1:18" ht="15.75" customHeight="1" x14ac:dyDescent="0.25">
      <c r="A190" s="1" t="s">
        <v>88</v>
      </c>
      <c r="B190" s="1" t="s">
        <v>89</v>
      </c>
      <c r="C190" s="1" t="s">
        <v>606</v>
      </c>
      <c r="D190" s="1">
        <v>2488</v>
      </c>
      <c r="E190" s="1">
        <v>2488</v>
      </c>
      <c r="F190" s="12" t="str">
        <f t="shared" si="4"/>
        <v>Kardiovize_2488</v>
      </c>
      <c r="G190" s="12" t="s">
        <v>28</v>
      </c>
      <c r="H190" s="1">
        <f t="shared" si="5"/>
        <v>1</v>
      </c>
      <c r="I190" s="1" t="s">
        <v>391</v>
      </c>
      <c r="J190" s="1">
        <v>71.55</v>
      </c>
      <c r="K190" s="7">
        <v>24</v>
      </c>
      <c r="L190" s="7">
        <v>3</v>
      </c>
      <c r="M190" s="7">
        <v>13</v>
      </c>
      <c r="N190" s="8">
        <v>-0.40333000000000002</v>
      </c>
      <c r="O190" s="7">
        <v>0.21</v>
      </c>
      <c r="P190" s="7">
        <v>-5.1999999999999998E-2</v>
      </c>
      <c r="Q190" s="7">
        <v>-3.8330000000000003E-2</v>
      </c>
      <c r="R190" s="7">
        <v>3</v>
      </c>
    </row>
    <row r="191" spans="1:18" ht="15.75" customHeight="1" x14ac:dyDescent="0.25">
      <c r="A191" s="1" t="s">
        <v>88</v>
      </c>
      <c r="B191" s="1" t="s">
        <v>89</v>
      </c>
      <c r="C191" s="1" t="s">
        <v>607</v>
      </c>
      <c r="D191" s="1">
        <v>2491</v>
      </c>
      <c r="E191" s="1">
        <v>2491</v>
      </c>
      <c r="F191" s="12" t="str">
        <f t="shared" si="4"/>
        <v>Kardiovize_2491</v>
      </c>
      <c r="G191" s="12" t="s">
        <v>20</v>
      </c>
      <c r="H191" s="1">
        <f t="shared" si="5"/>
        <v>0</v>
      </c>
      <c r="I191" s="1" t="s">
        <v>233</v>
      </c>
      <c r="J191" s="1">
        <v>74.38</v>
      </c>
      <c r="K191" s="7">
        <v>27</v>
      </c>
      <c r="L191" s="7">
        <v>4</v>
      </c>
      <c r="M191" s="7">
        <v>18</v>
      </c>
      <c r="N191" s="8">
        <v>0.76166699999999998</v>
      </c>
      <c r="O191" s="7">
        <v>0.20499999999999999</v>
      </c>
      <c r="P191" s="7">
        <v>5.1999999999999998E-2</v>
      </c>
      <c r="Q191" s="7">
        <v>3.8332999999999999E-2</v>
      </c>
      <c r="R191" s="7">
        <v>1</v>
      </c>
    </row>
    <row r="192" spans="1:18" ht="15.75" customHeight="1" x14ac:dyDescent="0.25">
      <c r="A192" s="1" t="s">
        <v>88</v>
      </c>
      <c r="B192" s="1" t="s">
        <v>89</v>
      </c>
      <c r="C192" s="1" t="s">
        <v>608</v>
      </c>
      <c r="D192" s="1">
        <v>2492</v>
      </c>
      <c r="E192" s="1">
        <v>2492</v>
      </c>
      <c r="F192" s="12" t="str">
        <f t="shared" si="4"/>
        <v>Kardiovize_2492</v>
      </c>
      <c r="G192" s="12" t="s">
        <v>20</v>
      </c>
      <c r="H192" s="1">
        <f t="shared" si="5"/>
        <v>0</v>
      </c>
      <c r="I192" s="1" t="s">
        <v>233</v>
      </c>
      <c r="J192" s="1">
        <v>71.599999999999994</v>
      </c>
      <c r="K192" s="7">
        <v>28</v>
      </c>
      <c r="L192" s="7">
        <v>3</v>
      </c>
      <c r="M192" s="7">
        <v>13</v>
      </c>
      <c r="N192" s="8">
        <v>0.59</v>
      </c>
      <c r="O192" s="7">
        <v>7.4999999999999997E-2</v>
      </c>
      <c r="P192" s="7">
        <v>9.8000000000000004E-2</v>
      </c>
      <c r="Q192" s="7">
        <v>2.8050000000000002</v>
      </c>
      <c r="R192" s="7">
        <v>0</v>
      </c>
    </row>
    <row r="193" spans="1:18" ht="15.75" customHeight="1" x14ac:dyDescent="0.25">
      <c r="A193" s="1" t="s">
        <v>88</v>
      </c>
      <c r="B193" s="1" t="s">
        <v>89</v>
      </c>
      <c r="C193" s="1" t="s">
        <v>609</v>
      </c>
      <c r="D193" s="1">
        <v>2495</v>
      </c>
      <c r="E193" s="1">
        <v>2495</v>
      </c>
      <c r="F193" s="12" t="str">
        <f t="shared" si="4"/>
        <v>Kardiovize_2495</v>
      </c>
      <c r="G193" s="12" t="s">
        <v>28</v>
      </c>
      <c r="H193" s="1">
        <f t="shared" si="5"/>
        <v>1</v>
      </c>
      <c r="I193" s="1" t="s">
        <v>233</v>
      </c>
      <c r="J193">
        <f>median!B$3</f>
        <v>74.165639970000001</v>
      </c>
      <c r="K193" s="7">
        <v>29</v>
      </c>
      <c r="L193" s="7">
        <v>2</v>
      </c>
      <c r="M193" s="7">
        <v>12</v>
      </c>
      <c r="N193" s="8">
        <v>0.85</v>
      </c>
      <c r="O193" s="7">
        <v>0.625</v>
      </c>
      <c r="P193" s="7">
        <v>0.39200000000000002</v>
      </c>
      <c r="Q193" s="7">
        <v>0.22</v>
      </c>
      <c r="R193" s="7">
        <v>1</v>
      </c>
    </row>
    <row r="194" spans="1:18" ht="15.75" customHeight="1" x14ac:dyDescent="0.25">
      <c r="A194" s="1" t="s">
        <v>88</v>
      </c>
      <c r="B194" s="1" t="s">
        <v>89</v>
      </c>
      <c r="C194" s="1" t="s">
        <v>610</v>
      </c>
      <c r="D194" s="1">
        <v>2537</v>
      </c>
      <c r="E194" s="1">
        <v>2537</v>
      </c>
      <c r="F194" s="12" t="str">
        <f t="shared" ref="F194:F257" si="6">A194&amp;"_"&amp;D194</f>
        <v>Kardiovize_2537</v>
      </c>
      <c r="G194" s="12" t="s">
        <v>20</v>
      </c>
      <c r="H194" s="1">
        <f t="shared" ref="H194:H257" si="7">IF(G194="M",0,IF(G194="F",1,""))</f>
        <v>0</v>
      </c>
      <c r="I194" s="1" t="s">
        <v>233</v>
      </c>
      <c r="J194" s="1">
        <v>70.17</v>
      </c>
      <c r="K194" s="7">
        <v>29</v>
      </c>
      <c r="L194" s="7">
        <v>3</v>
      </c>
      <c r="M194" s="7">
        <v>13</v>
      </c>
      <c r="N194" s="8">
        <v>1.316667</v>
      </c>
      <c r="O194">
        <f>median!G$3</f>
        <v>-0.25</v>
      </c>
      <c r="P194" s="7">
        <v>1.014</v>
      </c>
      <c r="Q194" s="7">
        <v>0.71</v>
      </c>
      <c r="R194" s="7">
        <v>1</v>
      </c>
    </row>
    <row r="195" spans="1:18" ht="15.75" customHeight="1" x14ac:dyDescent="0.25">
      <c r="A195" s="1" t="s">
        <v>88</v>
      </c>
      <c r="B195" s="1" t="s">
        <v>89</v>
      </c>
      <c r="C195" s="1" t="s">
        <v>611</v>
      </c>
      <c r="D195" s="1">
        <v>2542</v>
      </c>
      <c r="E195" s="1">
        <v>2542</v>
      </c>
      <c r="F195" s="12" t="str">
        <f t="shared" si="6"/>
        <v>Kardiovize_2542</v>
      </c>
      <c r="G195" s="12" t="s">
        <v>28</v>
      </c>
      <c r="H195" s="1">
        <f t="shared" si="7"/>
        <v>1</v>
      </c>
      <c r="I195" s="1" t="s">
        <v>233</v>
      </c>
      <c r="J195" s="1">
        <v>69.56</v>
      </c>
      <c r="K195">
        <f>median!C$3</f>
        <v>23</v>
      </c>
      <c r="L195" s="7">
        <v>3</v>
      </c>
      <c r="M195" s="7">
        <v>13</v>
      </c>
      <c r="N195" s="8">
        <v>0.90500000000000003</v>
      </c>
      <c r="O195" s="7">
        <v>0.875</v>
      </c>
      <c r="P195" s="7">
        <v>-0.2</v>
      </c>
      <c r="Q195" s="7">
        <v>0.31166700000000003</v>
      </c>
      <c r="R195" s="7">
        <v>3</v>
      </c>
    </row>
    <row r="196" spans="1:18" ht="15.75" customHeight="1" x14ac:dyDescent="0.25">
      <c r="A196" s="1" t="s">
        <v>88</v>
      </c>
      <c r="B196" s="1" t="s">
        <v>89</v>
      </c>
      <c r="C196" s="1" t="s">
        <v>612</v>
      </c>
      <c r="D196" s="1">
        <v>255</v>
      </c>
      <c r="E196" s="1">
        <v>255</v>
      </c>
      <c r="F196" s="12" t="str">
        <f t="shared" si="6"/>
        <v>Kardiovize_255</v>
      </c>
      <c r="G196" s="12" t="s">
        <v>28</v>
      </c>
      <c r="H196" s="1">
        <f t="shared" si="7"/>
        <v>1</v>
      </c>
      <c r="I196" s="1" t="s">
        <v>233</v>
      </c>
      <c r="J196" s="1">
        <v>70.63</v>
      </c>
      <c r="K196" s="7">
        <v>26</v>
      </c>
      <c r="L196" s="7">
        <v>2</v>
      </c>
      <c r="M196" s="7">
        <v>12</v>
      </c>
      <c r="N196" s="8">
        <v>0</v>
      </c>
      <c r="O196" s="7">
        <v>7.4999999999999997E-2</v>
      </c>
      <c r="P196">
        <f>median!H$3</f>
        <v>-0.35</v>
      </c>
      <c r="Q196">
        <f>median!I$3</f>
        <v>-0.9</v>
      </c>
      <c r="R196" s="7">
        <v>0</v>
      </c>
    </row>
    <row r="197" spans="1:18" ht="15.75" customHeight="1" x14ac:dyDescent="0.25">
      <c r="A197" s="1" t="s">
        <v>88</v>
      </c>
      <c r="B197" s="1" t="s">
        <v>89</v>
      </c>
      <c r="C197" s="1" t="s">
        <v>613</v>
      </c>
      <c r="D197" s="1">
        <v>264</v>
      </c>
      <c r="E197" s="1">
        <v>264</v>
      </c>
      <c r="F197" s="12" t="str">
        <f t="shared" si="6"/>
        <v>Kardiovize_264</v>
      </c>
      <c r="G197" s="12" t="s">
        <v>28</v>
      </c>
      <c r="H197" s="1">
        <f t="shared" si="7"/>
        <v>1</v>
      </c>
      <c r="I197" s="1" t="s">
        <v>233</v>
      </c>
      <c r="J197" s="1">
        <v>70.73</v>
      </c>
      <c r="K197" s="7">
        <v>28</v>
      </c>
      <c r="L197" s="7">
        <v>4</v>
      </c>
      <c r="M197" s="7">
        <v>19</v>
      </c>
      <c r="N197" s="8">
        <v>1.0449999999999999</v>
      </c>
      <c r="O197" s="7">
        <v>-0.27667000000000003</v>
      </c>
      <c r="P197" s="7">
        <v>0.82599999999999996</v>
      </c>
      <c r="Q197" s="7">
        <v>1.2283329999999999</v>
      </c>
      <c r="R197" s="7">
        <v>1</v>
      </c>
    </row>
    <row r="198" spans="1:18" ht="15.75" customHeight="1" x14ac:dyDescent="0.25">
      <c r="A198" s="1" t="s">
        <v>88</v>
      </c>
      <c r="B198" s="1" t="s">
        <v>89</v>
      </c>
      <c r="C198" s="1" t="s">
        <v>614</v>
      </c>
      <c r="D198" s="1">
        <v>274</v>
      </c>
      <c r="E198" s="1">
        <v>274</v>
      </c>
      <c r="F198" s="12" t="str">
        <f t="shared" si="6"/>
        <v>Kardiovize_274</v>
      </c>
      <c r="G198" s="12" t="s">
        <v>28</v>
      </c>
      <c r="H198" s="1">
        <f t="shared" si="7"/>
        <v>1</v>
      </c>
      <c r="I198" s="1" t="s">
        <v>233</v>
      </c>
      <c r="J198" s="1">
        <v>71.239999999999995</v>
      </c>
      <c r="K198" s="7">
        <v>25</v>
      </c>
      <c r="L198" s="7">
        <v>3</v>
      </c>
      <c r="M198" s="7">
        <v>13</v>
      </c>
      <c r="N198" s="8">
        <v>0.14455399999999999</v>
      </c>
      <c r="O198" s="7">
        <v>-1.7506900000000001</v>
      </c>
      <c r="P198" s="7">
        <v>0.33333299999999999</v>
      </c>
      <c r="Q198" s="7">
        <v>-0.16667000000000001</v>
      </c>
      <c r="R198" s="7">
        <v>4</v>
      </c>
    </row>
    <row r="199" spans="1:18" ht="15.75" customHeight="1" x14ac:dyDescent="0.25">
      <c r="A199" s="1" t="s">
        <v>88</v>
      </c>
      <c r="B199" s="1" t="s">
        <v>89</v>
      </c>
      <c r="C199" s="1" t="s">
        <v>615</v>
      </c>
      <c r="D199" s="1">
        <v>277</v>
      </c>
      <c r="E199" s="1">
        <v>277</v>
      </c>
      <c r="F199" s="12" t="str">
        <f t="shared" si="6"/>
        <v>Kardiovize_277</v>
      </c>
      <c r="G199" s="12" t="s">
        <v>20</v>
      </c>
      <c r="H199" s="1">
        <f t="shared" si="7"/>
        <v>0</v>
      </c>
      <c r="I199" s="1" t="s">
        <v>233</v>
      </c>
      <c r="J199" s="1">
        <v>63.21</v>
      </c>
      <c r="K199" s="7">
        <v>25</v>
      </c>
      <c r="L199" s="7">
        <v>2</v>
      </c>
      <c r="M199" s="7">
        <v>12</v>
      </c>
      <c r="N199" s="8">
        <v>0.55833299999999997</v>
      </c>
      <c r="O199" s="7">
        <v>0.70499999999999996</v>
      </c>
      <c r="P199" s="7">
        <v>0.188</v>
      </c>
      <c r="Q199" s="7">
        <v>0.11666700000000001</v>
      </c>
      <c r="R199" s="7">
        <v>1</v>
      </c>
    </row>
    <row r="200" spans="1:18" ht="15.75" customHeight="1" x14ac:dyDescent="0.25">
      <c r="A200" s="1" t="s">
        <v>88</v>
      </c>
      <c r="B200" s="1" t="s">
        <v>89</v>
      </c>
      <c r="C200" s="1" t="s">
        <v>657</v>
      </c>
      <c r="D200" s="1">
        <v>3</v>
      </c>
      <c r="E200" s="1">
        <v>3</v>
      </c>
      <c r="F200" s="12" t="str">
        <f t="shared" si="6"/>
        <v>Kardiovize_3</v>
      </c>
      <c r="G200" s="12" t="s">
        <v>28</v>
      </c>
      <c r="H200" s="1">
        <f t="shared" si="7"/>
        <v>1</v>
      </c>
      <c r="I200" s="1" t="s">
        <v>233</v>
      </c>
      <c r="J200" s="1">
        <v>67.64</v>
      </c>
      <c r="K200">
        <f>median!C$3</f>
        <v>23</v>
      </c>
      <c r="L200">
        <f>median!D$3</f>
        <v>4</v>
      </c>
      <c r="M200" s="7">
        <v>13</v>
      </c>
      <c r="N200" s="8">
        <v>-0.25167</v>
      </c>
      <c r="O200" s="7">
        <v>0.79</v>
      </c>
      <c r="P200" s="7">
        <v>2E-3</v>
      </c>
      <c r="Q200" s="7">
        <v>7.1666999999999995E-2</v>
      </c>
      <c r="R200" s="7">
        <v>4</v>
      </c>
    </row>
    <row r="201" spans="1:18" ht="15.75" customHeight="1" x14ac:dyDescent="0.25">
      <c r="A201" s="1" t="s">
        <v>88</v>
      </c>
      <c r="B201" s="1" t="s">
        <v>89</v>
      </c>
      <c r="C201" s="1" t="s">
        <v>616</v>
      </c>
      <c r="D201" s="1">
        <v>303</v>
      </c>
      <c r="E201" s="1">
        <v>303</v>
      </c>
      <c r="F201" s="12" t="str">
        <f t="shared" si="6"/>
        <v>Kardiovize_303</v>
      </c>
      <c r="G201" s="12" t="s">
        <v>20</v>
      </c>
      <c r="H201" s="1">
        <f t="shared" si="7"/>
        <v>0</v>
      </c>
      <c r="I201" s="1" t="s">
        <v>233</v>
      </c>
      <c r="J201" s="1">
        <v>68.41</v>
      </c>
      <c r="K201">
        <f>median!C$3</f>
        <v>23</v>
      </c>
      <c r="L201" s="7">
        <v>3</v>
      </c>
      <c r="M201" s="7">
        <v>13</v>
      </c>
      <c r="N201" s="8">
        <v>0.66666700000000001</v>
      </c>
      <c r="O201" s="7">
        <v>0.74</v>
      </c>
      <c r="P201" s="7">
        <v>0.2</v>
      </c>
      <c r="Q201" s="7">
        <v>-0.44</v>
      </c>
      <c r="R201" s="7">
        <v>3</v>
      </c>
    </row>
    <row r="202" spans="1:18" ht="15.75" customHeight="1" x14ac:dyDescent="0.25">
      <c r="A202" s="1" t="s">
        <v>88</v>
      </c>
      <c r="B202" s="1" t="s">
        <v>89</v>
      </c>
      <c r="C202" s="1" t="s">
        <v>658</v>
      </c>
      <c r="D202" s="1">
        <v>312</v>
      </c>
      <c r="E202" s="1">
        <v>312</v>
      </c>
      <c r="F202" s="12" t="str">
        <f t="shared" si="6"/>
        <v>Kardiovize_312</v>
      </c>
      <c r="G202" s="12" t="s">
        <v>28</v>
      </c>
      <c r="H202" s="1">
        <f t="shared" si="7"/>
        <v>1</v>
      </c>
      <c r="I202" s="1" t="s">
        <v>233</v>
      </c>
      <c r="J202" s="1">
        <v>72.930000000000007</v>
      </c>
      <c r="K202" s="7">
        <v>25</v>
      </c>
      <c r="L202" s="7">
        <v>3</v>
      </c>
      <c r="M202" s="7">
        <v>13</v>
      </c>
      <c r="N202" s="8">
        <v>0.38333299999999998</v>
      </c>
      <c r="O202" s="7">
        <v>-0.77</v>
      </c>
      <c r="P202" s="7">
        <v>0.7</v>
      </c>
      <c r="Q202" s="7">
        <v>0.28000000000000003</v>
      </c>
      <c r="R202" s="7">
        <v>3</v>
      </c>
    </row>
    <row r="203" spans="1:18" ht="15.75" customHeight="1" x14ac:dyDescent="0.25">
      <c r="A203" s="1" t="s">
        <v>88</v>
      </c>
      <c r="B203" s="1" t="s">
        <v>89</v>
      </c>
      <c r="C203" s="1" t="s">
        <v>617</v>
      </c>
      <c r="D203" s="1">
        <v>315</v>
      </c>
      <c r="E203" s="1">
        <v>315</v>
      </c>
      <c r="F203" s="12" t="str">
        <f t="shared" si="6"/>
        <v>Kardiovize_315</v>
      </c>
      <c r="G203" s="12" t="s">
        <v>20</v>
      </c>
      <c r="H203" s="1">
        <f t="shared" si="7"/>
        <v>0</v>
      </c>
      <c r="I203" s="1" t="s">
        <v>21</v>
      </c>
      <c r="J203" s="1">
        <v>66.430000000000007</v>
      </c>
      <c r="K203" s="7">
        <v>25</v>
      </c>
      <c r="L203" s="7">
        <v>2</v>
      </c>
      <c r="M203" s="7">
        <v>12</v>
      </c>
      <c r="N203" s="8">
        <v>-1.47333</v>
      </c>
      <c r="O203" s="7">
        <v>0.70499999999999996</v>
      </c>
      <c r="P203" s="7">
        <v>-0.62</v>
      </c>
      <c r="Q203" s="7">
        <v>-0.96167000000000002</v>
      </c>
      <c r="R203" s="7">
        <v>4</v>
      </c>
    </row>
    <row r="204" spans="1:18" ht="15.75" customHeight="1" x14ac:dyDescent="0.25">
      <c r="A204" s="1" t="s">
        <v>88</v>
      </c>
      <c r="B204" s="1" t="s">
        <v>89</v>
      </c>
      <c r="C204" s="1" t="s">
        <v>659</v>
      </c>
      <c r="D204" s="1">
        <v>336</v>
      </c>
      <c r="E204" s="1">
        <v>336</v>
      </c>
      <c r="F204" s="12" t="str">
        <f t="shared" si="6"/>
        <v>Kardiovize_336</v>
      </c>
      <c r="G204" s="12" t="s">
        <v>20</v>
      </c>
      <c r="H204" s="1">
        <f t="shared" si="7"/>
        <v>0</v>
      </c>
      <c r="I204" s="1" t="s">
        <v>233</v>
      </c>
      <c r="J204" s="1">
        <v>74.47</v>
      </c>
      <c r="K204" s="7">
        <v>27</v>
      </c>
      <c r="L204" s="7">
        <v>4</v>
      </c>
      <c r="M204" s="7">
        <v>23</v>
      </c>
      <c r="N204" s="8">
        <v>0.17184099999999999</v>
      </c>
      <c r="O204" s="7">
        <v>1.080319</v>
      </c>
      <c r="P204" s="7">
        <v>0.5</v>
      </c>
      <c r="Q204" s="7">
        <v>-0.11</v>
      </c>
      <c r="R204" s="7">
        <v>6</v>
      </c>
    </row>
    <row r="205" spans="1:18" ht="15.75" customHeight="1" x14ac:dyDescent="0.25">
      <c r="A205" s="1" t="s">
        <v>88</v>
      </c>
      <c r="B205" s="1" t="s">
        <v>89</v>
      </c>
      <c r="C205" s="1" t="s">
        <v>618</v>
      </c>
      <c r="D205" s="1">
        <v>339</v>
      </c>
      <c r="E205" s="1">
        <v>339</v>
      </c>
      <c r="F205" s="12" t="str">
        <f t="shared" si="6"/>
        <v>Kardiovize_339</v>
      </c>
      <c r="G205" s="12" t="s">
        <v>20</v>
      </c>
      <c r="H205" s="1">
        <f t="shared" si="7"/>
        <v>0</v>
      </c>
      <c r="I205" s="1" t="s">
        <v>233</v>
      </c>
      <c r="J205" s="1">
        <v>68.81</v>
      </c>
      <c r="K205" s="7">
        <v>26</v>
      </c>
      <c r="L205" s="7">
        <v>4</v>
      </c>
      <c r="M205" s="7">
        <v>19</v>
      </c>
      <c r="N205" s="8">
        <v>0.62166699999999997</v>
      </c>
      <c r="O205" s="7">
        <v>0.04</v>
      </c>
      <c r="P205" s="7">
        <v>0.89400000000000002</v>
      </c>
      <c r="Q205" s="7">
        <v>0.38833299999999998</v>
      </c>
      <c r="R205" s="7">
        <v>5</v>
      </c>
    </row>
    <row r="206" spans="1:18" ht="15.75" customHeight="1" x14ac:dyDescent="0.25">
      <c r="A206" s="1" t="s">
        <v>88</v>
      </c>
      <c r="B206" s="1" t="s">
        <v>89</v>
      </c>
      <c r="C206" s="1" t="s">
        <v>619</v>
      </c>
      <c r="D206" s="1">
        <v>349</v>
      </c>
      <c r="E206" s="1">
        <v>349</v>
      </c>
      <c r="F206" s="12" t="str">
        <f t="shared" si="6"/>
        <v>Kardiovize_349</v>
      </c>
      <c r="G206" s="12" t="s">
        <v>28</v>
      </c>
      <c r="H206" s="1">
        <f t="shared" si="7"/>
        <v>1</v>
      </c>
      <c r="I206" s="1" t="s">
        <v>233</v>
      </c>
      <c r="J206" s="1">
        <v>62.02</v>
      </c>
      <c r="K206">
        <f>median!C$3</f>
        <v>23</v>
      </c>
      <c r="L206" s="7">
        <v>2</v>
      </c>
      <c r="M206" s="7">
        <v>12</v>
      </c>
      <c r="N206" s="8">
        <v>0.65</v>
      </c>
      <c r="O206" s="7">
        <v>1.075</v>
      </c>
      <c r="P206" s="7">
        <v>0.77200000000000002</v>
      </c>
      <c r="Q206" s="7">
        <v>0.87833300000000003</v>
      </c>
      <c r="R206" s="7">
        <v>7</v>
      </c>
    </row>
    <row r="207" spans="1:18" ht="15.75" customHeight="1" x14ac:dyDescent="0.25">
      <c r="A207" s="1" t="s">
        <v>88</v>
      </c>
      <c r="B207" s="1" t="s">
        <v>89</v>
      </c>
      <c r="C207" s="1" t="s">
        <v>92</v>
      </c>
      <c r="D207" s="1">
        <v>358</v>
      </c>
      <c r="E207" s="1">
        <v>358</v>
      </c>
      <c r="F207" s="12" t="str">
        <f t="shared" si="6"/>
        <v>Kardiovize_358</v>
      </c>
      <c r="G207" s="12" t="s">
        <v>20</v>
      </c>
      <c r="H207" s="1">
        <f t="shared" si="7"/>
        <v>0</v>
      </c>
      <c r="I207" s="1" t="s">
        <v>21</v>
      </c>
      <c r="J207">
        <f>median!B$3</f>
        <v>74.165639970000001</v>
      </c>
      <c r="K207" s="7">
        <v>22</v>
      </c>
      <c r="L207" s="7">
        <v>2</v>
      </c>
      <c r="M207" s="7">
        <v>12</v>
      </c>
      <c r="N207" s="8">
        <v>-0.90693000000000001</v>
      </c>
      <c r="O207" s="7">
        <v>1.080319</v>
      </c>
      <c r="P207" s="7">
        <v>-1.3333299999999999</v>
      </c>
      <c r="Q207" s="7">
        <v>-0.72221999999999997</v>
      </c>
      <c r="R207" s="7">
        <v>5</v>
      </c>
    </row>
    <row r="208" spans="1:18" ht="15.75" customHeight="1" x14ac:dyDescent="0.25">
      <c r="A208" s="1" t="s">
        <v>88</v>
      </c>
      <c r="B208" s="1" t="s">
        <v>89</v>
      </c>
      <c r="C208" s="1" t="s">
        <v>521</v>
      </c>
      <c r="D208" s="1">
        <v>360</v>
      </c>
      <c r="E208" s="1">
        <v>360</v>
      </c>
      <c r="F208" s="12" t="str">
        <f t="shared" si="6"/>
        <v>Kardiovize_360</v>
      </c>
      <c r="G208" s="12" t="s">
        <v>20</v>
      </c>
      <c r="H208" s="1">
        <f t="shared" si="7"/>
        <v>0</v>
      </c>
      <c r="I208" s="1" t="s">
        <v>391</v>
      </c>
      <c r="J208" s="1">
        <v>63.85</v>
      </c>
      <c r="K208" s="7">
        <v>27</v>
      </c>
      <c r="L208" s="7">
        <v>3</v>
      </c>
      <c r="M208" s="7">
        <v>17</v>
      </c>
      <c r="N208" s="8">
        <v>-0.78330999999999995</v>
      </c>
      <c r="O208" s="7">
        <v>1.080319</v>
      </c>
      <c r="P208" s="7">
        <v>-0.66666999999999998</v>
      </c>
      <c r="Q208" s="7">
        <v>-0.38889000000000001</v>
      </c>
      <c r="R208" s="7">
        <v>5</v>
      </c>
    </row>
    <row r="209" spans="1:18" ht="15.75" customHeight="1" x14ac:dyDescent="0.25">
      <c r="A209" s="1" t="s">
        <v>88</v>
      </c>
      <c r="B209" s="1" t="s">
        <v>89</v>
      </c>
      <c r="C209" s="1" t="s">
        <v>620</v>
      </c>
      <c r="D209" s="1">
        <v>40</v>
      </c>
      <c r="E209" s="1">
        <v>40</v>
      </c>
      <c r="F209" s="12" t="str">
        <f t="shared" si="6"/>
        <v>Kardiovize_40</v>
      </c>
      <c r="G209" s="12" t="s">
        <v>28</v>
      </c>
      <c r="H209" s="1">
        <f t="shared" si="7"/>
        <v>1</v>
      </c>
      <c r="I209" s="1" t="s">
        <v>233</v>
      </c>
      <c r="J209" s="1">
        <v>65.06</v>
      </c>
      <c r="K209" s="7">
        <v>25</v>
      </c>
      <c r="L209" s="7">
        <v>4</v>
      </c>
      <c r="M209" s="7">
        <v>18</v>
      </c>
      <c r="N209" s="8">
        <v>0.91192499999999999</v>
      </c>
      <c r="O209" s="7">
        <v>0.15096899999999999</v>
      </c>
      <c r="P209" s="7">
        <v>0.5</v>
      </c>
      <c r="Q209" s="7">
        <v>-5.5559999999999998E-2</v>
      </c>
      <c r="R209" s="7">
        <v>2</v>
      </c>
    </row>
    <row r="210" spans="1:18" ht="15.75" customHeight="1" x14ac:dyDescent="0.25">
      <c r="A210" s="1" t="s">
        <v>88</v>
      </c>
      <c r="B210" s="1" t="s">
        <v>89</v>
      </c>
      <c r="C210" s="1" t="s">
        <v>385</v>
      </c>
      <c r="D210" s="1">
        <v>401</v>
      </c>
      <c r="E210" s="1">
        <v>401</v>
      </c>
      <c r="F210" s="12" t="str">
        <f t="shared" si="6"/>
        <v>Kardiovize_401</v>
      </c>
      <c r="G210" s="12" t="s">
        <v>28</v>
      </c>
      <c r="H210" s="1">
        <f t="shared" si="7"/>
        <v>1</v>
      </c>
      <c r="I210" s="1" t="s">
        <v>233</v>
      </c>
      <c r="J210" s="1">
        <v>70.2</v>
      </c>
      <c r="K210" s="7">
        <v>26</v>
      </c>
      <c r="L210" s="7">
        <v>3</v>
      </c>
      <c r="M210" s="7">
        <v>14</v>
      </c>
      <c r="N210" s="8">
        <v>0.73228499999999996</v>
      </c>
      <c r="O210" s="7">
        <v>0.15096899999999999</v>
      </c>
      <c r="P210" s="7">
        <v>0.16666700000000001</v>
      </c>
      <c r="Q210" s="7">
        <v>-5.5559999999999998E-2</v>
      </c>
      <c r="R210" s="7">
        <v>4</v>
      </c>
    </row>
    <row r="211" spans="1:18" ht="15.75" customHeight="1" x14ac:dyDescent="0.25">
      <c r="A211" s="1" t="s">
        <v>88</v>
      </c>
      <c r="B211" s="1" t="s">
        <v>89</v>
      </c>
      <c r="C211" s="1" t="s">
        <v>621</v>
      </c>
      <c r="D211" s="1">
        <v>409</v>
      </c>
      <c r="E211" s="1">
        <v>409</v>
      </c>
      <c r="F211" s="12" t="str">
        <f t="shared" si="6"/>
        <v>Kardiovize_409</v>
      </c>
      <c r="G211" s="12" t="s">
        <v>28</v>
      </c>
      <c r="H211" s="1">
        <f t="shared" si="7"/>
        <v>1</v>
      </c>
      <c r="I211" s="1" t="s">
        <v>21</v>
      </c>
      <c r="J211" s="1">
        <v>70.34</v>
      </c>
      <c r="K211" s="7">
        <v>27</v>
      </c>
      <c r="L211" s="7">
        <v>4</v>
      </c>
      <c r="M211" s="7">
        <v>18</v>
      </c>
      <c r="N211" s="8">
        <v>-0.48166999999999999</v>
      </c>
      <c r="O211" s="7">
        <v>0.54</v>
      </c>
      <c r="P211" s="7">
        <v>1.268</v>
      </c>
      <c r="Q211" s="7">
        <v>10.58333</v>
      </c>
      <c r="R211" s="7">
        <v>2</v>
      </c>
    </row>
    <row r="212" spans="1:18" ht="15.75" customHeight="1" x14ac:dyDescent="0.25">
      <c r="A212" s="1" t="s">
        <v>88</v>
      </c>
      <c r="B212" s="1" t="s">
        <v>89</v>
      </c>
      <c r="C212" s="1" t="s">
        <v>93</v>
      </c>
      <c r="D212" s="1">
        <v>417</v>
      </c>
      <c r="E212" s="1">
        <v>417</v>
      </c>
      <c r="F212" s="12" t="str">
        <f t="shared" si="6"/>
        <v>Kardiovize_417</v>
      </c>
      <c r="G212" s="12" t="s">
        <v>28</v>
      </c>
      <c r="H212" s="1">
        <f t="shared" si="7"/>
        <v>1</v>
      </c>
      <c r="I212" s="1" t="s">
        <v>21</v>
      </c>
      <c r="J212" s="1">
        <v>73.81</v>
      </c>
      <c r="K212" s="7">
        <v>22</v>
      </c>
      <c r="L212" s="7">
        <v>3</v>
      </c>
      <c r="M212" s="7">
        <v>15</v>
      </c>
      <c r="N212">
        <f>median!F$3</f>
        <v>-2.08</v>
      </c>
      <c r="O212" s="7">
        <v>-0.77219000000000004</v>
      </c>
      <c r="P212" s="7">
        <v>-0.5</v>
      </c>
      <c r="Q212" s="7">
        <v>-0.77778000000000003</v>
      </c>
      <c r="R212" s="7">
        <v>0</v>
      </c>
    </row>
    <row r="213" spans="1:18" ht="15.75" customHeight="1" x14ac:dyDescent="0.25">
      <c r="A213" s="1" t="s">
        <v>88</v>
      </c>
      <c r="B213" s="1" t="s">
        <v>89</v>
      </c>
      <c r="C213" s="1" t="s">
        <v>622</v>
      </c>
      <c r="D213" s="1">
        <v>442</v>
      </c>
      <c r="E213" s="1">
        <v>442</v>
      </c>
      <c r="F213" s="12" t="str">
        <f t="shared" si="6"/>
        <v>Kardiovize_442</v>
      </c>
      <c r="G213" s="12" t="s">
        <v>28</v>
      </c>
      <c r="H213" s="1">
        <f t="shared" si="7"/>
        <v>1</v>
      </c>
      <c r="I213" s="1" t="s">
        <v>233</v>
      </c>
      <c r="J213" s="1">
        <v>74.319999999999993</v>
      </c>
      <c r="K213" s="7">
        <v>25</v>
      </c>
      <c r="L213" s="7">
        <v>3</v>
      </c>
      <c r="M213" s="7">
        <v>15</v>
      </c>
      <c r="N213" s="8">
        <v>1.3859999999999999</v>
      </c>
      <c r="O213" s="7">
        <v>0.74199999999999999</v>
      </c>
      <c r="P213" s="7">
        <v>-0.24199999999999999</v>
      </c>
      <c r="Q213" s="7">
        <v>0.34699999999999998</v>
      </c>
      <c r="R213" s="7">
        <v>0</v>
      </c>
    </row>
    <row r="214" spans="1:18" ht="15.75" customHeight="1" x14ac:dyDescent="0.25">
      <c r="A214" s="1" t="s">
        <v>88</v>
      </c>
      <c r="B214" s="1" t="s">
        <v>89</v>
      </c>
      <c r="C214" s="1" t="s">
        <v>623</v>
      </c>
      <c r="D214" s="1">
        <v>445</v>
      </c>
      <c r="E214" s="1">
        <v>445</v>
      </c>
      <c r="F214" s="12" t="str">
        <f t="shared" si="6"/>
        <v>Kardiovize_445</v>
      </c>
      <c r="G214" s="12" t="s">
        <v>28</v>
      </c>
      <c r="H214" s="1">
        <f t="shared" si="7"/>
        <v>1</v>
      </c>
      <c r="I214" s="1" t="s">
        <v>391</v>
      </c>
      <c r="J214" s="1">
        <v>70.900000000000006</v>
      </c>
      <c r="K214">
        <f>median!C$3</f>
        <v>23</v>
      </c>
      <c r="L214" s="7">
        <v>4</v>
      </c>
      <c r="M214" s="7">
        <v>20</v>
      </c>
      <c r="N214" s="8">
        <v>1.165</v>
      </c>
      <c r="O214" s="7">
        <v>0.04</v>
      </c>
      <c r="P214" s="7">
        <v>-0.19400000000000001</v>
      </c>
      <c r="Q214" s="7">
        <v>-0.37833</v>
      </c>
      <c r="R214" s="7">
        <v>0</v>
      </c>
    </row>
    <row r="215" spans="1:18" ht="15.75" customHeight="1" x14ac:dyDescent="0.25">
      <c r="A215" s="1" t="s">
        <v>88</v>
      </c>
      <c r="B215" s="1" t="s">
        <v>89</v>
      </c>
      <c r="C215" s="1" t="s">
        <v>660</v>
      </c>
      <c r="D215" s="1">
        <v>45</v>
      </c>
      <c r="E215" s="1">
        <v>45</v>
      </c>
      <c r="F215" s="12" t="str">
        <f t="shared" si="6"/>
        <v>Kardiovize_45</v>
      </c>
      <c r="G215" s="12" t="s">
        <v>20</v>
      </c>
      <c r="H215" s="1">
        <f t="shared" si="7"/>
        <v>0</v>
      </c>
      <c r="I215" s="1" t="s">
        <v>233</v>
      </c>
      <c r="J215" s="1">
        <v>75.41</v>
      </c>
      <c r="K215">
        <f>median!C$3</f>
        <v>23</v>
      </c>
      <c r="L215">
        <f>median!D$3</f>
        <v>4</v>
      </c>
      <c r="M215">
        <f>median!E$3</f>
        <v>18</v>
      </c>
      <c r="N215" s="8">
        <v>-0.34899999999999998</v>
      </c>
      <c r="O215" s="7">
        <v>0.45800000000000002</v>
      </c>
      <c r="P215" s="7">
        <v>-0.125</v>
      </c>
      <c r="Q215" s="7">
        <v>-0.45300000000000001</v>
      </c>
      <c r="R215" s="7">
        <v>11</v>
      </c>
    </row>
    <row r="216" spans="1:18" ht="15.75" customHeight="1" x14ac:dyDescent="0.25">
      <c r="A216" s="1" t="s">
        <v>88</v>
      </c>
      <c r="B216" s="1" t="s">
        <v>89</v>
      </c>
      <c r="C216" s="1" t="s">
        <v>624</v>
      </c>
      <c r="D216" s="1">
        <v>46</v>
      </c>
      <c r="E216" s="1">
        <v>46</v>
      </c>
      <c r="F216" s="12" t="str">
        <f t="shared" si="6"/>
        <v>Kardiovize_46</v>
      </c>
      <c r="G216" s="12" t="s">
        <v>20</v>
      </c>
      <c r="H216" s="1">
        <f t="shared" si="7"/>
        <v>0</v>
      </c>
      <c r="I216" s="1" t="s">
        <v>233</v>
      </c>
      <c r="J216" s="1">
        <v>67.989999999999995</v>
      </c>
      <c r="K216" s="7">
        <v>28</v>
      </c>
      <c r="L216" s="7">
        <v>4</v>
      </c>
      <c r="M216" s="7">
        <v>18</v>
      </c>
      <c r="N216" s="8">
        <v>8.2000000000000003E-2</v>
      </c>
      <c r="O216" s="7">
        <v>0.625</v>
      </c>
      <c r="P216" s="7">
        <v>-0.217</v>
      </c>
      <c r="Q216" s="7">
        <v>0.04</v>
      </c>
      <c r="R216" s="7">
        <v>4</v>
      </c>
    </row>
    <row r="217" spans="1:18" ht="15.75" customHeight="1" x14ac:dyDescent="0.25">
      <c r="A217" s="1" t="s">
        <v>88</v>
      </c>
      <c r="B217" s="1" t="s">
        <v>89</v>
      </c>
      <c r="C217" s="1" t="s">
        <v>94</v>
      </c>
      <c r="D217" s="1">
        <v>482</v>
      </c>
      <c r="E217" s="1">
        <v>482</v>
      </c>
      <c r="F217" s="12" t="str">
        <f t="shared" si="6"/>
        <v>Kardiovize_482</v>
      </c>
      <c r="G217" s="12" t="s">
        <v>20</v>
      </c>
      <c r="H217" s="1">
        <f t="shared" si="7"/>
        <v>0</v>
      </c>
      <c r="I217" s="1" t="s">
        <v>21</v>
      </c>
      <c r="J217" s="1">
        <v>69.22</v>
      </c>
      <c r="K217" s="7">
        <v>25</v>
      </c>
      <c r="L217" s="7">
        <v>2</v>
      </c>
      <c r="M217" s="7">
        <v>12</v>
      </c>
      <c r="N217" s="8">
        <v>4.8591000000000002E-2</v>
      </c>
      <c r="O217" s="7">
        <v>1.080319</v>
      </c>
      <c r="P217" s="7">
        <v>0.33333299999999999</v>
      </c>
      <c r="Q217" s="7">
        <v>-0.33333000000000002</v>
      </c>
      <c r="R217" s="7">
        <v>5</v>
      </c>
    </row>
    <row r="218" spans="1:18" ht="15.75" customHeight="1" x14ac:dyDescent="0.25">
      <c r="A218" s="1" t="s">
        <v>88</v>
      </c>
      <c r="B218" s="1" t="s">
        <v>89</v>
      </c>
      <c r="C218" s="1" t="s">
        <v>625</v>
      </c>
      <c r="D218" s="1">
        <v>50</v>
      </c>
      <c r="E218" s="1">
        <v>50</v>
      </c>
      <c r="F218" s="12" t="str">
        <f t="shared" si="6"/>
        <v>Kardiovize_50</v>
      </c>
      <c r="G218" s="12" t="s">
        <v>20</v>
      </c>
      <c r="H218" s="1">
        <f t="shared" si="7"/>
        <v>0</v>
      </c>
      <c r="I218" s="1" t="s">
        <v>233</v>
      </c>
      <c r="J218" s="1">
        <v>64.58</v>
      </c>
      <c r="K218" s="7">
        <v>25</v>
      </c>
      <c r="L218" s="7">
        <v>4</v>
      </c>
      <c r="M218" s="7">
        <v>18</v>
      </c>
      <c r="N218" s="8">
        <v>0.57166700000000004</v>
      </c>
      <c r="O218" s="7">
        <v>0.15096899999999999</v>
      </c>
      <c r="P218" s="7">
        <v>-0.67</v>
      </c>
      <c r="Q218" s="7">
        <v>0.276667</v>
      </c>
      <c r="R218" s="7">
        <v>0</v>
      </c>
    </row>
    <row r="219" spans="1:18" ht="15.75" customHeight="1" x14ac:dyDescent="0.25">
      <c r="A219" s="1" t="s">
        <v>88</v>
      </c>
      <c r="B219" s="1" t="s">
        <v>89</v>
      </c>
      <c r="C219" s="1" t="s">
        <v>95</v>
      </c>
      <c r="D219" s="1">
        <v>505</v>
      </c>
      <c r="E219" s="1">
        <v>505</v>
      </c>
      <c r="F219" s="12" t="str">
        <f t="shared" si="6"/>
        <v>Kardiovize_505</v>
      </c>
      <c r="G219" s="12" t="s">
        <v>28</v>
      </c>
      <c r="H219" s="1">
        <f t="shared" si="7"/>
        <v>1</v>
      </c>
      <c r="I219" s="1" t="s">
        <v>21</v>
      </c>
      <c r="J219" s="1">
        <v>70.790000000000006</v>
      </c>
      <c r="K219" s="7">
        <v>25</v>
      </c>
      <c r="L219" s="7">
        <v>2</v>
      </c>
      <c r="M219" s="7">
        <v>17</v>
      </c>
      <c r="N219" s="8">
        <v>-1.0224299999999999</v>
      </c>
      <c r="O219" s="7">
        <v>0.15096899999999999</v>
      </c>
      <c r="P219" s="7">
        <v>-0.16667000000000001</v>
      </c>
      <c r="Q219" s="7">
        <v>0.66666700000000001</v>
      </c>
      <c r="R219" s="7">
        <v>1</v>
      </c>
    </row>
    <row r="220" spans="1:18" ht="15.75" customHeight="1" x14ac:dyDescent="0.25">
      <c r="A220" s="1" t="s">
        <v>88</v>
      </c>
      <c r="B220" s="1" t="s">
        <v>89</v>
      </c>
      <c r="C220" s="1" t="s">
        <v>522</v>
      </c>
      <c r="D220" s="1">
        <v>506</v>
      </c>
      <c r="E220" s="1">
        <v>506</v>
      </c>
      <c r="F220" s="12" t="str">
        <f t="shared" si="6"/>
        <v>Kardiovize_506</v>
      </c>
      <c r="G220" s="12" t="s">
        <v>28</v>
      </c>
      <c r="H220" s="1">
        <f t="shared" si="7"/>
        <v>1</v>
      </c>
      <c r="I220" s="1" t="s">
        <v>391</v>
      </c>
      <c r="J220" s="1">
        <v>68.97</v>
      </c>
      <c r="K220" s="7">
        <v>23</v>
      </c>
      <c r="L220" s="7">
        <v>4</v>
      </c>
      <c r="M220" s="7">
        <v>18</v>
      </c>
      <c r="N220" s="8">
        <v>0.35131000000000001</v>
      </c>
      <c r="O220" s="7">
        <v>0.58284199999999997</v>
      </c>
      <c r="P220" s="7">
        <v>0.33333299999999999</v>
      </c>
      <c r="Q220" s="7">
        <v>0.55555600000000005</v>
      </c>
      <c r="R220" s="7">
        <v>2</v>
      </c>
    </row>
    <row r="221" spans="1:18" ht="15.75" customHeight="1" x14ac:dyDescent="0.25">
      <c r="A221" s="1" t="s">
        <v>88</v>
      </c>
      <c r="B221" s="1" t="s">
        <v>89</v>
      </c>
      <c r="C221" s="1" t="s">
        <v>386</v>
      </c>
      <c r="D221" s="1">
        <v>507</v>
      </c>
      <c r="E221" s="1">
        <v>507</v>
      </c>
      <c r="F221" s="12" t="str">
        <f t="shared" si="6"/>
        <v>Kardiovize_507</v>
      </c>
      <c r="G221" s="12" t="s">
        <v>20</v>
      </c>
      <c r="H221" s="1">
        <f t="shared" si="7"/>
        <v>0</v>
      </c>
      <c r="I221" s="1" t="s">
        <v>233</v>
      </c>
      <c r="J221" s="1">
        <v>65.010000000000005</v>
      </c>
      <c r="K221" s="7">
        <v>23</v>
      </c>
      <c r="L221" s="7">
        <v>2</v>
      </c>
      <c r="M221" s="7">
        <v>12</v>
      </c>
      <c r="N221" s="8">
        <v>0.46928700000000001</v>
      </c>
      <c r="O221" s="7">
        <v>0.15096899999999999</v>
      </c>
      <c r="P221" s="7">
        <v>-0.5</v>
      </c>
      <c r="Q221" s="7">
        <v>0.111111</v>
      </c>
      <c r="R221" s="7">
        <v>0</v>
      </c>
    </row>
    <row r="222" spans="1:18" ht="15.75" customHeight="1" x14ac:dyDescent="0.25">
      <c r="A222" s="1" t="s">
        <v>88</v>
      </c>
      <c r="B222" s="1" t="s">
        <v>89</v>
      </c>
      <c r="C222" s="1" t="s">
        <v>626</v>
      </c>
      <c r="D222" s="1">
        <v>52</v>
      </c>
      <c r="E222" s="1">
        <v>52</v>
      </c>
      <c r="F222" s="12" t="str">
        <f t="shared" si="6"/>
        <v>Kardiovize_52</v>
      </c>
      <c r="G222" s="12" t="s">
        <v>28</v>
      </c>
      <c r="H222" s="1">
        <f t="shared" si="7"/>
        <v>1</v>
      </c>
      <c r="I222" s="1" t="s">
        <v>21</v>
      </c>
      <c r="J222">
        <f>median!B$3</f>
        <v>74.165639970000001</v>
      </c>
      <c r="K222" s="7">
        <v>24</v>
      </c>
      <c r="L222" s="7">
        <v>2</v>
      </c>
      <c r="M222" s="7">
        <v>12</v>
      </c>
      <c r="N222" s="8">
        <v>-0.51736000000000004</v>
      </c>
      <c r="O222" s="7">
        <v>-1.7506900000000001</v>
      </c>
      <c r="P222" s="7">
        <v>-1.1666700000000001</v>
      </c>
      <c r="Q222" s="7">
        <v>-1.11111</v>
      </c>
      <c r="R222" s="7">
        <v>1</v>
      </c>
    </row>
    <row r="223" spans="1:18" ht="15.75" customHeight="1" x14ac:dyDescent="0.25">
      <c r="A223" s="1" t="s">
        <v>88</v>
      </c>
      <c r="B223" s="1" t="s">
        <v>89</v>
      </c>
      <c r="C223" s="1" t="s">
        <v>627</v>
      </c>
      <c r="D223" s="1">
        <v>53</v>
      </c>
      <c r="E223" s="1">
        <v>53</v>
      </c>
      <c r="F223" s="12" t="str">
        <f t="shared" si="6"/>
        <v>Kardiovize_53</v>
      </c>
      <c r="G223" s="13" t="s">
        <v>28</v>
      </c>
      <c r="H223" s="1">
        <f t="shared" si="7"/>
        <v>1</v>
      </c>
      <c r="I223" s="1" t="s">
        <v>233</v>
      </c>
      <c r="J223">
        <f>median!B$3</f>
        <v>74.165639970000001</v>
      </c>
      <c r="K223">
        <f>median!C$3</f>
        <v>23</v>
      </c>
      <c r="L223">
        <f>median!D$3</f>
        <v>4</v>
      </c>
      <c r="M223" s="7">
        <v>15</v>
      </c>
      <c r="N223" s="8">
        <v>1.405</v>
      </c>
      <c r="O223" s="7">
        <v>-0.125</v>
      </c>
      <c r="P223" s="7">
        <v>0.29399999999999998</v>
      </c>
      <c r="Q223" s="7">
        <v>-1.67E-3</v>
      </c>
      <c r="R223" s="7">
        <v>1</v>
      </c>
    </row>
    <row r="224" spans="1:18" ht="15.75" customHeight="1" x14ac:dyDescent="0.25">
      <c r="A224" s="1" t="s">
        <v>88</v>
      </c>
      <c r="B224" s="1" t="s">
        <v>89</v>
      </c>
      <c r="C224" s="1" t="s">
        <v>381</v>
      </c>
      <c r="D224" s="1">
        <v>548</v>
      </c>
      <c r="E224" s="1">
        <v>548</v>
      </c>
      <c r="F224" s="12" t="str">
        <f t="shared" si="6"/>
        <v>Kardiovize_548</v>
      </c>
      <c r="G224" s="12" t="s">
        <v>28</v>
      </c>
      <c r="H224" s="1">
        <f t="shared" si="7"/>
        <v>1</v>
      </c>
      <c r="I224" s="1" t="s">
        <v>233</v>
      </c>
      <c r="J224" s="1">
        <v>63.58</v>
      </c>
      <c r="K224" s="7">
        <v>26</v>
      </c>
      <c r="L224" s="7">
        <v>4</v>
      </c>
      <c r="M224" s="7">
        <v>18</v>
      </c>
      <c r="N224" s="8">
        <v>1.2276309999999999</v>
      </c>
      <c r="O224" s="7">
        <v>0.15096899999999999</v>
      </c>
      <c r="P224" s="7">
        <v>1.1666669999999999</v>
      </c>
      <c r="Q224" s="7">
        <v>1.2777780000000001</v>
      </c>
      <c r="R224" s="7">
        <v>5</v>
      </c>
    </row>
    <row r="225" spans="1:18" ht="15.75" customHeight="1" x14ac:dyDescent="0.25">
      <c r="A225" s="1" t="s">
        <v>88</v>
      </c>
      <c r="B225" s="1" t="s">
        <v>89</v>
      </c>
      <c r="C225" s="1" t="s">
        <v>628</v>
      </c>
      <c r="D225" s="1">
        <v>584</v>
      </c>
      <c r="E225" s="1">
        <v>584</v>
      </c>
      <c r="F225" s="12" t="str">
        <f t="shared" si="6"/>
        <v>Kardiovize_584</v>
      </c>
      <c r="G225" s="12" t="s">
        <v>20</v>
      </c>
      <c r="H225" s="1">
        <f t="shared" si="7"/>
        <v>0</v>
      </c>
      <c r="I225" s="1" t="s">
        <v>233</v>
      </c>
      <c r="J225" s="1">
        <v>75.86</v>
      </c>
      <c r="K225" s="7">
        <v>30</v>
      </c>
      <c r="L225" s="7">
        <v>4</v>
      </c>
      <c r="M225" s="7">
        <v>18</v>
      </c>
      <c r="N225" s="8">
        <v>0.67500000000000004</v>
      </c>
      <c r="O225" s="7">
        <v>1.2050000000000001</v>
      </c>
      <c r="P225" s="7">
        <v>1.546</v>
      </c>
      <c r="Q225" s="7">
        <v>1.2383329999999999</v>
      </c>
      <c r="R225" s="7">
        <v>5</v>
      </c>
    </row>
    <row r="226" spans="1:18" ht="15.75" customHeight="1" x14ac:dyDescent="0.25">
      <c r="A226" s="1" t="s">
        <v>88</v>
      </c>
      <c r="B226" s="1" t="s">
        <v>89</v>
      </c>
      <c r="C226" s="1" t="s">
        <v>382</v>
      </c>
      <c r="D226" s="1">
        <v>618</v>
      </c>
      <c r="E226" s="1">
        <v>618</v>
      </c>
      <c r="F226" s="12" t="str">
        <f t="shared" si="6"/>
        <v>Kardiovize_618</v>
      </c>
      <c r="G226" s="12" t="s">
        <v>20</v>
      </c>
      <c r="H226" s="1">
        <f t="shared" si="7"/>
        <v>0</v>
      </c>
      <c r="I226" s="1" t="s">
        <v>233</v>
      </c>
      <c r="J226" s="1">
        <v>63.26</v>
      </c>
      <c r="K226" s="7">
        <v>26</v>
      </c>
      <c r="L226" s="7">
        <v>4</v>
      </c>
      <c r="M226" s="7">
        <v>18</v>
      </c>
      <c r="N226" s="8">
        <v>-0.19739000000000001</v>
      </c>
      <c r="O226" s="7">
        <v>1.080319</v>
      </c>
      <c r="P226" s="7">
        <v>0.5</v>
      </c>
      <c r="Q226" s="7">
        <v>-0.11111</v>
      </c>
      <c r="R226" s="7">
        <v>3</v>
      </c>
    </row>
    <row r="227" spans="1:18" ht="15.75" customHeight="1" x14ac:dyDescent="0.25">
      <c r="A227" s="1" t="s">
        <v>88</v>
      </c>
      <c r="B227" s="1" t="s">
        <v>89</v>
      </c>
      <c r="C227" s="1" t="s">
        <v>629</v>
      </c>
      <c r="D227" s="1">
        <v>630</v>
      </c>
      <c r="E227" s="1">
        <v>630</v>
      </c>
      <c r="F227" s="12" t="str">
        <f t="shared" si="6"/>
        <v>Kardiovize_630</v>
      </c>
      <c r="G227" s="12" t="s">
        <v>28</v>
      </c>
      <c r="H227" s="1">
        <f t="shared" si="7"/>
        <v>1</v>
      </c>
      <c r="I227" s="1" t="s">
        <v>233</v>
      </c>
      <c r="J227" s="1">
        <v>64.459999999999994</v>
      </c>
      <c r="K227" s="7">
        <v>28</v>
      </c>
      <c r="L227" s="7">
        <v>4</v>
      </c>
      <c r="M227" s="7">
        <v>17</v>
      </c>
      <c r="N227" s="8">
        <v>0.56666700000000003</v>
      </c>
      <c r="O227" s="7">
        <v>-0.22</v>
      </c>
      <c r="P227" s="7">
        <v>0.66</v>
      </c>
      <c r="Q227" s="7">
        <v>0.58333299999999999</v>
      </c>
      <c r="R227" s="7">
        <v>9</v>
      </c>
    </row>
    <row r="228" spans="1:18" ht="15.75" customHeight="1" x14ac:dyDescent="0.25">
      <c r="A228" s="1" t="s">
        <v>88</v>
      </c>
      <c r="B228" s="1" t="s">
        <v>89</v>
      </c>
      <c r="C228" s="1" t="s">
        <v>630</v>
      </c>
      <c r="D228" s="1">
        <v>631</v>
      </c>
      <c r="E228" s="1">
        <v>631</v>
      </c>
      <c r="F228" s="12" t="str">
        <f t="shared" si="6"/>
        <v>Kardiovize_631</v>
      </c>
      <c r="G228" s="12" t="s">
        <v>20</v>
      </c>
      <c r="H228" s="1">
        <f t="shared" si="7"/>
        <v>0</v>
      </c>
      <c r="I228" s="1" t="s">
        <v>21</v>
      </c>
      <c r="J228" s="1">
        <v>64.23</v>
      </c>
      <c r="K228" s="7">
        <v>25</v>
      </c>
      <c r="L228" s="7">
        <v>4</v>
      </c>
      <c r="M228" s="7">
        <v>18</v>
      </c>
      <c r="N228" s="8">
        <v>-0.77832999999999997</v>
      </c>
      <c r="O228" s="7">
        <v>0.54</v>
      </c>
      <c r="P228" s="7">
        <v>-0.12</v>
      </c>
      <c r="Q228" s="7">
        <v>-0.32833000000000001</v>
      </c>
      <c r="R228" s="7">
        <v>4</v>
      </c>
    </row>
    <row r="229" spans="1:18" ht="15.75" customHeight="1" x14ac:dyDescent="0.25">
      <c r="A229" s="1" t="s">
        <v>88</v>
      </c>
      <c r="B229" s="1" t="s">
        <v>89</v>
      </c>
      <c r="C229" s="1" t="s">
        <v>631</v>
      </c>
      <c r="D229" s="1">
        <v>650</v>
      </c>
      <c r="E229" s="1">
        <v>650</v>
      </c>
      <c r="F229" s="12" t="str">
        <f t="shared" si="6"/>
        <v>Kardiovize_650</v>
      </c>
      <c r="G229" s="12" t="s">
        <v>20</v>
      </c>
      <c r="H229" s="1">
        <f t="shared" si="7"/>
        <v>0</v>
      </c>
      <c r="I229" s="1" t="s">
        <v>233</v>
      </c>
      <c r="J229" s="1">
        <v>73.95</v>
      </c>
      <c r="K229" s="7">
        <v>25</v>
      </c>
      <c r="L229" s="7">
        <v>3</v>
      </c>
      <c r="M229" s="7">
        <v>13</v>
      </c>
      <c r="N229" s="8">
        <v>0.333088</v>
      </c>
      <c r="O229" s="7">
        <v>-1.34076</v>
      </c>
      <c r="P229" s="7">
        <v>-0.16667000000000001</v>
      </c>
      <c r="Q229" s="7">
        <v>-0.16667000000000001</v>
      </c>
      <c r="R229" s="7">
        <v>2</v>
      </c>
    </row>
    <row r="230" spans="1:18" ht="15.75" customHeight="1" x14ac:dyDescent="0.25">
      <c r="A230" s="1" t="s">
        <v>88</v>
      </c>
      <c r="B230" s="1" t="s">
        <v>89</v>
      </c>
      <c r="C230" s="1" t="s">
        <v>661</v>
      </c>
      <c r="D230" s="1">
        <v>680</v>
      </c>
      <c r="E230" s="1">
        <v>680</v>
      </c>
      <c r="F230" s="12" t="str">
        <f t="shared" si="6"/>
        <v>Kardiovize_680</v>
      </c>
      <c r="G230" s="12" t="s">
        <v>20</v>
      </c>
      <c r="H230" s="1">
        <f t="shared" si="7"/>
        <v>0</v>
      </c>
      <c r="I230" s="1" t="s">
        <v>233</v>
      </c>
      <c r="J230" s="1">
        <v>64.67</v>
      </c>
      <c r="K230">
        <f>median!C$3</f>
        <v>23</v>
      </c>
      <c r="L230">
        <f>median!D$3</f>
        <v>4</v>
      </c>
      <c r="M230" s="7">
        <v>13</v>
      </c>
      <c r="N230" s="8">
        <v>-9.3329999999999996E-2</v>
      </c>
      <c r="O230" s="7">
        <v>0.45500000000000002</v>
      </c>
      <c r="P230" s="7">
        <v>0.308</v>
      </c>
      <c r="Q230" s="7">
        <v>0.216667</v>
      </c>
      <c r="R230" s="7">
        <v>2</v>
      </c>
    </row>
    <row r="231" spans="1:18" ht="15.75" customHeight="1" x14ac:dyDescent="0.25">
      <c r="A231" s="1" t="s">
        <v>88</v>
      </c>
      <c r="B231" s="1" t="s">
        <v>89</v>
      </c>
      <c r="C231" s="1" t="s">
        <v>96</v>
      </c>
      <c r="D231" s="1">
        <v>709</v>
      </c>
      <c r="E231" s="1">
        <v>709</v>
      </c>
      <c r="F231" s="12" t="str">
        <f t="shared" si="6"/>
        <v>Kardiovize_709</v>
      </c>
      <c r="G231" s="12" t="s">
        <v>20</v>
      </c>
      <c r="H231" s="1">
        <f t="shared" si="7"/>
        <v>0</v>
      </c>
      <c r="I231" s="1" t="s">
        <v>21</v>
      </c>
      <c r="J231" s="1">
        <v>71.8</v>
      </c>
      <c r="K231" s="7">
        <v>21</v>
      </c>
      <c r="L231" s="7">
        <v>2</v>
      </c>
      <c r="M231" s="7">
        <v>12</v>
      </c>
      <c r="N231" s="8">
        <v>-0.65171999999999997</v>
      </c>
      <c r="O231" s="7">
        <v>0.15096899999999999</v>
      </c>
      <c r="P231" s="7">
        <v>-1.1666700000000001</v>
      </c>
      <c r="Q231" s="7">
        <v>-1.7222200000000001</v>
      </c>
      <c r="R231" s="7">
        <v>3</v>
      </c>
    </row>
    <row r="232" spans="1:18" ht="15.75" customHeight="1" x14ac:dyDescent="0.25">
      <c r="A232" s="1" t="s">
        <v>88</v>
      </c>
      <c r="B232" s="1" t="s">
        <v>89</v>
      </c>
      <c r="C232" s="1" t="s">
        <v>632</v>
      </c>
      <c r="D232" s="1">
        <v>716</v>
      </c>
      <c r="E232" s="1">
        <v>716</v>
      </c>
      <c r="F232" s="12" t="str">
        <f t="shared" si="6"/>
        <v>Kardiovize_716</v>
      </c>
      <c r="G232" s="12" t="s">
        <v>20</v>
      </c>
      <c r="H232" s="1">
        <f t="shared" si="7"/>
        <v>0</v>
      </c>
      <c r="I232" s="1" t="s">
        <v>233</v>
      </c>
      <c r="J232">
        <f>median!B$3</f>
        <v>74.165639970000001</v>
      </c>
      <c r="K232">
        <f>median!C$3</f>
        <v>23</v>
      </c>
      <c r="L232">
        <f>median!D$3</f>
        <v>4</v>
      </c>
      <c r="M232">
        <f>median!E$3</f>
        <v>18</v>
      </c>
      <c r="N232" s="8">
        <v>-5.3330000000000002E-2</v>
      </c>
      <c r="O232" s="7">
        <v>-5.0000000000000001E-3</v>
      </c>
      <c r="P232" s="7">
        <v>-0.14599999999999999</v>
      </c>
      <c r="Q232" s="7">
        <v>-0.1</v>
      </c>
      <c r="R232" s="7">
        <v>5</v>
      </c>
    </row>
    <row r="233" spans="1:18" ht="15.75" customHeight="1" x14ac:dyDescent="0.25">
      <c r="A233" s="1" t="s">
        <v>88</v>
      </c>
      <c r="B233" s="1" t="s">
        <v>89</v>
      </c>
      <c r="C233" s="1" t="s">
        <v>633</v>
      </c>
      <c r="D233" s="1">
        <v>726</v>
      </c>
      <c r="E233" s="1">
        <v>726</v>
      </c>
      <c r="F233" s="12" t="str">
        <f t="shared" si="6"/>
        <v>Kardiovize_726</v>
      </c>
      <c r="G233" s="12" t="s">
        <v>20</v>
      </c>
      <c r="H233" s="1">
        <f t="shared" si="7"/>
        <v>0</v>
      </c>
      <c r="I233" s="1" t="s">
        <v>233</v>
      </c>
      <c r="J233" s="1">
        <v>72.22</v>
      </c>
      <c r="K233" s="7">
        <v>25</v>
      </c>
      <c r="L233" s="7">
        <v>4</v>
      </c>
      <c r="M233" s="7">
        <v>18</v>
      </c>
      <c r="N233" s="8">
        <v>0.11666700000000001</v>
      </c>
      <c r="O233" s="7">
        <v>0.875</v>
      </c>
      <c r="P233" s="7">
        <v>0.27200000000000002</v>
      </c>
      <c r="Q233" s="7">
        <v>1.101667</v>
      </c>
      <c r="R233" s="7">
        <v>2</v>
      </c>
    </row>
    <row r="234" spans="1:18" ht="15.75" customHeight="1" x14ac:dyDescent="0.25">
      <c r="A234" s="1" t="s">
        <v>88</v>
      </c>
      <c r="B234" s="1" t="s">
        <v>89</v>
      </c>
      <c r="C234" s="1" t="s">
        <v>634</v>
      </c>
      <c r="D234" s="1">
        <v>733</v>
      </c>
      <c r="E234" s="1">
        <v>733</v>
      </c>
      <c r="F234" s="12" t="str">
        <f t="shared" si="6"/>
        <v>Kardiovize_733</v>
      </c>
      <c r="G234" s="12" t="s">
        <v>20</v>
      </c>
      <c r="H234" s="1">
        <f t="shared" si="7"/>
        <v>0</v>
      </c>
      <c r="I234" s="1" t="s">
        <v>233</v>
      </c>
      <c r="J234" s="1">
        <v>73.459999999999994</v>
      </c>
      <c r="K234" s="7">
        <v>28</v>
      </c>
      <c r="L234" s="7">
        <v>3</v>
      </c>
      <c r="M234" s="7">
        <v>12</v>
      </c>
      <c r="N234" s="8">
        <v>0.44500000000000001</v>
      </c>
      <c r="O234" s="7">
        <v>0.04</v>
      </c>
      <c r="P234" s="7">
        <v>-0.56599999999999995</v>
      </c>
      <c r="Q234" s="7">
        <v>-5.5E-2</v>
      </c>
      <c r="R234" s="7">
        <v>7</v>
      </c>
    </row>
    <row r="235" spans="1:18" ht="15.75" customHeight="1" x14ac:dyDescent="0.25">
      <c r="A235" s="1" t="s">
        <v>88</v>
      </c>
      <c r="B235" s="1" t="s">
        <v>89</v>
      </c>
      <c r="C235" s="1" t="s">
        <v>97</v>
      </c>
      <c r="D235" s="1">
        <v>767</v>
      </c>
      <c r="E235" s="1">
        <v>767</v>
      </c>
      <c r="F235" s="12" t="str">
        <f t="shared" si="6"/>
        <v>Kardiovize_767</v>
      </c>
      <c r="G235" s="12" t="s">
        <v>28</v>
      </c>
      <c r="H235" s="1">
        <f t="shared" si="7"/>
        <v>1</v>
      </c>
      <c r="I235" s="1" t="s">
        <v>21</v>
      </c>
      <c r="J235" s="1">
        <v>62.4</v>
      </c>
      <c r="K235" s="7">
        <v>21</v>
      </c>
      <c r="L235" s="7">
        <v>2</v>
      </c>
      <c r="M235" s="7">
        <v>12</v>
      </c>
      <c r="N235" s="8">
        <v>-0.90610999999999997</v>
      </c>
      <c r="O235" s="7">
        <v>0.15096899999999999</v>
      </c>
      <c r="P235" s="7">
        <v>-1</v>
      </c>
      <c r="Q235" s="7">
        <v>-0.44444</v>
      </c>
      <c r="R235" s="7">
        <v>6</v>
      </c>
    </row>
    <row r="236" spans="1:18" ht="15.75" customHeight="1" x14ac:dyDescent="0.25">
      <c r="A236" s="1" t="s">
        <v>88</v>
      </c>
      <c r="B236" s="1" t="s">
        <v>89</v>
      </c>
      <c r="C236" s="1" t="s">
        <v>635</v>
      </c>
      <c r="D236" s="1">
        <v>777</v>
      </c>
      <c r="E236" s="1">
        <v>777</v>
      </c>
      <c r="F236" s="12" t="str">
        <f t="shared" si="6"/>
        <v>Kardiovize_777</v>
      </c>
      <c r="G236" s="12" t="s">
        <v>20</v>
      </c>
      <c r="H236" s="1">
        <f t="shared" si="7"/>
        <v>0</v>
      </c>
      <c r="I236" s="1" t="s">
        <v>21</v>
      </c>
      <c r="J236">
        <f>median!B$3</f>
        <v>74.165639970000001</v>
      </c>
      <c r="K236">
        <f>median!C$3</f>
        <v>23</v>
      </c>
      <c r="L236" s="7">
        <v>4</v>
      </c>
      <c r="M236" s="7">
        <v>18</v>
      </c>
      <c r="N236" s="8">
        <v>0.31166700000000003</v>
      </c>
      <c r="O236" s="7">
        <v>0.28999999999999998</v>
      </c>
      <c r="P236" s="7">
        <v>0.54</v>
      </c>
      <c r="Q236" s="7">
        <v>-0.44333</v>
      </c>
      <c r="R236" s="7">
        <v>5</v>
      </c>
    </row>
    <row r="237" spans="1:18" ht="15.75" customHeight="1" x14ac:dyDescent="0.25">
      <c r="A237" s="1" t="s">
        <v>88</v>
      </c>
      <c r="B237" s="1" t="s">
        <v>89</v>
      </c>
      <c r="C237" s="1" t="s">
        <v>636</v>
      </c>
      <c r="D237" s="1">
        <v>78</v>
      </c>
      <c r="E237" s="1">
        <v>78</v>
      </c>
      <c r="F237" s="12" t="str">
        <f t="shared" si="6"/>
        <v>Kardiovize_78</v>
      </c>
      <c r="G237" s="12" t="s">
        <v>20</v>
      </c>
      <c r="H237" s="1">
        <f t="shared" si="7"/>
        <v>0</v>
      </c>
      <c r="I237" s="1" t="s">
        <v>233</v>
      </c>
      <c r="J237" s="1">
        <v>73.91</v>
      </c>
      <c r="K237" s="7">
        <v>22</v>
      </c>
      <c r="L237" s="7">
        <v>3</v>
      </c>
      <c r="M237" s="7">
        <v>16</v>
      </c>
      <c r="N237" s="8">
        <v>1.0830839999999999</v>
      </c>
      <c r="O237" s="7">
        <v>-0.25335000000000002</v>
      </c>
      <c r="P237" s="7">
        <v>-0.33333000000000002</v>
      </c>
      <c r="Q237" s="7">
        <v>0.33333299999999999</v>
      </c>
      <c r="R237" s="7">
        <v>0</v>
      </c>
    </row>
    <row r="238" spans="1:18" ht="15.75" customHeight="1" x14ac:dyDescent="0.25">
      <c r="A238" s="1" t="s">
        <v>88</v>
      </c>
      <c r="B238" s="1" t="s">
        <v>89</v>
      </c>
      <c r="C238" s="1" t="s">
        <v>387</v>
      </c>
      <c r="D238" s="1">
        <v>803</v>
      </c>
      <c r="E238" s="1">
        <v>803</v>
      </c>
      <c r="F238" s="12" t="str">
        <f t="shared" si="6"/>
        <v>Kardiovize_803</v>
      </c>
      <c r="G238" s="12" t="s">
        <v>20</v>
      </c>
      <c r="H238" s="1">
        <f t="shared" si="7"/>
        <v>0</v>
      </c>
      <c r="I238" s="1" t="s">
        <v>233</v>
      </c>
      <c r="J238" s="1">
        <v>74.290000000000006</v>
      </c>
      <c r="K238" s="7">
        <v>26</v>
      </c>
      <c r="L238" s="7">
        <v>4</v>
      </c>
      <c r="M238" s="7">
        <v>18</v>
      </c>
      <c r="N238" s="8">
        <v>-0.27892</v>
      </c>
      <c r="O238" s="7">
        <v>0.58284199999999997</v>
      </c>
      <c r="P238" s="7">
        <v>0.5</v>
      </c>
      <c r="Q238" s="7">
        <v>-5.5559999999999998E-2</v>
      </c>
      <c r="R238" s="7">
        <v>4</v>
      </c>
    </row>
    <row r="239" spans="1:18" ht="15.75" customHeight="1" x14ac:dyDescent="0.25">
      <c r="A239" s="1" t="s">
        <v>88</v>
      </c>
      <c r="B239" s="1" t="s">
        <v>89</v>
      </c>
      <c r="C239" s="1" t="s">
        <v>637</v>
      </c>
      <c r="D239" s="1">
        <v>806</v>
      </c>
      <c r="E239" s="1">
        <v>806</v>
      </c>
      <c r="F239" s="12" t="str">
        <f t="shared" si="6"/>
        <v>Kardiovize_806</v>
      </c>
      <c r="G239" s="12" t="s">
        <v>28</v>
      </c>
      <c r="H239" s="1">
        <f t="shared" si="7"/>
        <v>1</v>
      </c>
      <c r="I239" s="1" t="s">
        <v>233</v>
      </c>
      <c r="J239" s="1">
        <v>65.569999999999993</v>
      </c>
      <c r="K239" s="7">
        <v>29</v>
      </c>
      <c r="L239" s="7">
        <v>4</v>
      </c>
      <c r="M239" s="7">
        <v>17</v>
      </c>
      <c r="N239" s="8">
        <v>1.52833</v>
      </c>
      <c r="O239" s="7">
        <v>-0.25335000000000002</v>
      </c>
      <c r="P239" s="7">
        <v>-0.33333000000000002</v>
      </c>
      <c r="Q239" s="7">
        <v>0.19</v>
      </c>
      <c r="R239" s="7">
        <v>2</v>
      </c>
    </row>
    <row r="240" spans="1:18" ht="15.75" customHeight="1" x14ac:dyDescent="0.25">
      <c r="A240" s="1" t="s">
        <v>88</v>
      </c>
      <c r="B240" s="1" t="s">
        <v>89</v>
      </c>
      <c r="C240" s="1" t="s">
        <v>638</v>
      </c>
      <c r="D240" s="1">
        <v>81</v>
      </c>
      <c r="E240" s="1">
        <v>81</v>
      </c>
      <c r="F240" s="12" t="str">
        <f t="shared" si="6"/>
        <v>Kardiovize_81</v>
      </c>
      <c r="G240" s="12" t="s">
        <v>28</v>
      </c>
      <c r="H240" s="1">
        <f t="shared" si="7"/>
        <v>1</v>
      </c>
      <c r="I240" s="1" t="s">
        <v>391</v>
      </c>
      <c r="J240" s="1">
        <v>69.760000000000005</v>
      </c>
      <c r="K240" s="7">
        <v>24</v>
      </c>
      <c r="L240" s="7">
        <v>3</v>
      </c>
      <c r="M240" s="7">
        <v>14</v>
      </c>
      <c r="N240" s="8">
        <v>-0.79666999999999999</v>
      </c>
      <c r="O240" s="7">
        <v>0.28999999999999998</v>
      </c>
      <c r="P240" s="7">
        <v>0.24199999999999999</v>
      </c>
      <c r="Q240" s="7">
        <v>-0.17666999999999999</v>
      </c>
      <c r="R240" s="7">
        <v>1</v>
      </c>
    </row>
    <row r="241" spans="1:18" ht="15.75" customHeight="1" x14ac:dyDescent="0.25">
      <c r="A241" s="1" t="s">
        <v>88</v>
      </c>
      <c r="B241" s="1" t="s">
        <v>89</v>
      </c>
      <c r="C241" s="1" t="s">
        <v>639</v>
      </c>
      <c r="D241" s="1">
        <v>821</v>
      </c>
      <c r="E241" s="1">
        <v>821</v>
      </c>
      <c r="F241" s="12" t="str">
        <f t="shared" si="6"/>
        <v>Kardiovize_821</v>
      </c>
      <c r="G241" s="12" t="s">
        <v>28</v>
      </c>
      <c r="H241" s="1">
        <f t="shared" si="7"/>
        <v>1</v>
      </c>
      <c r="I241" s="1" t="s">
        <v>233</v>
      </c>
      <c r="J241" s="1">
        <v>68.89</v>
      </c>
      <c r="K241">
        <f>median!C$3</f>
        <v>23</v>
      </c>
      <c r="L241" s="7">
        <v>3</v>
      </c>
      <c r="M241" s="7">
        <v>13</v>
      </c>
      <c r="N241" s="8">
        <v>1.0616669999999999</v>
      </c>
      <c r="O241" s="7">
        <v>-0.67</v>
      </c>
      <c r="P241" s="7">
        <v>0.21199999999999999</v>
      </c>
      <c r="Q241" s="7">
        <v>-0.56667000000000001</v>
      </c>
      <c r="R241" s="7">
        <v>2</v>
      </c>
    </row>
    <row r="242" spans="1:18" ht="15.75" customHeight="1" x14ac:dyDescent="0.25">
      <c r="A242" s="1" t="s">
        <v>88</v>
      </c>
      <c r="B242" s="1" t="s">
        <v>89</v>
      </c>
      <c r="C242" s="1" t="s">
        <v>640</v>
      </c>
      <c r="D242" s="1">
        <v>822</v>
      </c>
      <c r="E242" s="1">
        <v>822</v>
      </c>
      <c r="F242" s="12" t="str">
        <f t="shared" si="6"/>
        <v>Kardiovize_822</v>
      </c>
      <c r="G242" s="12" t="s">
        <v>28</v>
      </c>
      <c r="H242" s="1">
        <f t="shared" si="7"/>
        <v>1</v>
      </c>
      <c r="I242" s="1" t="s">
        <v>233</v>
      </c>
      <c r="J242" s="1">
        <v>62.73</v>
      </c>
      <c r="K242" s="7">
        <v>28</v>
      </c>
      <c r="L242" s="7">
        <v>3</v>
      </c>
      <c r="M242" s="7">
        <v>13</v>
      </c>
      <c r="N242" s="8">
        <v>0.468333</v>
      </c>
      <c r="O242" s="7">
        <v>-0.72</v>
      </c>
      <c r="P242" s="7">
        <v>0.83799999999999997</v>
      </c>
      <c r="Q242" s="7">
        <v>-0.19</v>
      </c>
      <c r="R242" s="7">
        <v>4</v>
      </c>
    </row>
    <row r="243" spans="1:18" ht="15.75" customHeight="1" x14ac:dyDescent="0.25">
      <c r="A243" s="1" t="s">
        <v>88</v>
      </c>
      <c r="B243" s="1" t="s">
        <v>89</v>
      </c>
      <c r="C243" s="1" t="s">
        <v>641</v>
      </c>
      <c r="D243" s="1">
        <v>827</v>
      </c>
      <c r="E243" s="1">
        <v>827</v>
      </c>
      <c r="F243" s="12" t="str">
        <f t="shared" si="6"/>
        <v>Kardiovize_827</v>
      </c>
      <c r="G243" s="12" t="s">
        <v>28</v>
      </c>
      <c r="H243" s="1">
        <f t="shared" si="7"/>
        <v>1</v>
      </c>
      <c r="I243" s="1" t="s">
        <v>233</v>
      </c>
      <c r="J243">
        <f>median!B$3</f>
        <v>74.165639970000001</v>
      </c>
      <c r="K243" s="7">
        <v>23</v>
      </c>
      <c r="L243" s="7">
        <v>2</v>
      </c>
      <c r="M243" s="7">
        <v>12</v>
      </c>
      <c r="N243" s="8">
        <v>-0.56233</v>
      </c>
      <c r="O243" s="7">
        <v>0.15096899999999999</v>
      </c>
      <c r="P243" s="7">
        <v>-0.33333000000000002</v>
      </c>
      <c r="Q243" s="7">
        <v>-0.66666999999999998</v>
      </c>
      <c r="R243" s="7">
        <v>1</v>
      </c>
    </row>
    <row r="244" spans="1:18" ht="15.75" customHeight="1" x14ac:dyDescent="0.25">
      <c r="A244" s="1" t="s">
        <v>88</v>
      </c>
      <c r="B244" s="1" t="s">
        <v>89</v>
      </c>
      <c r="C244" s="1" t="s">
        <v>642</v>
      </c>
      <c r="D244" s="1">
        <v>850</v>
      </c>
      <c r="E244" s="1">
        <v>850</v>
      </c>
      <c r="F244" s="12" t="str">
        <f t="shared" si="6"/>
        <v>Kardiovize_850</v>
      </c>
      <c r="G244" s="12" t="s">
        <v>28</v>
      </c>
      <c r="H244" s="1">
        <f t="shared" si="7"/>
        <v>1</v>
      </c>
      <c r="I244" s="1" t="s">
        <v>233</v>
      </c>
      <c r="J244" s="1">
        <v>65.38</v>
      </c>
      <c r="K244">
        <f>median!C$3</f>
        <v>23</v>
      </c>
      <c r="L244" s="7">
        <v>4</v>
      </c>
      <c r="M244" s="7">
        <v>17</v>
      </c>
      <c r="N244" s="8">
        <v>0.7</v>
      </c>
      <c r="O244" s="7">
        <v>0.125</v>
      </c>
      <c r="P244" s="7">
        <v>-8.0000000000000002E-3</v>
      </c>
      <c r="Q244" s="7">
        <v>0.33333299999999999</v>
      </c>
      <c r="R244" s="7">
        <v>2</v>
      </c>
    </row>
    <row r="245" spans="1:18" ht="15.75" customHeight="1" x14ac:dyDescent="0.25">
      <c r="A245" s="1" t="s">
        <v>88</v>
      </c>
      <c r="B245" s="1" t="s">
        <v>89</v>
      </c>
      <c r="C245" s="1" t="s">
        <v>643</v>
      </c>
      <c r="D245" s="1">
        <v>854</v>
      </c>
      <c r="E245" s="1">
        <v>854</v>
      </c>
      <c r="F245" s="12" t="str">
        <f t="shared" si="6"/>
        <v>Kardiovize_854</v>
      </c>
      <c r="G245" s="12" t="s">
        <v>20</v>
      </c>
      <c r="H245" s="1">
        <f t="shared" si="7"/>
        <v>0</v>
      </c>
      <c r="I245" s="1" t="s">
        <v>391</v>
      </c>
      <c r="J245" s="1">
        <v>71.34</v>
      </c>
      <c r="K245" s="7">
        <v>25</v>
      </c>
      <c r="L245" s="7">
        <v>2</v>
      </c>
      <c r="M245" s="7">
        <v>12</v>
      </c>
      <c r="N245" s="8">
        <v>-0.89832999999999996</v>
      </c>
      <c r="O245" s="7">
        <v>-0.625</v>
      </c>
      <c r="P245" s="7">
        <v>0.20799999999999999</v>
      </c>
      <c r="Q245" s="7">
        <v>2.8333000000000001E-2</v>
      </c>
      <c r="R245" s="7">
        <v>7</v>
      </c>
    </row>
    <row r="246" spans="1:18" ht="15.75" customHeight="1" x14ac:dyDescent="0.25">
      <c r="A246" s="1" t="s">
        <v>88</v>
      </c>
      <c r="B246" s="1" t="s">
        <v>89</v>
      </c>
      <c r="C246" s="1" t="s">
        <v>98</v>
      </c>
      <c r="D246" s="1">
        <v>865</v>
      </c>
      <c r="E246" s="1">
        <v>865</v>
      </c>
      <c r="F246" s="12" t="str">
        <f t="shared" si="6"/>
        <v>Kardiovize_865</v>
      </c>
      <c r="G246" s="12" t="s">
        <v>28</v>
      </c>
      <c r="H246" s="1">
        <f t="shared" si="7"/>
        <v>1</v>
      </c>
      <c r="I246" s="1" t="s">
        <v>21</v>
      </c>
      <c r="J246" s="1">
        <v>63.12</v>
      </c>
      <c r="K246" s="7">
        <v>24</v>
      </c>
      <c r="L246" s="7">
        <v>3</v>
      </c>
      <c r="M246" s="7">
        <v>15</v>
      </c>
      <c r="N246" s="8">
        <v>-0.96743999999999997</v>
      </c>
      <c r="O246" s="7">
        <v>-1.7506900000000001</v>
      </c>
      <c r="P246" s="7">
        <v>-1</v>
      </c>
      <c r="Q246" s="7">
        <v>-1.11111</v>
      </c>
      <c r="R246" s="7">
        <v>0</v>
      </c>
    </row>
    <row r="247" spans="1:18" ht="15.75" customHeight="1" x14ac:dyDescent="0.25">
      <c r="A247" s="1" t="s">
        <v>88</v>
      </c>
      <c r="B247" s="1" t="s">
        <v>89</v>
      </c>
      <c r="C247" s="1" t="s">
        <v>99</v>
      </c>
      <c r="D247" s="1">
        <v>867</v>
      </c>
      <c r="E247" s="1">
        <v>867</v>
      </c>
      <c r="F247" s="12" t="str">
        <f t="shared" si="6"/>
        <v>Kardiovize_867</v>
      </c>
      <c r="G247" s="12" t="s">
        <v>28</v>
      </c>
      <c r="H247" s="1">
        <f t="shared" si="7"/>
        <v>1</v>
      </c>
      <c r="I247" s="1" t="s">
        <v>21</v>
      </c>
      <c r="J247" s="1">
        <v>72.400000000000006</v>
      </c>
      <c r="K247" s="7">
        <v>25</v>
      </c>
      <c r="L247" s="7">
        <v>3</v>
      </c>
      <c r="M247" s="7">
        <v>13</v>
      </c>
      <c r="N247" s="8">
        <v>0.16134200000000001</v>
      </c>
      <c r="O247" s="7">
        <v>0.58284199999999997</v>
      </c>
      <c r="P247" s="7">
        <v>0.33333299999999999</v>
      </c>
      <c r="Q247" s="7">
        <v>-0.44444</v>
      </c>
      <c r="R247" s="7">
        <v>3</v>
      </c>
    </row>
    <row r="248" spans="1:18" ht="15.75" customHeight="1" x14ac:dyDescent="0.25">
      <c r="A248" s="1" t="s">
        <v>88</v>
      </c>
      <c r="B248" s="1" t="s">
        <v>89</v>
      </c>
      <c r="C248" s="1" t="s">
        <v>644</v>
      </c>
      <c r="D248" s="1">
        <v>879</v>
      </c>
      <c r="E248" s="1">
        <v>879</v>
      </c>
      <c r="F248" s="12" t="str">
        <f t="shared" si="6"/>
        <v>Kardiovize_879</v>
      </c>
      <c r="G248" s="12" t="s">
        <v>20</v>
      </c>
      <c r="H248" s="1">
        <f t="shared" si="7"/>
        <v>0</v>
      </c>
      <c r="I248" s="1" t="s">
        <v>233</v>
      </c>
      <c r="J248" s="1">
        <v>69.97</v>
      </c>
      <c r="K248" s="7">
        <v>26</v>
      </c>
      <c r="L248" s="7">
        <v>3</v>
      </c>
      <c r="M248" s="7">
        <v>13</v>
      </c>
      <c r="N248" s="8">
        <v>0.55000000000000004</v>
      </c>
      <c r="O248" s="7">
        <v>0.115</v>
      </c>
      <c r="P248" s="7">
        <v>0.18</v>
      </c>
      <c r="Q248" s="7">
        <v>0.61</v>
      </c>
      <c r="R248" s="7">
        <v>2</v>
      </c>
    </row>
    <row r="249" spans="1:18" ht="15.75" customHeight="1" x14ac:dyDescent="0.25">
      <c r="A249" s="1" t="s">
        <v>88</v>
      </c>
      <c r="B249" s="1" t="s">
        <v>89</v>
      </c>
      <c r="C249" s="1" t="s">
        <v>645</v>
      </c>
      <c r="D249" s="1">
        <v>93</v>
      </c>
      <c r="E249" s="1">
        <v>93</v>
      </c>
      <c r="F249" s="12" t="str">
        <f t="shared" si="6"/>
        <v>Kardiovize_93</v>
      </c>
      <c r="G249" s="12" t="s">
        <v>20</v>
      </c>
      <c r="H249" s="1">
        <f t="shared" si="7"/>
        <v>0</v>
      </c>
      <c r="I249" s="1" t="s">
        <v>391</v>
      </c>
      <c r="J249" s="1">
        <v>74.47</v>
      </c>
      <c r="K249" s="7">
        <v>21</v>
      </c>
      <c r="L249" s="7">
        <v>3</v>
      </c>
      <c r="M249" s="7">
        <v>13</v>
      </c>
      <c r="N249" s="8">
        <v>0.23</v>
      </c>
      <c r="O249" s="7">
        <v>0.54</v>
      </c>
      <c r="P249" s="7">
        <v>-0.84199999999999997</v>
      </c>
      <c r="Q249" s="7">
        <v>-0.66700000000000004</v>
      </c>
      <c r="R249" s="7">
        <v>4</v>
      </c>
    </row>
    <row r="250" spans="1:18" ht="15.75" customHeight="1" x14ac:dyDescent="0.25">
      <c r="A250" s="1" t="s">
        <v>88</v>
      </c>
      <c r="B250" s="1" t="s">
        <v>89</v>
      </c>
      <c r="C250" s="1" t="s">
        <v>662</v>
      </c>
      <c r="D250" s="1">
        <v>955</v>
      </c>
      <c r="E250" s="1">
        <v>955</v>
      </c>
      <c r="F250" s="12" t="str">
        <f t="shared" si="6"/>
        <v>Kardiovize_955</v>
      </c>
      <c r="G250" s="12" t="s">
        <v>28</v>
      </c>
      <c r="H250" s="1">
        <f t="shared" si="7"/>
        <v>1</v>
      </c>
      <c r="I250" s="1" t="s">
        <v>391</v>
      </c>
      <c r="J250">
        <f>median!B$3</f>
        <v>74.165639970000001</v>
      </c>
      <c r="K250">
        <f>median!C$3</f>
        <v>23</v>
      </c>
      <c r="L250">
        <f>median!D$3</f>
        <v>4</v>
      </c>
      <c r="M250" s="7">
        <v>12</v>
      </c>
      <c r="N250" s="8">
        <v>-0.35</v>
      </c>
      <c r="O250" s="7">
        <v>-0.125</v>
      </c>
      <c r="P250" s="7">
        <v>-0.374</v>
      </c>
      <c r="Q250" s="7">
        <v>-0.42666999999999999</v>
      </c>
      <c r="R250" s="7">
        <v>8</v>
      </c>
    </row>
    <row r="251" spans="1:18" ht="15.75" customHeight="1" x14ac:dyDescent="0.25">
      <c r="A251" s="1" t="s">
        <v>88</v>
      </c>
      <c r="B251" s="1" t="s">
        <v>89</v>
      </c>
      <c r="C251" s="1" t="s">
        <v>646</v>
      </c>
      <c r="D251" s="1">
        <v>96</v>
      </c>
      <c r="E251" s="1">
        <v>96</v>
      </c>
      <c r="F251" s="12" t="str">
        <f t="shared" si="6"/>
        <v>Kardiovize_96</v>
      </c>
      <c r="G251" s="12" t="s">
        <v>20</v>
      </c>
      <c r="H251" s="1">
        <f t="shared" si="7"/>
        <v>0</v>
      </c>
      <c r="I251" s="1" t="s">
        <v>233</v>
      </c>
      <c r="J251" s="1">
        <v>65.2</v>
      </c>
      <c r="K251" s="7">
        <v>28</v>
      </c>
      <c r="L251" s="7">
        <v>3</v>
      </c>
      <c r="M251" s="7">
        <v>17</v>
      </c>
      <c r="N251" s="8">
        <v>0.59499999999999997</v>
      </c>
      <c r="O251" s="7">
        <v>-0.72</v>
      </c>
      <c r="P251" s="7">
        <v>0.80200000000000005</v>
      </c>
      <c r="Q251" s="7">
        <v>-0.40666999999999998</v>
      </c>
      <c r="R251" s="7">
        <v>1</v>
      </c>
    </row>
    <row r="252" spans="1:18" ht="15.75" customHeight="1" x14ac:dyDescent="0.25">
      <c r="A252" s="1" t="s">
        <v>88</v>
      </c>
      <c r="B252" s="1" t="s">
        <v>89</v>
      </c>
      <c r="C252" s="1" t="s">
        <v>647</v>
      </c>
      <c r="D252" s="1">
        <v>969</v>
      </c>
      <c r="E252" s="1">
        <v>969</v>
      </c>
      <c r="F252" s="12" t="str">
        <f t="shared" si="6"/>
        <v>Kardiovize_969</v>
      </c>
      <c r="G252" s="12" t="s">
        <v>28</v>
      </c>
      <c r="H252" s="1">
        <f t="shared" si="7"/>
        <v>1</v>
      </c>
      <c r="I252" s="1" t="s">
        <v>233</v>
      </c>
      <c r="J252" s="1">
        <v>74.165639970000001</v>
      </c>
      <c r="K252">
        <f>median!C$3</f>
        <v>23</v>
      </c>
      <c r="L252" s="7">
        <v>3</v>
      </c>
      <c r="M252" s="7">
        <v>16</v>
      </c>
      <c r="N252" s="8">
        <v>0.38833299999999998</v>
      </c>
      <c r="O252" s="7">
        <v>0.28999999999999998</v>
      </c>
      <c r="P252" s="7">
        <v>0.63400000000000001</v>
      </c>
      <c r="Q252" s="7">
        <v>0.57166700000000004</v>
      </c>
      <c r="R252" s="7">
        <v>7</v>
      </c>
    </row>
    <row r="253" spans="1:18" ht="15.75" customHeight="1" x14ac:dyDescent="0.25">
      <c r="A253" s="1" t="s">
        <v>88</v>
      </c>
      <c r="B253" s="1" t="s">
        <v>89</v>
      </c>
      <c r="C253" s="1" t="s">
        <v>648</v>
      </c>
      <c r="D253" s="1">
        <v>978</v>
      </c>
      <c r="E253" s="1">
        <v>978</v>
      </c>
      <c r="F253" s="12" t="str">
        <f t="shared" si="6"/>
        <v>Kardiovize_978</v>
      </c>
      <c r="G253" s="12" t="s">
        <v>20</v>
      </c>
      <c r="H253" s="1">
        <f t="shared" si="7"/>
        <v>0</v>
      </c>
      <c r="I253" s="1" t="s">
        <v>233</v>
      </c>
      <c r="J253" s="1">
        <v>62</v>
      </c>
      <c r="K253" s="7">
        <v>21</v>
      </c>
      <c r="L253" s="7">
        <v>3</v>
      </c>
      <c r="M253" s="7">
        <v>12</v>
      </c>
      <c r="N253" s="8">
        <v>0.69489900000000004</v>
      </c>
      <c r="O253" s="7">
        <v>-1.34076</v>
      </c>
      <c r="P253" s="7">
        <v>-0.33333000000000002</v>
      </c>
      <c r="Q253" s="7">
        <v>0.61111099999999996</v>
      </c>
      <c r="R253" s="7">
        <v>6</v>
      </c>
    </row>
    <row r="254" spans="1:18" ht="15.75" customHeight="1" x14ac:dyDescent="0.25">
      <c r="A254" s="1" t="s">
        <v>794</v>
      </c>
      <c r="B254" s="1" t="s">
        <v>795</v>
      </c>
      <c r="C254" s="1" t="s">
        <v>804</v>
      </c>
      <c r="D254" s="1" t="s">
        <v>805</v>
      </c>
      <c r="E254" s="1" t="s">
        <v>739</v>
      </c>
      <c r="F254" s="12" t="str">
        <f t="shared" si="6"/>
        <v>Lang-LBD_long_P10-1</v>
      </c>
      <c r="G254" s="12" t="s">
        <v>20</v>
      </c>
      <c r="H254" s="1">
        <f t="shared" si="7"/>
        <v>0</v>
      </c>
      <c r="I254" s="1" t="s">
        <v>108</v>
      </c>
      <c r="J254" s="1">
        <v>64</v>
      </c>
      <c r="K254" s="7">
        <v>27</v>
      </c>
      <c r="L254" s="7">
        <v>4</v>
      </c>
      <c r="M254" s="7">
        <v>20</v>
      </c>
      <c r="N254" s="8">
        <v>-1.4</v>
      </c>
      <c r="O254" s="7">
        <v>-0.53500000000000003</v>
      </c>
      <c r="P254" s="7">
        <v>-1.4</v>
      </c>
      <c r="Q254" s="7">
        <v>-1.43</v>
      </c>
      <c r="R254" s="7">
        <v>2</v>
      </c>
    </row>
    <row r="255" spans="1:18" ht="15.75" customHeight="1" x14ac:dyDescent="0.25">
      <c r="A255" s="1" t="s">
        <v>794</v>
      </c>
      <c r="B255" s="1" t="s">
        <v>795</v>
      </c>
      <c r="C255" s="1" t="s">
        <v>806</v>
      </c>
      <c r="D255" s="1" t="s">
        <v>807</v>
      </c>
      <c r="E255" s="1" t="s">
        <v>808</v>
      </c>
      <c r="F255" s="12" t="str">
        <f t="shared" si="6"/>
        <v>Lang-LBD_long_P12-1</v>
      </c>
      <c r="G255" s="12" t="s">
        <v>28</v>
      </c>
      <c r="H255" s="1">
        <f t="shared" si="7"/>
        <v>1</v>
      </c>
      <c r="I255" s="1" t="s">
        <v>108</v>
      </c>
      <c r="J255" s="1">
        <v>63</v>
      </c>
      <c r="K255" s="7">
        <v>28</v>
      </c>
      <c r="L255" s="7">
        <v>3</v>
      </c>
      <c r="M255" s="7">
        <v>13</v>
      </c>
      <c r="N255" s="8">
        <v>0.38250000000000001</v>
      </c>
      <c r="O255" s="7">
        <v>0.2</v>
      </c>
      <c r="P255" s="7">
        <v>-0.73</v>
      </c>
      <c r="Q255" s="7">
        <v>-1.03</v>
      </c>
      <c r="R255" s="7">
        <v>3</v>
      </c>
    </row>
    <row r="256" spans="1:18" ht="15.75" customHeight="1" x14ac:dyDescent="0.25">
      <c r="A256" s="1" t="s">
        <v>794</v>
      </c>
      <c r="B256" s="1" t="s">
        <v>795</v>
      </c>
      <c r="C256" s="1" t="s">
        <v>809</v>
      </c>
      <c r="D256" s="1" t="s">
        <v>810</v>
      </c>
      <c r="E256" s="1" t="s">
        <v>811</v>
      </c>
      <c r="F256" s="12" t="str">
        <f t="shared" si="6"/>
        <v>Lang-LBD_long_P13-1</v>
      </c>
      <c r="G256" s="12" t="s">
        <v>28</v>
      </c>
      <c r="H256" s="1">
        <f t="shared" si="7"/>
        <v>1</v>
      </c>
      <c r="I256" s="1" t="s">
        <v>108</v>
      </c>
      <c r="J256" s="1">
        <v>70</v>
      </c>
      <c r="K256" s="7">
        <v>26</v>
      </c>
      <c r="L256" s="7">
        <v>4</v>
      </c>
      <c r="M256" s="7">
        <v>18</v>
      </c>
      <c r="N256" s="8">
        <v>-0.91749999999999998</v>
      </c>
      <c r="O256" s="7">
        <v>0.73</v>
      </c>
      <c r="P256" s="7">
        <v>-3.5000000000000003E-2</v>
      </c>
      <c r="Q256" s="7">
        <v>-0.43</v>
      </c>
      <c r="R256" s="7">
        <v>0</v>
      </c>
    </row>
    <row r="257" spans="1:18" ht="15.75" customHeight="1" x14ac:dyDescent="0.25">
      <c r="A257" s="1" t="s">
        <v>794</v>
      </c>
      <c r="B257" s="1" t="s">
        <v>795</v>
      </c>
      <c r="C257" s="1" t="s">
        <v>812</v>
      </c>
      <c r="D257" s="1" t="s">
        <v>813</v>
      </c>
      <c r="E257" s="1" t="s">
        <v>743</v>
      </c>
      <c r="F257" s="12" t="str">
        <f t="shared" si="6"/>
        <v>Lang-LBD_long_P14-1</v>
      </c>
      <c r="G257" s="12" t="s">
        <v>28</v>
      </c>
      <c r="H257" s="1">
        <f t="shared" si="7"/>
        <v>1</v>
      </c>
      <c r="I257" s="1" t="s">
        <v>108</v>
      </c>
      <c r="J257" s="1">
        <v>57</v>
      </c>
      <c r="K257" s="7">
        <v>25</v>
      </c>
      <c r="L257" s="7">
        <v>4</v>
      </c>
      <c r="M257" s="7">
        <v>16</v>
      </c>
      <c r="N257" s="8">
        <v>-1.7849999999999999</v>
      </c>
      <c r="O257" s="7">
        <v>0.47</v>
      </c>
      <c r="P257" s="7">
        <v>-1.47</v>
      </c>
      <c r="Q257" s="7">
        <v>-0.67</v>
      </c>
      <c r="R257" s="7">
        <v>4</v>
      </c>
    </row>
    <row r="258" spans="1:18" ht="15.75" customHeight="1" x14ac:dyDescent="0.25">
      <c r="A258" s="1" t="s">
        <v>794</v>
      </c>
      <c r="B258" s="1" t="s">
        <v>795</v>
      </c>
      <c r="C258" s="1" t="s">
        <v>814</v>
      </c>
      <c r="D258" s="1" t="s">
        <v>815</v>
      </c>
      <c r="E258" s="1" t="s">
        <v>745</v>
      </c>
      <c r="F258" s="12" t="str">
        <f t="shared" ref="F258:F321" si="8">A258&amp;"_"&amp;D258</f>
        <v>Lang-LBD_long_P15-1</v>
      </c>
      <c r="G258" s="12" t="s">
        <v>20</v>
      </c>
      <c r="H258" s="1">
        <f t="shared" ref="H258:H321" si="9">IF(G258="M",0,IF(G258="F",1,""))</f>
        <v>0</v>
      </c>
      <c r="I258" s="1" t="s">
        <v>108</v>
      </c>
      <c r="J258" s="1">
        <v>77</v>
      </c>
      <c r="K258" s="7">
        <v>28</v>
      </c>
      <c r="L258" s="7">
        <v>4</v>
      </c>
      <c r="M258" s="7">
        <v>17</v>
      </c>
      <c r="N258" s="8">
        <v>-0.50249999999999995</v>
      </c>
      <c r="O258" s="7">
        <v>-0.2</v>
      </c>
      <c r="P258" s="7">
        <v>-1.17</v>
      </c>
      <c r="Q258" s="7">
        <v>-0.87</v>
      </c>
      <c r="R258" s="7">
        <v>3</v>
      </c>
    </row>
    <row r="259" spans="1:18" ht="15.75" customHeight="1" x14ac:dyDescent="0.25">
      <c r="A259" s="1" t="s">
        <v>794</v>
      </c>
      <c r="B259" s="1" t="s">
        <v>795</v>
      </c>
      <c r="C259" s="1" t="s">
        <v>816</v>
      </c>
      <c r="D259" s="1" t="s">
        <v>817</v>
      </c>
      <c r="E259" s="1" t="s">
        <v>747</v>
      </c>
      <c r="F259" s="12" t="str">
        <f t="shared" si="8"/>
        <v>Lang-LBD_long_P16-1</v>
      </c>
      <c r="G259" s="12" t="s">
        <v>20</v>
      </c>
      <c r="H259" s="1">
        <f t="shared" si="9"/>
        <v>0</v>
      </c>
      <c r="I259" s="1" t="s">
        <v>108</v>
      </c>
      <c r="J259" s="1">
        <v>51</v>
      </c>
      <c r="K259" s="7">
        <v>23</v>
      </c>
      <c r="L259" s="7">
        <v>3</v>
      </c>
      <c r="M259" s="7">
        <v>12</v>
      </c>
      <c r="N259" s="8">
        <v>-1.7150000000000001</v>
      </c>
      <c r="O259" s="7">
        <v>0.8</v>
      </c>
      <c r="P259" s="7">
        <v>-0.5</v>
      </c>
      <c r="Q259" s="7">
        <v>-1.7</v>
      </c>
      <c r="R259">
        <f>median!J$3</f>
        <v>0</v>
      </c>
    </row>
    <row r="260" spans="1:18" ht="15.75" customHeight="1" x14ac:dyDescent="0.25">
      <c r="A260" s="1" t="s">
        <v>794</v>
      </c>
      <c r="B260" s="1" t="s">
        <v>795</v>
      </c>
      <c r="C260" s="1" t="s">
        <v>818</v>
      </c>
      <c r="D260" s="1" t="s">
        <v>819</v>
      </c>
      <c r="E260" s="1" t="s">
        <v>749</v>
      </c>
      <c r="F260" s="12" t="str">
        <f t="shared" si="8"/>
        <v>Lang-LBD_long_P17-1</v>
      </c>
      <c r="G260" s="12" t="s">
        <v>28</v>
      </c>
      <c r="H260" s="1">
        <f t="shared" si="9"/>
        <v>1</v>
      </c>
      <c r="I260" s="1" t="s">
        <v>108</v>
      </c>
      <c r="J260" s="1">
        <v>73</v>
      </c>
      <c r="K260" s="7">
        <v>28</v>
      </c>
      <c r="L260" s="7">
        <v>3</v>
      </c>
      <c r="M260" s="7">
        <v>14</v>
      </c>
      <c r="N260" s="8">
        <v>-1.1825000000000001</v>
      </c>
      <c r="O260" s="7">
        <v>0.2</v>
      </c>
      <c r="P260" s="7">
        <v>-1.4350000000000001</v>
      </c>
      <c r="Q260" s="7">
        <v>-2.0649999999999999</v>
      </c>
      <c r="R260" s="7">
        <v>7</v>
      </c>
    </row>
    <row r="261" spans="1:18" ht="15.75" customHeight="1" x14ac:dyDescent="0.25">
      <c r="A261" s="1" t="s">
        <v>794</v>
      </c>
      <c r="B261" s="1" t="s">
        <v>795</v>
      </c>
      <c r="C261" s="1" t="s">
        <v>820</v>
      </c>
      <c r="D261" s="1" t="s">
        <v>821</v>
      </c>
      <c r="E261" s="1" t="s">
        <v>783</v>
      </c>
      <c r="F261" s="12" t="str">
        <f t="shared" si="8"/>
        <v>Lang-LBD_long_P22-1</v>
      </c>
      <c r="G261" s="12" t="s">
        <v>20</v>
      </c>
      <c r="H261" s="1">
        <f t="shared" si="9"/>
        <v>0</v>
      </c>
      <c r="I261" s="1" t="s">
        <v>108</v>
      </c>
      <c r="J261" s="1">
        <v>75</v>
      </c>
      <c r="K261" s="7">
        <v>24</v>
      </c>
      <c r="L261" s="7">
        <v>3</v>
      </c>
      <c r="M261" s="7">
        <v>15</v>
      </c>
      <c r="N261" s="8">
        <v>-2.4350000000000001</v>
      </c>
      <c r="O261" s="7">
        <v>-0.93</v>
      </c>
      <c r="P261" s="7">
        <v>-1.6</v>
      </c>
      <c r="Q261" s="7">
        <v>-2.67</v>
      </c>
      <c r="R261" s="7">
        <v>8</v>
      </c>
    </row>
    <row r="262" spans="1:18" ht="15.75" customHeight="1" x14ac:dyDescent="0.25">
      <c r="A262" s="1" t="s">
        <v>794</v>
      </c>
      <c r="B262" s="1" t="s">
        <v>795</v>
      </c>
      <c r="C262" s="1" t="s">
        <v>822</v>
      </c>
      <c r="D262" s="1" t="s">
        <v>823</v>
      </c>
      <c r="E262" s="1" t="s">
        <v>785</v>
      </c>
      <c r="F262" s="12" t="str">
        <f t="shared" si="8"/>
        <v>Lang-LBD_long_P23-1</v>
      </c>
      <c r="G262" s="12" t="s">
        <v>28</v>
      </c>
      <c r="H262" s="1">
        <f t="shared" si="9"/>
        <v>1</v>
      </c>
      <c r="I262" s="1" t="s">
        <v>108</v>
      </c>
      <c r="J262" s="1">
        <v>72</v>
      </c>
      <c r="K262" s="7">
        <v>28</v>
      </c>
      <c r="L262" s="7">
        <v>2</v>
      </c>
      <c r="M262" s="7">
        <v>12</v>
      </c>
      <c r="N262" s="8">
        <v>-0.115</v>
      </c>
      <c r="O262" s="7">
        <v>1.9</v>
      </c>
      <c r="P262" s="7">
        <v>-1.2</v>
      </c>
      <c r="Q262" s="7">
        <v>-0.9</v>
      </c>
      <c r="R262" s="7">
        <v>1</v>
      </c>
    </row>
    <row r="263" spans="1:18" ht="15.75" customHeight="1" x14ac:dyDescent="0.25">
      <c r="A263" s="1" t="s">
        <v>794</v>
      </c>
      <c r="B263" s="1" t="s">
        <v>795</v>
      </c>
      <c r="C263" s="1" t="s">
        <v>824</v>
      </c>
      <c r="D263" s="1" t="s">
        <v>825</v>
      </c>
      <c r="E263" s="1" t="s">
        <v>787</v>
      </c>
      <c r="F263" s="12" t="str">
        <f t="shared" si="8"/>
        <v>Lang-LBD_long_P24-1</v>
      </c>
      <c r="G263" s="12" t="s">
        <v>20</v>
      </c>
      <c r="H263" s="1">
        <f t="shared" si="9"/>
        <v>0</v>
      </c>
      <c r="I263" s="1" t="s">
        <v>108</v>
      </c>
      <c r="J263" s="1">
        <v>72</v>
      </c>
      <c r="K263" s="7">
        <v>28</v>
      </c>
      <c r="L263" s="7">
        <v>4</v>
      </c>
      <c r="M263" s="7">
        <v>18</v>
      </c>
      <c r="N263" s="8">
        <v>-1.2350000000000001</v>
      </c>
      <c r="O263" s="7">
        <v>0.5</v>
      </c>
      <c r="P263" s="7">
        <v>-0.87</v>
      </c>
      <c r="Q263" s="7">
        <v>-0.7</v>
      </c>
      <c r="R263" s="7">
        <v>2</v>
      </c>
    </row>
    <row r="264" spans="1:18" ht="15.75" customHeight="1" x14ac:dyDescent="0.25">
      <c r="A264" s="1" t="s">
        <v>794</v>
      </c>
      <c r="B264" s="1" t="s">
        <v>795</v>
      </c>
      <c r="C264" s="1" t="s">
        <v>826</v>
      </c>
      <c r="D264" s="1" t="s">
        <v>827</v>
      </c>
      <c r="E264" s="1" t="s">
        <v>789</v>
      </c>
      <c r="F264" s="12" t="str">
        <f t="shared" si="8"/>
        <v>Lang-LBD_long_P25-1</v>
      </c>
      <c r="G264" s="12" t="s">
        <v>28</v>
      </c>
      <c r="H264" s="1">
        <f t="shared" si="9"/>
        <v>1</v>
      </c>
      <c r="I264" s="1" t="s">
        <v>108</v>
      </c>
      <c r="J264" s="1">
        <v>67</v>
      </c>
      <c r="K264" s="7">
        <v>29</v>
      </c>
      <c r="L264" s="7">
        <v>3</v>
      </c>
      <c r="M264" s="7">
        <v>13</v>
      </c>
      <c r="N264" s="8">
        <v>-1.07</v>
      </c>
      <c r="O264" s="7">
        <v>0.67</v>
      </c>
      <c r="P264" s="7">
        <v>0.87</v>
      </c>
      <c r="Q264" s="7">
        <v>-0.67</v>
      </c>
      <c r="R264" s="7">
        <v>6</v>
      </c>
    </row>
    <row r="265" spans="1:18" ht="15.75" customHeight="1" x14ac:dyDescent="0.25">
      <c r="A265" s="1" t="s">
        <v>794</v>
      </c>
      <c r="B265" s="1" t="s">
        <v>795</v>
      </c>
      <c r="C265" s="1" t="s">
        <v>828</v>
      </c>
      <c r="D265" s="1" t="s">
        <v>829</v>
      </c>
      <c r="E265" s="1" t="s">
        <v>791</v>
      </c>
      <c r="F265" s="12" t="str">
        <f t="shared" si="8"/>
        <v>Lang-LBD_long_P26-1</v>
      </c>
      <c r="G265" s="12" t="s">
        <v>28</v>
      </c>
      <c r="H265" s="1">
        <f t="shared" si="9"/>
        <v>1</v>
      </c>
      <c r="I265" s="1" t="s">
        <v>108</v>
      </c>
      <c r="J265" s="1">
        <v>76</v>
      </c>
      <c r="K265" s="7">
        <v>23</v>
      </c>
      <c r="L265" s="7">
        <v>3</v>
      </c>
      <c r="M265" s="7">
        <v>14</v>
      </c>
      <c r="N265" s="8">
        <v>-0.83499999999999996</v>
      </c>
      <c r="O265" s="7">
        <v>0.03</v>
      </c>
      <c r="P265" s="7">
        <v>-0.83499999999999996</v>
      </c>
      <c r="Q265" s="7">
        <v>-2</v>
      </c>
      <c r="R265" s="7">
        <v>1</v>
      </c>
    </row>
    <row r="266" spans="1:18" ht="15.75" customHeight="1" x14ac:dyDescent="0.25">
      <c r="A266" s="1" t="s">
        <v>794</v>
      </c>
      <c r="B266" s="1" t="s">
        <v>795</v>
      </c>
      <c r="C266" s="1" t="s">
        <v>830</v>
      </c>
      <c r="D266" s="1" t="s">
        <v>831</v>
      </c>
      <c r="E266" s="1" t="s">
        <v>793</v>
      </c>
      <c r="F266" s="12" t="str">
        <f t="shared" si="8"/>
        <v>Lang-LBD_long_P27-1</v>
      </c>
      <c r="G266" s="12" t="s">
        <v>20</v>
      </c>
      <c r="H266" s="1">
        <f t="shared" si="9"/>
        <v>0</v>
      </c>
      <c r="I266" s="1" t="s">
        <v>108</v>
      </c>
      <c r="J266" s="1">
        <v>73</v>
      </c>
      <c r="K266" s="7">
        <v>27</v>
      </c>
      <c r="L266" s="7">
        <v>2</v>
      </c>
      <c r="M266" s="7">
        <v>12</v>
      </c>
      <c r="N266">
        <f>median!F$3</f>
        <v>-2.08</v>
      </c>
      <c r="O266">
        <f>median!G$3</f>
        <v>-0.25</v>
      </c>
      <c r="P266">
        <f>median!H$3</f>
        <v>-0.35</v>
      </c>
      <c r="Q266">
        <f>median!I$3</f>
        <v>-0.9</v>
      </c>
      <c r="R266" s="7">
        <v>0</v>
      </c>
    </row>
    <row r="267" spans="1:18" ht="15.75" customHeight="1" x14ac:dyDescent="0.25">
      <c r="A267" s="1" t="s">
        <v>794</v>
      </c>
      <c r="B267" s="1" t="s">
        <v>795</v>
      </c>
      <c r="C267" s="1" t="s">
        <v>796</v>
      </c>
      <c r="D267" s="1" t="s">
        <v>797</v>
      </c>
      <c r="E267" s="1" t="s">
        <v>727</v>
      </c>
      <c r="F267" s="12" t="str">
        <f t="shared" si="8"/>
        <v>Lang-LBD_long_P5-1</v>
      </c>
      <c r="G267" s="12" t="s">
        <v>20</v>
      </c>
      <c r="H267" s="1">
        <f t="shared" si="9"/>
        <v>0</v>
      </c>
      <c r="I267" s="1" t="s">
        <v>108</v>
      </c>
      <c r="J267" s="1">
        <v>77</v>
      </c>
      <c r="K267" s="7">
        <v>26</v>
      </c>
      <c r="L267" s="7">
        <v>4</v>
      </c>
      <c r="M267" s="7">
        <v>21</v>
      </c>
      <c r="N267" s="8">
        <v>-1.32</v>
      </c>
      <c r="O267" s="7">
        <v>0.67</v>
      </c>
      <c r="P267" s="7">
        <v>-0.93</v>
      </c>
      <c r="Q267" s="7">
        <v>-1.03</v>
      </c>
      <c r="R267" s="7">
        <v>1</v>
      </c>
    </row>
    <row r="268" spans="1:18" ht="15.75" customHeight="1" x14ac:dyDescent="0.25">
      <c r="A268" s="1" t="s">
        <v>794</v>
      </c>
      <c r="B268" s="1" t="s">
        <v>795</v>
      </c>
      <c r="C268" s="1" t="s">
        <v>798</v>
      </c>
      <c r="D268" s="1" t="s">
        <v>799</v>
      </c>
      <c r="E268" s="1" t="s">
        <v>729</v>
      </c>
      <c r="F268" s="12" t="str">
        <f t="shared" si="8"/>
        <v>Lang-LBD_long_P6-1</v>
      </c>
      <c r="G268" s="12" t="s">
        <v>20</v>
      </c>
      <c r="H268" s="1">
        <f t="shared" si="9"/>
        <v>0</v>
      </c>
      <c r="I268" s="1" t="s">
        <v>108</v>
      </c>
      <c r="J268" s="1">
        <v>57</v>
      </c>
      <c r="K268" s="7">
        <v>24</v>
      </c>
      <c r="L268" s="7">
        <v>3</v>
      </c>
      <c r="M268" s="7">
        <v>14</v>
      </c>
      <c r="N268" s="8">
        <v>-1.78</v>
      </c>
      <c r="O268" s="7">
        <v>-0.93</v>
      </c>
      <c r="P268" s="7">
        <v>-1.43</v>
      </c>
      <c r="Q268" s="7">
        <v>-0.83</v>
      </c>
      <c r="R268" s="7">
        <v>2</v>
      </c>
    </row>
    <row r="269" spans="1:18" ht="15.75" customHeight="1" x14ac:dyDescent="0.25">
      <c r="A269" s="1" t="s">
        <v>794</v>
      </c>
      <c r="B269" s="1" t="s">
        <v>795</v>
      </c>
      <c r="C269" s="1" t="s">
        <v>800</v>
      </c>
      <c r="D269" s="1" t="s">
        <v>801</v>
      </c>
      <c r="E269" s="1" t="s">
        <v>733</v>
      </c>
      <c r="F269" s="12" t="str">
        <f t="shared" si="8"/>
        <v>Lang-LBD_long_P8-1</v>
      </c>
      <c r="G269" s="12" t="s">
        <v>20</v>
      </c>
      <c r="H269" s="1">
        <f t="shared" si="9"/>
        <v>0</v>
      </c>
      <c r="I269" s="1" t="s">
        <v>108</v>
      </c>
      <c r="J269" s="1">
        <v>73</v>
      </c>
      <c r="K269" s="7">
        <v>22</v>
      </c>
      <c r="L269" s="7">
        <v>2</v>
      </c>
      <c r="M269" s="7">
        <v>12</v>
      </c>
      <c r="N269" s="8">
        <v>-2.25</v>
      </c>
      <c r="O269" s="7">
        <v>-0.7</v>
      </c>
      <c r="P269" s="7">
        <v>-1.03</v>
      </c>
      <c r="Q269" s="7">
        <v>-0.3</v>
      </c>
      <c r="R269" s="7">
        <v>4</v>
      </c>
    </row>
    <row r="270" spans="1:18" ht="15.75" customHeight="1" x14ac:dyDescent="0.25">
      <c r="A270" s="1" t="s">
        <v>794</v>
      </c>
      <c r="B270" s="1" t="s">
        <v>795</v>
      </c>
      <c r="C270" s="1" t="s">
        <v>802</v>
      </c>
      <c r="D270" s="1" t="s">
        <v>803</v>
      </c>
      <c r="E270" s="1" t="s">
        <v>737</v>
      </c>
      <c r="F270" s="12" t="str">
        <f t="shared" si="8"/>
        <v>Lang-LBD_long_P9-1</v>
      </c>
      <c r="G270" s="12" t="s">
        <v>20</v>
      </c>
      <c r="H270" s="1">
        <f t="shared" si="9"/>
        <v>0</v>
      </c>
      <c r="I270" s="1" t="s">
        <v>108</v>
      </c>
      <c r="J270" s="1">
        <v>74</v>
      </c>
      <c r="K270" s="7">
        <v>22</v>
      </c>
      <c r="L270" s="7">
        <v>4</v>
      </c>
      <c r="M270" s="7">
        <v>18</v>
      </c>
      <c r="N270" s="8">
        <v>-1.0024999999999999</v>
      </c>
      <c r="O270" s="7">
        <v>-0.46500000000000002</v>
      </c>
      <c r="P270" s="7">
        <v>-1.165</v>
      </c>
      <c r="Q270" s="7">
        <v>-0.8</v>
      </c>
      <c r="R270" s="7">
        <v>1</v>
      </c>
    </row>
    <row r="271" spans="1:18" ht="15.75" customHeight="1" x14ac:dyDescent="0.25">
      <c r="A271" s="1" t="s">
        <v>691</v>
      </c>
      <c r="B271" s="1" t="s">
        <v>692</v>
      </c>
      <c r="C271" s="1" t="s">
        <v>693</v>
      </c>
      <c r="D271" s="1" t="s">
        <v>694</v>
      </c>
      <c r="E271" s="1" t="s">
        <v>694</v>
      </c>
      <c r="F271" s="12" t="str">
        <f t="shared" si="8"/>
        <v>Lang-LBD_pilot_HC1</v>
      </c>
      <c r="G271" s="12" t="s">
        <v>28</v>
      </c>
      <c r="H271" s="1">
        <f t="shared" si="9"/>
        <v>1</v>
      </c>
      <c r="I271" s="1" t="s">
        <v>233</v>
      </c>
      <c r="J271" s="1">
        <v>63</v>
      </c>
      <c r="K271" s="7">
        <v>27</v>
      </c>
      <c r="L271" s="7">
        <v>4</v>
      </c>
      <c r="M271" s="7">
        <v>18</v>
      </c>
      <c r="N271" s="8">
        <v>-0.51500000000000001</v>
      </c>
      <c r="O271" s="7">
        <v>0.77</v>
      </c>
      <c r="P271" s="7">
        <v>-1</v>
      </c>
      <c r="Q271" s="7">
        <v>-0.17</v>
      </c>
      <c r="R271" s="7">
        <v>1</v>
      </c>
    </row>
    <row r="272" spans="1:18" ht="15.75" customHeight="1" x14ac:dyDescent="0.25">
      <c r="A272" s="1" t="s">
        <v>691</v>
      </c>
      <c r="B272" s="1" t="s">
        <v>692</v>
      </c>
      <c r="C272" s="1" t="s">
        <v>717</v>
      </c>
      <c r="D272" s="1" t="s">
        <v>718</v>
      </c>
      <c r="E272" s="1" t="s">
        <v>719</v>
      </c>
      <c r="F272" s="12" t="str">
        <f t="shared" si="8"/>
        <v>Lang-LBD_pilot_HC-10</v>
      </c>
      <c r="G272" s="12" t="s">
        <v>20</v>
      </c>
      <c r="H272" s="1">
        <f t="shared" si="9"/>
        <v>0</v>
      </c>
      <c r="I272" s="1" t="s">
        <v>21</v>
      </c>
      <c r="J272" s="1">
        <v>63</v>
      </c>
      <c r="K272" s="7">
        <v>25</v>
      </c>
      <c r="L272" s="7">
        <v>4</v>
      </c>
      <c r="M272" s="7">
        <v>23</v>
      </c>
      <c r="N272" s="8">
        <v>-1.85</v>
      </c>
      <c r="O272" s="7">
        <v>0.8</v>
      </c>
      <c r="P272" s="7">
        <v>0.67</v>
      </c>
      <c r="Q272" s="7">
        <v>1.07</v>
      </c>
      <c r="R272" s="7">
        <v>0</v>
      </c>
    </row>
    <row r="273" spans="1:18" ht="15.75" customHeight="1" x14ac:dyDescent="0.25">
      <c r="A273" s="1" t="s">
        <v>691</v>
      </c>
      <c r="B273" s="1" t="s">
        <v>692</v>
      </c>
      <c r="C273" s="1" t="s">
        <v>720</v>
      </c>
      <c r="D273" s="1" t="s">
        <v>721</v>
      </c>
      <c r="E273" s="1" t="s">
        <v>721</v>
      </c>
      <c r="F273" s="12" t="str">
        <f t="shared" si="8"/>
        <v>Lang-LBD_pilot_HC11</v>
      </c>
      <c r="G273" s="12" t="s">
        <v>28</v>
      </c>
      <c r="H273" s="1">
        <f t="shared" si="9"/>
        <v>1</v>
      </c>
      <c r="I273" s="1" t="s">
        <v>21</v>
      </c>
      <c r="J273" s="1">
        <v>67</v>
      </c>
      <c r="K273" s="7">
        <v>28</v>
      </c>
      <c r="L273" s="7">
        <v>3</v>
      </c>
      <c r="M273" s="7">
        <v>13</v>
      </c>
      <c r="N273" s="8">
        <v>-1.1000000000000001</v>
      </c>
      <c r="O273" s="7">
        <v>0.2</v>
      </c>
      <c r="P273" s="7">
        <v>-0.67</v>
      </c>
      <c r="Q273" s="7">
        <v>-0.93</v>
      </c>
      <c r="R273" s="7">
        <v>3</v>
      </c>
    </row>
    <row r="274" spans="1:18" ht="15.75" customHeight="1" x14ac:dyDescent="0.25">
      <c r="A274" s="1" t="s">
        <v>691</v>
      </c>
      <c r="B274" s="1" t="s">
        <v>692</v>
      </c>
      <c r="C274" s="1" t="s">
        <v>722</v>
      </c>
      <c r="D274" s="1" t="s">
        <v>723</v>
      </c>
      <c r="E274" s="1" t="s">
        <v>723</v>
      </c>
      <c r="F274" s="12" t="str">
        <f t="shared" si="8"/>
        <v>Lang-LBD_pilot_HC12</v>
      </c>
      <c r="G274" s="12" t="s">
        <v>20</v>
      </c>
      <c r="H274" s="1">
        <f t="shared" si="9"/>
        <v>0</v>
      </c>
      <c r="I274" s="1" t="s">
        <v>21</v>
      </c>
      <c r="J274" s="1">
        <v>73</v>
      </c>
      <c r="K274" s="7">
        <v>26</v>
      </c>
      <c r="L274" s="7">
        <v>4</v>
      </c>
      <c r="M274" s="7">
        <v>18</v>
      </c>
      <c r="N274" s="8">
        <v>-1.75</v>
      </c>
      <c r="O274" s="7">
        <v>0.8</v>
      </c>
      <c r="P274" s="7">
        <v>-0.17</v>
      </c>
      <c r="Q274" s="7">
        <v>0.03</v>
      </c>
      <c r="R274" s="7">
        <v>1</v>
      </c>
    </row>
    <row r="275" spans="1:18" ht="15.75" customHeight="1" x14ac:dyDescent="0.25">
      <c r="A275" s="1" t="s">
        <v>691</v>
      </c>
      <c r="B275" s="1" t="s">
        <v>692</v>
      </c>
      <c r="C275" s="1" t="s">
        <v>724</v>
      </c>
      <c r="D275" s="1" t="s">
        <v>725</v>
      </c>
      <c r="E275" s="1" t="s">
        <v>725</v>
      </c>
      <c r="F275" s="12" t="str">
        <f t="shared" si="8"/>
        <v>Lang-LBD_pilot_HC13</v>
      </c>
      <c r="G275" s="12" t="s">
        <v>20</v>
      </c>
      <c r="H275" s="1">
        <f t="shared" si="9"/>
        <v>0</v>
      </c>
      <c r="I275" s="1" t="s">
        <v>233</v>
      </c>
      <c r="J275" s="1">
        <v>73</v>
      </c>
      <c r="K275" s="7">
        <v>27</v>
      </c>
      <c r="L275" s="7">
        <v>4</v>
      </c>
      <c r="M275" s="7">
        <v>18</v>
      </c>
      <c r="N275" s="8">
        <v>-0.4</v>
      </c>
      <c r="O275" s="7">
        <v>1.1299999999999999</v>
      </c>
      <c r="P275" s="7">
        <v>0.1</v>
      </c>
      <c r="Q275" s="7">
        <v>0.93</v>
      </c>
      <c r="R275" s="7">
        <v>2</v>
      </c>
    </row>
    <row r="276" spans="1:18" ht="15.75" customHeight="1" x14ac:dyDescent="0.25">
      <c r="A276" s="1" t="s">
        <v>691</v>
      </c>
      <c r="B276" s="1" t="s">
        <v>692</v>
      </c>
      <c r="C276" s="1" t="s">
        <v>734</v>
      </c>
      <c r="D276" s="1" t="s">
        <v>735</v>
      </c>
      <c r="E276" s="1" t="s">
        <v>735</v>
      </c>
      <c r="F276" s="12" t="str">
        <f t="shared" si="8"/>
        <v>Lang-LBD_pilot_HC14</v>
      </c>
      <c r="G276" s="12" t="s">
        <v>28</v>
      </c>
      <c r="H276" s="1">
        <f t="shared" si="9"/>
        <v>1</v>
      </c>
      <c r="I276" s="1" t="s">
        <v>233</v>
      </c>
      <c r="J276" s="1">
        <v>67</v>
      </c>
      <c r="K276" s="7">
        <v>28</v>
      </c>
      <c r="L276" s="7">
        <v>3</v>
      </c>
      <c r="M276" s="7">
        <v>13</v>
      </c>
      <c r="N276" s="8">
        <v>-0.51500000000000001</v>
      </c>
      <c r="O276" s="7">
        <v>-0.6</v>
      </c>
      <c r="P276" s="7">
        <v>-0.47</v>
      </c>
      <c r="Q276" s="7">
        <v>-0.67</v>
      </c>
      <c r="R276" s="7">
        <v>3</v>
      </c>
    </row>
    <row r="277" spans="1:18" ht="15.75" customHeight="1" x14ac:dyDescent="0.25">
      <c r="A277" s="1" t="s">
        <v>691</v>
      </c>
      <c r="B277" s="1" t="s">
        <v>692</v>
      </c>
      <c r="C277" s="1" t="s">
        <v>740</v>
      </c>
      <c r="D277" s="1" t="s">
        <v>741</v>
      </c>
      <c r="E277" s="1" t="s">
        <v>741</v>
      </c>
      <c r="F277" s="12" t="str">
        <f t="shared" si="8"/>
        <v>Lang-LBD_pilot_HC15</v>
      </c>
      <c r="G277" s="12" t="s">
        <v>28</v>
      </c>
      <c r="H277" s="1">
        <f t="shared" si="9"/>
        <v>1</v>
      </c>
      <c r="I277" s="1" t="s">
        <v>21</v>
      </c>
      <c r="J277" s="1">
        <v>77</v>
      </c>
      <c r="K277" s="7">
        <v>29</v>
      </c>
      <c r="L277" s="7">
        <v>4</v>
      </c>
      <c r="M277" s="7">
        <v>18</v>
      </c>
      <c r="N277" s="8">
        <v>-1.45</v>
      </c>
      <c r="O277" s="7">
        <v>0.33</v>
      </c>
      <c r="P277" s="7">
        <v>-1.3</v>
      </c>
      <c r="Q277" s="7">
        <v>-1.5</v>
      </c>
      <c r="R277" s="7">
        <v>1</v>
      </c>
    </row>
    <row r="278" spans="1:18" ht="15.75" customHeight="1" x14ac:dyDescent="0.25">
      <c r="A278" s="1" t="s">
        <v>691</v>
      </c>
      <c r="B278" s="1" t="s">
        <v>692</v>
      </c>
      <c r="C278" s="1" t="s">
        <v>750</v>
      </c>
      <c r="D278" s="1" t="s">
        <v>751</v>
      </c>
      <c r="E278" s="1" t="s">
        <v>751</v>
      </c>
      <c r="F278" s="12" t="str">
        <f t="shared" si="8"/>
        <v>Lang-LBD_pilot_HC18</v>
      </c>
      <c r="G278" s="12" t="s">
        <v>20</v>
      </c>
      <c r="H278" s="1">
        <f t="shared" si="9"/>
        <v>0</v>
      </c>
      <c r="I278" s="1" t="s">
        <v>233</v>
      </c>
      <c r="J278" s="1">
        <v>60</v>
      </c>
      <c r="K278" s="7">
        <v>29</v>
      </c>
      <c r="L278" s="7">
        <v>3</v>
      </c>
      <c r="M278" s="7">
        <v>13</v>
      </c>
      <c r="N278" s="8">
        <v>-0.16500000000000001</v>
      </c>
      <c r="O278" s="7">
        <v>0</v>
      </c>
      <c r="P278" s="7">
        <v>-0.4</v>
      </c>
      <c r="Q278" s="7">
        <v>0.63</v>
      </c>
      <c r="R278" s="7">
        <v>0</v>
      </c>
    </row>
    <row r="279" spans="1:18" ht="15.75" customHeight="1" x14ac:dyDescent="0.25">
      <c r="A279" s="1" t="s">
        <v>691</v>
      </c>
      <c r="B279" s="1" t="s">
        <v>692</v>
      </c>
      <c r="C279" s="1" t="s">
        <v>752</v>
      </c>
      <c r="D279" s="1" t="s">
        <v>753</v>
      </c>
      <c r="E279" s="1" t="s">
        <v>753</v>
      </c>
      <c r="F279" s="12" t="str">
        <f t="shared" si="8"/>
        <v>Lang-LBD_pilot_HC19</v>
      </c>
      <c r="G279" s="12" t="s">
        <v>20</v>
      </c>
      <c r="H279" s="1">
        <f t="shared" si="9"/>
        <v>0</v>
      </c>
      <c r="I279" s="1" t="s">
        <v>233</v>
      </c>
      <c r="J279" s="1">
        <v>77</v>
      </c>
      <c r="K279" s="7">
        <v>25</v>
      </c>
      <c r="L279" s="7">
        <v>4</v>
      </c>
      <c r="M279" s="7">
        <v>18</v>
      </c>
      <c r="N279" s="8">
        <v>-1.365</v>
      </c>
      <c r="O279" s="7">
        <v>0.3</v>
      </c>
      <c r="P279" s="7">
        <v>-1</v>
      </c>
      <c r="Q279" s="7">
        <v>-0.83</v>
      </c>
      <c r="R279" s="7">
        <v>0</v>
      </c>
    </row>
    <row r="280" spans="1:18" ht="15.75" customHeight="1" x14ac:dyDescent="0.25">
      <c r="A280" s="1" t="s">
        <v>691</v>
      </c>
      <c r="B280" s="1" t="s">
        <v>692</v>
      </c>
      <c r="C280" s="1" t="s">
        <v>695</v>
      </c>
      <c r="D280" s="1" t="s">
        <v>696</v>
      </c>
      <c r="E280" s="1" t="s">
        <v>696</v>
      </c>
      <c r="F280" s="12" t="str">
        <f t="shared" si="8"/>
        <v>Lang-LBD_pilot_HC2</v>
      </c>
      <c r="G280" s="12" t="s">
        <v>20</v>
      </c>
      <c r="H280" s="1">
        <f t="shared" si="9"/>
        <v>0</v>
      </c>
      <c r="I280" s="1" t="s">
        <v>233</v>
      </c>
      <c r="J280" s="1">
        <v>64</v>
      </c>
      <c r="K280" s="7">
        <v>27</v>
      </c>
      <c r="L280" s="7">
        <v>4</v>
      </c>
      <c r="M280" s="7">
        <v>18</v>
      </c>
      <c r="N280" s="8">
        <v>-1.07</v>
      </c>
      <c r="O280" s="7">
        <v>0.6</v>
      </c>
      <c r="P280" s="7">
        <v>-0.8</v>
      </c>
      <c r="Q280" s="7">
        <v>-0.87</v>
      </c>
      <c r="R280" s="7">
        <v>1</v>
      </c>
    </row>
    <row r="281" spans="1:18" ht="15.75" customHeight="1" x14ac:dyDescent="0.25">
      <c r="A281" s="1" t="s">
        <v>691</v>
      </c>
      <c r="B281" s="1" t="s">
        <v>692</v>
      </c>
      <c r="C281" s="1" t="s">
        <v>754</v>
      </c>
      <c r="D281" s="1" t="s">
        <v>755</v>
      </c>
      <c r="E281" s="1" t="s">
        <v>755</v>
      </c>
      <c r="F281" s="12" t="str">
        <f t="shared" si="8"/>
        <v>Lang-LBD_pilot_HC20</v>
      </c>
      <c r="G281" s="12" t="s">
        <v>20</v>
      </c>
      <c r="H281" s="1">
        <f t="shared" si="9"/>
        <v>0</v>
      </c>
      <c r="I281" s="1" t="s">
        <v>233</v>
      </c>
      <c r="J281" s="1">
        <v>65</v>
      </c>
      <c r="K281" s="7">
        <v>25</v>
      </c>
      <c r="L281" s="7">
        <v>2</v>
      </c>
      <c r="M281" s="7">
        <v>12</v>
      </c>
      <c r="N281" s="8">
        <v>-0.35</v>
      </c>
      <c r="O281" s="7">
        <v>0.13</v>
      </c>
      <c r="P281" s="7">
        <v>0.4</v>
      </c>
      <c r="Q281" s="7">
        <v>0.27</v>
      </c>
      <c r="R281" s="7">
        <v>1</v>
      </c>
    </row>
    <row r="282" spans="1:18" ht="15.75" customHeight="1" x14ac:dyDescent="0.25">
      <c r="A282" s="1" t="s">
        <v>691</v>
      </c>
      <c r="B282" s="1" t="s">
        <v>692</v>
      </c>
      <c r="C282" s="1" t="s">
        <v>756</v>
      </c>
      <c r="D282" s="1" t="s">
        <v>757</v>
      </c>
      <c r="E282" s="1" t="s">
        <v>757</v>
      </c>
      <c r="F282" s="12" t="str">
        <f t="shared" si="8"/>
        <v>Lang-LBD_pilot_HC21</v>
      </c>
      <c r="G282" s="12" t="s">
        <v>20</v>
      </c>
      <c r="H282" s="1">
        <f t="shared" si="9"/>
        <v>0</v>
      </c>
      <c r="I282" s="1" t="s">
        <v>233</v>
      </c>
      <c r="J282" s="1">
        <v>70</v>
      </c>
      <c r="K282" s="7">
        <v>25</v>
      </c>
      <c r="L282" s="7">
        <v>4</v>
      </c>
      <c r="M282" s="7">
        <v>21</v>
      </c>
      <c r="N282" s="8">
        <v>-0.98499999999999999</v>
      </c>
      <c r="O282" s="7">
        <v>1.9</v>
      </c>
      <c r="P282" s="7">
        <v>0.23</v>
      </c>
      <c r="Q282" s="7">
        <v>-0.47</v>
      </c>
      <c r="R282" s="7">
        <v>0</v>
      </c>
    </row>
    <row r="283" spans="1:18" ht="15.75" customHeight="1" x14ac:dyDescent="0.25">
      <c r="A283" s="1" t="s">
        <v>691</v>
      </c>
      <c r="B283" s="1" t="s">
        <v>692</v>
      </c>
      <c r="C283" s="1" t="s">
        <v>758</v>
      </c>
      <c r="D283" s="1" t="s">
        <v>759</v>
      </c>
      <c r="E283" s="1" t="s">
        <v>759</v>
      </c>
      <c r="F283" s="12" t="str">
        <f t="shared" si="8"/>
        <v>Lang-LBD_pilot_HC22</v>
      </c>
      <c r="G283" s="12" t="s">
        <v>20</v>
      </c>
      <c r="H283" s="1">
        <f t="shared" si="9"/>
        <v>0</v>
      </c>
      <c r="I283" s="1" t="s">
        <v>233</v>
      </c>
      <c r="J283" s="1">
        <v>62</v>
      </c>
      <c r="K283" s="7">
        <v>26</v>
      </c>
      <c r="L283" s="7">
        <v>4</v>
      </c>
      <c r="M283" s="7">
        <v>17</v>
      </c>
      <c r="N283" s="8">
        <v>-0.76500000000000001</v>
      </c>
      <c r="O283" s="7">
        <v>-0.1</v>
      </c>
      <c r="P283" s="7">
        <v>-0.27</v>
      </c>
      <c r="Q283" s="7">
        <v>0.37</v>
      </c>
      <c r="R283" s="7">
        <v>0</v>
      </c>
    </row>
    <row r="284" spans="1:18" ht="15.75" customHeight="1" x14ac:dyDescent="0.25">
      <c r="A284" s="1" t="s">
        <v>691</v>
      </c>
      <c r="B284" s="1" t="s">
        <v>692</v>
      </c>
      <c r="C284" s="1" t="s">
        <v>760</v>
      </c>
      <c r="D284" s="1" t="s">
        <v>761</v>
      </c>
      <c r="E284" s="1" t="s">
        <v>761</v>
      </c>
      <c r="F284" s="12" t="str">
        <f t="shared" si="8"/>
        <v>Lang-LBD_pilot_HC23</v>
      </c>
      <c r="G284" s="12" t="s">
        <v>20</v>
      </c>
      <c r="H284" s="1">
        <f t="shared" si="9"/>
        <v>0</v>
      </c>
      <c r="I284" s="1" t="s">
        <v>233</v>
      </c>
      <c r="J284" s="1">
        <v>67</v>
      </c>
      <c r="K284" s="7">
        <v>29</v>
      </c>
      <c r="L284" s="7">
        <v>4</v>
      </c>
      <c r="M284" s="7">
        <v>18</v>
      </c>
      <c r="N284" s="8">
        <v>-0.05</v>
      </c>
      <c r="O284" s="7">
        <v>0.67</v>
      </c>
      <c r="P284" s="7">
        <v>-0.03</v>
      </c>
      <c r="Q284" s="7">
        <v>-0.8</v>
      </c>
      <c r="R284" s="7">
        <v>1</v>
      </c>
    </row>
    <row r="285" spans="1:18" ht="15.75" customHeight="1" x14ac:dyDescent="0.25">
      <c r="A285" s="1" t="s">
        <v>691</v>
      </c>
      <c r="B285" s="1" t="s">
        <v>692</v>
      </c>
      <c r="C285" s="1" t="s">
        <v>762</v>
      </c>
      <c r="D285" s="1" t="s">
        <v>763</v>
      </c>
      <c r="E285" s="1" t="s">
        <v>763</v>
      </c>
      <c r="F285" s="12" t="str">
        <f t="shared" si="8"/>
        <v>Lang-LBD_pilot_HC24</v>
      </c>
      <c r="G285" s="12" t="s">
        <v>28</v>
      </c>
      <c r="H285" s="1">
        <f t="shared" si="9"/>
        <v>1</v>
      </c>
      <c r="I285" s="1" t="s">
        <v>233</v>
      </c>
      <c r="J285" s="1">
        <v>62</v>
      </c>
      <c r="K285" s="7">
        <v>28</v>
      </c>
      <c r="L285" s="7">
        <v>4</v>
      </c>
      <c r="M285" s="7">
        <v>21</v>
      </c>
      <c r="N285" s="8">
        <v>0.435</v>
      </c>
      <c r="O285" s="7">
        <v>0.83</v>
      </c>
      <c r="P285" s="7">
        <v>-0.1</v>
      </c>
      <c r="Q285" s="7">
        <v>-0.7</v>
      </c>
      <c r="R285" s="7">
        <v>0</v>
      </c>
    </row>
    <row r="286" spans="1:18" ht="15.75" customHeight="1" x14ac:dyDescent="0.25">
      <c r="A286" s="1" t="s">
        <v>691</v>
      </c>
      <c r="B286" s="1" t="s">
        <v>692</v>
      </c>
      <c r="C286" s="1" t="s">
        <v>766</v>
      </c>
      <c r="D286" s="1" t="s">
        <v>767</v>
      </c>
      <c r="E286" s="1" t="s">
        <v>767</v>
      </c>
      <c r="F286" s="12" t="str">
        <f t="shared" si="8"/>
        <v>Lang-LBD_pilot_HC28</v>
      </c>
      <c r="G286" s="12" t="s">
        <v>28</v>
      </c>
      <c r="H286" s="1">
        <f t="shared" si="9"/>
        <v>1</v>
      </c>
      <c r="I286" s="1" t="s">
        <v>233</v>
      </c>
      <c r="J286" s="1">
        <v>65</v>
      </c>
      <c r="K286" s="7">
        <v>28</v>
      </c>
      <c r="L286" s="7">
        <v>4</v>
      </c>
      <c r="M286" s="7">
        <v>17</v>
      </c>
      <c r="N286" s="8">
        <v>0.45</v>
      </c>
      <c r="O286" s="7">
        <v>0.37</v>
      </c>
      <c r="P286" s="7">
        <v>1.1299999999999999</v>
      </c>
      <c r="Q286" s="7">
        <v>0.3</v>
      </c>
      <c r="R286" s="7">
        <v>0</v>
      </c>
    </row>
    <row r="287" spans="1:18" ht="15.75" customHeight="1" x14ac:dyDescent="0.25">
      <c r="A287" s="1" t="s">
        <v>691</v>
      </c>
      <c r="B287" s="1" t="s">
        <v>692</v>
      </c>
      <c r="C287" s="1" t="s">
        <v>768</v>
      </c>
      <c r="D287" s="1" t="s">
        <v>769</v>
      </c>
      <c r="E287" s="1" t="s">
        <v>769</v>
      </c>
      <c r="F287" s="12" t="str">
        <f t="shared" si="8"/>
        <v>Lang-LBD_pilot_HC29</v>
      </c>
      <c r="G287" s="12" t="s">
        <v>20</v>
      </c>
      <c r="H287" s="1">
        <f t="shared" si="9"/>
        <v>0</v>
      </c>
      <c r="I287" s="1" t="s">
        <v>233</v>
      </c>
      <c r="J287" s="1">
        <v>62</v>
      </c>
      <c r="K287" s="7">
        <v>25</v>
      </c>
      <c r="L287" s="7">
        <v>4</v>
      </c>
      <c r="M287" s="7">
        <v>18</v>
      </c>
      <c r="N287" s="8">
        <v>-0.14000000000000001</v>
      </c>
      <c r="O287" s="7">
        <v>1</v>
      </c>
      <c r="P287" s="7">
        <v>1.8</v>
      </c>
      <c r="Q287" s="7">
        <v>1.03</v>
      </c>
      <c r="R287" s="7">
        <v>1</v>
      </c>
    </row>
    <row r="288" spans="1:18" ht="15.75" customHeight="1" x14ac:dyDescent="0.25">
      <c r="A288" s="1" t="s">
        <v>691</v>
      </c>
      <c r="B288" s="1" t="s">
        <v>692</v>
      </c>
      <c r="C288" s="1" t="s">
        <v>697</v>
      </c>
      <c r="D288" s="1" t="s">
        <v>698</v>
      </c>
      <c r="E288" s="1" t="s">
        <v>698</v>
      </c>
      <c r="F288" s="12" t="str">
        <f t="shared" si="8"/>
        <v>Lang-LBD_pilot_HC3</v>
      </c>
      <c r="G288" s="12" t="s">
        <v>20</v>
      </c>
      <c r="H288" s="1">
        <f t="shared" si="9"/>
        <v>0</v>
      </c>
      <c r="I288" s="1" t="s">
        <v>233</v>
      </c>
      <c r="J288" s="1">
        <v>64</v>
      </c>
      <c r="K288" s="7">
        <v>26</v>
      </c>
      <c r="L288" s="7">
        <v>3</v>
      </c>
      <c r="M288" s="7">
        <v>14</v>
      </c>
      <c r="N288" s="8">
        <v>-0.36499999999999999</v>
      </c>
      <c r="O288" s="7">
        <v>0.03</v>
      </c>
      <c r="P288" s="7">
        <v>0.03</v>
      </c>
      <c r="Q288" s="7">
        <v>0</v>
      </c>
      <c r="R288" s="7">
        <v>1</v>
      </c>
    </row>
    <row r="289" spans="1:18" ht="15.75" customHeight="1" x14ac:dyDescent="0.25">
      <c r="A289" s="1" t="s">
        <v>691</v>
      </c>
      <c r="B289" s="1" t="s">
        <v>692</v>
      </c>
      <c r="C289" s="1" t="s">
        <v>770</v>
      </c>
      <c r="D289" s="1" t="s">
        <v>771</v>
      </c>
      <c r="E289" s="1" t="s">
        <v>771</v>
      </c>
      <c r="F289" s="12" t="str">
        <f t="shared" si="8"/>
        <v>Lang-LBD_pilot_HC30</v>
      </c>
      <c r="G289" s="12" t="s">
        <v>28</v>
      </c>
      <c r="H289" s="1">
        <f t="shared" si="9"/>
        <v>1</v>
      </c>
      <c r="I289" s="1" t="s">
        <v>233</v>
      </c>
      <c r="J289" s="1">
        <v>69</v>
      </c>
      <c r="K289" s="7">
        <v>28</v>
      </c>
      <c r="L289" s="7">
        <v>3</v>
      </c>
      <c r="M289" s="7">
        <v>13</v>
      </c>
      <c r="N289" s="8">
        <v>-0.3</v>
      </c>
      <c r="O289" s="7">
        <v>0.77</v>
      </c>
      <c r="P289" s="7">
        <v>-0.73</v>
      </c>
      <c r="Q289" s="7">
        <v>-0.03</v>
      </c>
      <c r="R289" s="7">
        <v>0</v>
      </c>
    </row>
    <row r="290" spans="1:18" ht="15.75" customHeight="1" x14ac:dyDescent="0.25">
      <c r="A290" s="1" t="s">
        <v>691</v>
      </c>
      <c r="B290" s="1" t="s">
        <v>692</v>
      </c>
      <c r="C290" s="1" t="s">
        <v>772</v>
      </c>
      <c r="D290" s="1" t="s">
        <v>773</v>
      </c>
      <c r="E290" s="1" t="s">
        <v>773</v>
      </c>
      <c r="F290" s="12" t="str">
        <f t="shared" si="8"/>
        <v>Lang-LBD_pilot_HC31</v>
      </c>
      <c r="G290" s="12" t="s">
        <v>28</v>
      </c>
      <c r="H290" s="1">
        <f t="shared" si="9"/>
        <v>1</v>
      </c>
      <c r="I290" s="1" t="s">
        <v>233</v>
      </c>
      <c r="J290" s="1">
        <v>70</v>
      </c>
      <c r="K290" s="7">
        <v>30</v>
      </c>
      <c r="L290" s="7">
        <v>4</v>
      </c>
      <c r="M290" s="7">
        <v>17</v>
      </c>
      <c r="N290" s="8">
        <v>0.1</v>
      </c>
      <c r="O290" s="7">
        <v>0.83</v>
      </c>
      <c r="P290" s="7">
        <v>-1</v>
      </c>
      <c r="Q290" s="7">
        <v>7.0000000000000007E-2</v>
      </c>
      <c r="R290" s="7">
        <v>4</v>
      </c>
    </row>
    <row r="291" spans="1:18" ht="15.75" customHeight="1" x14ac:dyDescent="0.25">
      <c r="A291" s="1" t="s">
        <v>691</v>
      </c>
      <c r="B291" s="1" t="s">
        <v>692</v>
      </c>
      <c r="C291" s="1" t="s">
        <v>776</v>
      </c>
      <c r="D291" s="1" t="s">
        <v>777</v>
      </c>
      <c r="E291" s="1" t="s">
        <v>777</v>
      </c>
      <c r="F291" s="12" t="str">
        <f t="shared" si="8"/>
        <v>Lang-LBD_pilot_HC32</v>
      </c>
      <c r="G291" s="12" t="s">
        <v>28</v>
      </c>
      <c r="H291" s="1">
        <f t="shared" si="9"/>
        <v>1</v>
      </c>
      <c r="I291" s="1" t="s">
        <v>233</v>
      </c>
      <c r="J291" s="1">
        <v>65</v>
      </c>
      <c r="K291" s="7">
        <v>26</v>
      </c>
      <c r="L291" s="7">
        <v>3</v>
      </c>
      <c r="M291" s="7">
        <v>13</v>
      </c>
      <c r="N291" s="8">
        <v>-0.3</v>
      </c>
      <c r="O291" s="7">
        <v>0.9</v>
      </c>
      <c r="P291" s="7">
        <v>0.56999999999999995</v>
      </c>
      <c r="Q291" s="7">
        <v>0</v>
      </c>
      <c r="R291" s="7">
        <v>1</v>
      </c>
    </row>
    <row r="292" spans="1:18" ht="15.75" customHeight="1" x14ac:dyDescent="0.25">
      <c r="A292" s="1" t="s">
        <v>691</v>
      </c>
      <c r="B292" s="1" t="s">
        <v>692</v>
      </c>
      <c r="C292" s="1" t="s">
        <v>778</v>
      </c>
      <c r="D292" s="1" t="s">
        <v>779</v>
      </c>
      <c r="E292" s="1" t="s">
        <v>779</v>
      </c>
      <c r="F292" s="12" t="str">
        <f t="shared" si="8"/>
        <v>Lang-LBD_pilot_HC33</v>
      </c>
      <c r="G292" s="12" t="s">
        <v>28</v>
      </c>
      <c r="H292" s="1">
        <f t="shared" si="9"/>
        <v>1</v>
      </c>
      <c r="I292" s="1" t="s">
        <v>233</v>
      </c>
      <c r="J292" s="1">
        <v>65</v>
      </c>
      <c r="K292" s="7">
        <v>28</v>
      </c>
      <c r="L292" s="7">
        <v>3</v>
      </c>
      <c r="M292" s="7">
        <v>15</v>
      </c>
      <c r="N292" s="8">
        <v>-0.33500000000000002</v>
      </c>
      <c r="O292" s="7">
        <v>0.93</v>
      </c>
      <c r="P292" s="7">
        <v>-0.43</v>
      </c>
      <c r="Q292" s="7">
        <v>-0.27</v>
      </c>
      <c r="R292" s="7">
        <v>0</v>
      </c>
    </row>
    <row r="293" spans="1:18" ht="15.75" customHeight="1" x14ac:dyDescent="0.25">
      <c r="A293" s="1" t="s">
        <v>691</v>
      </c>
      <c r="B293" s="1" t="s">
        <v>692</v>
      </c>
      <c r="C293" s="1" t="s">
        <v>699</v>
      </c>
      <c r="D293" s="1" t="s">
        <v>700</v>
      </c>
      <c r="E293" s="1" t="s">
        <v>700</v>
      </c>
      <c r="F293" s="12" t="str">
        <f t="shared" si="8"/>
        <v>Lang-LBD_pilot_HC4</v>
      </c>
      <c r="G293" s="12" t="s">
        <v>20</v>
      </c>
      <c r="H293" s="1">
        <f t="shared" si="9"/>
        <v>0</v>
      </c>
      <c r="I293" s="1" t="s">
        <v>233</v>
      </c>
      <c r="J293" s="1">
        <v>74</v>
      </c>
      <c r="K293" s="7">
        <v>27</v>
      </c>
      <c r="L293" s="7">
        <v>3</v>
      </c>
      <c r="M293" s="7">
        <v>12</v>
      </c>
      <c r="N293" s="8">
        <v>-1.17</v>
      </c>
      <c r="O293" s="7">
        <v>-0.03</v>
      </c>
      <c r="P293" s="7">
        <v>-0.17</v>
      </c>
      <c r="Q293" s="7">
        <v>-0.37</v>
      </c>
      <c r="R293" s="7">
        <v>2</v>
      </c>
    </row>
    <row r="294" spans="1:18" ht="15.75" customHeight="1" x14ac:dyDescent="0.25">
      <c r="A294" s="1" t="s">
        <v>691</v>
      </c>
      <c r="B294" s="1" t="s">
        <v>692</v>
      </c>
      <c r="C294" s="1" t="s">
        <v>703</v>
      </c>
      <c r="D294" s="1" t="s">
        <v>704</v>
      </c>
      <c r="E294" s="1" t="s">
        <v>704</v>
      </c>
      <c r="F294" s="12" t="str">
        <f t="shared" si="8"/>
        <v>Lang-LBD_pilot_HC5</v>
      </c>
      <c r="G294" s="12" t="s">
        <v>28</v>
      </c>
      <c r="H294" s="1">
        <f t="shared" si="9"/>
        <v>1</v>
      </c>
      <c r="I294" s="1" t="s">
        <v>233</v>
      </c>
      <c r="J294" s="1">
        <v>75</v>
      </c>
      <c r="K294" s="7">
        <v>26</v>
      </c>
      <c r="L294" s="7">
        <v>3</v>
      </c>
      <c r="M294" s="7">
        <v>16</v>
      </c>
      <c r="N294" s="8">
        <v>-0.36499999999999999</v>
      </c>
      <c r="O294" s="7">
        <v>0.53</v>
      </c>
      <c r="P294" s="7">
        <v>-0.9</v>
      </c>
      <c r="Q294" s="7">
        <v>-1.2</v>
      </c>
      <c r="R294" s="7">
        <v>0</v>
      </c>
    </row>
    <row r="295" spans="1:18" ht="15.75" customHeight="1" x14ac:dyDescent="0.25">
      <c r="A295" s="1" t="s">
        <v>691</v>
      </c>
      <c r="B295" s="1" t="s">
        <v>692</v>
      </c>
      <c r="C295" s="1" t="s">
        <v>705</v>
      </c>
      <c r="D295" s="1" t="s">
        <v>706</v>
      </c>
      <c r="E295" s="1" t="s">
        <v>706</v>
      </c>
      <c r="F295" s="12" t="str">
        <f t="shared" si="8"/>
        <v>Lang-LBD_pilot_HC6</v>
      </c>
      <c r="G295" s="12" t="s">
        <v>28</v>
      </c>
      <c r="H295" s="1">
        <f t="shared" si="9"/>
        <v>1</v>
      </c>
      <c r="I295" s="1" t="s">
        <v>233</v>
      </c>
      <c r="J295" s="1">
        <v>69</v>
      </c>
      <c r="K295" s="7">
        <v>29</v>
      </c>
      <c r="L295" s="7">
        <v>3</v>
      </c>
      <c r="M295" s="7">
        <v>17</v>
      </c>
      <c r="N295" s="8">
        <v>0.115</v>
      </c>
      <c r="O295" s="7">
        <v>1.23</v>
      </c>
      <c r="P295" s="7">
        <v>-1.57</v>
      </c>
      <c r="Q295" s="7">
        <v>-0.6</v>
      </c>
      <c r="R295" s="7">
        <v>0</v>
      </c>
    </row>
    <row r="296" spans="1:18" ht="15.75" customHeight="1" x14ac:dyDescent="0.25">
      <c r="A296" s="1" t="s">
        <v>691</v>
      </c>
      <c r="B296" s="1" t="s">
        <v>692</v>
      </c>
      <c r="C296" s="1" t="s">
        <v>707</v>
      </c>
      <c r="D296" s="1" t="s">
        <v>708</v>
      </c>
      <c r="E296" s="1" t="s">
        <v>708</v>
      </c>
      <c r="F296" s="12" t="str">
        <f t="shared" si="8"/>
        <v>Lang-LBD_pilot_HC7</v>
      </c>
      <c r="G296" s="12" t="s">
        <v>20</v>
      </c>
      <c r="H296" s="1">
        <f t="shared" si="9"/>
        <v>0</v>
      </c>
      <c r="I296" s="1" t="s">
        <v>233</v>
      </c>
      <c r="J296" s="1">
        <v>66</v>
      </c>
      <c r="K296" s="7">
        <v>28</v>
      </c>
      <c r="L296" s="7">
        <v>3</v>
      </c>
      <c r="M296" s="7">
        <v>17</v>
      </c>
      <c r="N296" s="8">
        <v>-0.98499999999999999</v>
      </c>
      <c r="O296" s="7">
        <v>0.5</v>
      </c>
      <c r="P296" s="7">
        <v>-0.56999999999999995</v>
      </c>
      <c r="Q296" s="7">
        <v>0.83</v>
      </c>
      <c r="R296" s="7">
        <v>3</v>
      </c>
    </row>
    <row r="297" spans="1:18" ht="15.75" customHeight="1" x14ac:dyDescent="0.25">
      <c r="A297" s="1" t="s">
        <v>691</v>
      </c>
      <c r="B297" s="1" t="s">
        <v>692</v>
      </c>
      <c r="C297" s="1" t="s">
        <v>711</v>
      </c>
      <c r="D297" s="1" t="s">
        <v>712</v>
      </c>
      <c r="E297" s="1" t="s">
        <v>712</v>
      </c>
      <c r="F297" s="12" t="str">
        <f t="shared" si="8"/>
        <v>Lang-LBD_pilot_HC8</v>
      </c>
      <c r="G297" s="12" t="s">
        <v>28</v>
      </c>
      <c r="H297" s="1">
        <f t="shared" si="9"/>
        <v>1</v>
      </c>
      <c r="I297" s="1" t="s">
        <v>233</v>
      </c>
      <c r="J297" s="1">
        <v>67</v>
      </c>
      <c r="K297" s="7">
        <v>27</v>
      </c>
      <c r="L297" s="7">
        <v>3</v>
      </c>
      <c r="M297" s="7">
        <v>15</v>
      </c>
      <c r="N297" s="8">
        <v>0.91500000000000004</v>
      </c>
      <c r="O297" s="7">
        <v>0.8</v>
      </c>
      <c r="P297" s="7">
        <v>-1.43</v>
      </c>
      <c r="Q297" s="7">
        <v>-0.87</v>
      </c>
      <c r="R297" s="7">
        <v>0</v>
      </c>
    </row>
    <row r="298" spans="1:18" ht="15.75" customHeight="1" x14ac:dyDescent="0.25">
      <c r="A298" s="1" t="s">
        <v>691</v>
      </c>
      <c r="B298" s="1" t="s">
        <v>692</v>
      </c>
      <c r="C298" s="1" t="s">
        <v>713</v>
      </c>
      <c r="D298" s="1" t="s">
        <v>714</v>
      </c>
      <c r="E298" s="1" t="s">
        <v>714</v>
      </c>
      <c r="F298" s="12" t="str">
        <f t="shared" si="8"/>
        <v>Lang-LBD_pilot_HC9</v>
      </c>
      <c r="G298" s="12" t="s">
        <v>28</v>
      </c>
      <c r="H298" s="1">
        <f t="shared" si="9"/>
        <v>1</v>
      </c>
      <c r="I298" s="1" t="s">
        <v>233</v>
      </c>
      <c r="J298" s="1">
        <v>62</v>
      </c>
      <c r="K298" s="7">
        <v>27</v>
      </c>
      <c r="L298" s="7">
        <v>4</v>
      </c>
      <c r="M298" s="7">
        <v>18</v>
      </c>
      <c r="N298" s="8">
        <v>0.32</v>
      </c>
      <c r="O298" s="7">
        <v>0.9</v>
      </c>
      <c r="P298" s="7">
        <v>-0.83</v>
      </c>
      <c r="Q298" s="7">
        <v>-0.83</v>
      </c>
      <c r="R298" s="7">
        <v>0</v>
      </c>
    </row>
    <row r="299" spans="1:18" ht="15.75" customHeight="1" x14ac:dyDescent="0.25">
      <c r="A299" s="1" t="s">
        <v>691</v>
      </c>
      <c r="B299" s="1" t="s">
        <v>692</v>
      </c>
      <c r="C299" s="1" t="s">
        <v>701</v>
      </c>
      <c r="D299" s="1" t="s">
        <v>702</v>
      </c>
      <c r="E299" s="1" t="s">
        <v>702</v>
      </c>
      <c r="F299" s="12" t="str">
        <f t="shared" si="8"/>
        <v>Lang-LBD_pilot_P1</v>
      </c>
      <c r="G299" s="12" t="s">
        <v>20</v>
      </c>
      <c r="H299" s="1">
        <f t="shared" si="9"/>
        <v>0</v>
      </c>
      <c r="I299" s="1" t="s">
        <v>108</v>
      </c>
      <c r="J299" s="1">
        <v>60</v>
      </c>
      <c r="K299" s="7">
        <v>28</v>
      </c>
      <c r="L299" s="7">
        <v>4</v>
      </c>
      <c r="M299" s="7">
        <v>17</v>
      </c>
      <c r="N299" s="8">
        <v>-0.86499999999999999</v>
      </c>
      <c r="O299" s="7">
        <v>0.4</v>
      </c>
      <c r="P299" s="7">
        <v>0.33</v>
      </c>
      <c r="Q299" s="7">
        <v>-0.53</v>
      </c>
      <c r="R299" s="7">
        <v>0</v>
      </c>
    </row>
    <row r="300" spans="1:18" ht="15.75" customHeight="1" x14ac:dyDescent="0.25">
      <c r="A300" s="1" t="s">
        <v>691</v>
      </c>
      <c r="B300" s="1" t="s">
        <v>692</v>
      </c>
      <c r="C300" s="1" t="s">
        <v>738</v>
      </c>
      <c r="D300" s="1" t="s">
        <v>739</v>
      </c>
      <c r="E300" s="1" t="s">
        <v>739</v>
      </c>
      <c r="F300" s="12" t="str">
        <f t="shared" si="8"/>
        <v>Lang-LBD_pilot_P10</v>
      </c>
      <c r="G300" s="12" t="s">
        <v>28</v>
      </c>
      <c r="H300" s="1">
        <f t="shared" si="9"/>
        <v>1</v>
      </c>
      <c r="I300" s="1" t="s">
        <v>391</v>
      </c>
      <c r="J300" s="1">
        <v>74</v>
      </c>
      <c r="K300" s="7">
        <v>24</v>
      </c>
      <c r="L300" s="7">
        <v>1</v>
      </c>
      <c r="M300" s="7">
        <v>9</v>
      </c>
      <c r="N300" s="8">
        <v>-0.95</v>
      </c>
      <c r="O300" s="7">
        <v>0.1</v>
      </c>
      <c r="P300" s="7">
        <v>-0.56999999999999995</v>
      </c>
      <c r="Q300" s="7">
        <v>-1.47</v>
      </c>
      <c r="R300" s="7">
        <v>12</v>
      </c>
    </row>
    <row r="301" spans="1:18" ht="15.75" customHeight="1" x14ac:dyDescent="0.25">
      <c r="A301" s="1" t="s">
        <v>691</v>
      </c>
      <c r="B301" s="1" t="s">
        <v>692</v>
      </c>
      <c r="C301" s="1" t="s">
        <v>742</v>
      </c>
      <c r="D301" s="1" t="s">
        <v>743</v>
      </c>
      <c r="E301" s="1" t="s">
        <v>743</v>
      </c>
      <c r="F301" s="12" t="str">
        <f t="shared" si="8"/>
        <v>Lang-LBD_pilot_P14</v>
      </c>
      <c r="G301" s="12" t="s">
        <v>20</v>
      </c>
      <c r="H301" s="1">
        <f t="shared" si="9"/>
        <v>0</v>
      </c>
      <c r="I301" s="1" t="s">
        <v>391</v>
      </c>
      <c r="J301" s="1">
        <v>71</v>
      </c>
      <c r="K301" s="7">
        <v>22</v>
      </c>
      <c r="L301" s="7">
        <v>3</v>
      </c>
      <c r="M301" s="7">
        <v>14</v>
      </c>
      <c r="N301" s="8">
        <v>-1.07</v>
      </c>
      <c r="O301" s="7">
        <v>0.43</v>
      </c>
      <c r="P301" s="7">
        <v>-0.1</v>
      </c>
      <c r="Q301" s="7">
        <v>-0.9</v>
      </c>
      <c r="R301" s="7">
        <v>1</v>
      </c>
    </row>
    <row r="302" spans="1:18" ht="15.75" customHeight="1" x14ac:dyDescent="0.25">
      <c r="A302" s="1" t="s">
        <v>691</v>
      </c>
      <c r="B302" s="1" t="s">
        <v>692</v>
      </c>
      <c r="C302" s="1" t="s">
        <v>744</v>
      </c>
      <c r="D302" s="1" t="s">
        <v>745</v>
      </c>
      <c r="E302" s="1" t="s">
        <v>745</v>
      </c>
      <c r="F302" s="12" t="str">
        <f t="shared" si="8"/>
        <v>Lang-LBD_pilot_P15</v>
      </c>
      <c r="G302" s="12" t="s">
        <v>28</v>
      </c>
      <c r="H302" s="1">
        <f t="shared" si="9"/>
        <v>1</v>
      </c>
      <c r="I302" s="1" t="s">
        <v>391</v>
      </c>
      <c r="J302" s="1">
        <v>66</v>
      </c>
      <c r="K302" s="7">
        <v>27</v>
      </c>
      <c r="L302" s="7">
        <v>4</v>
      </c>
      <c r="M302" s="7">
        <v>20</v>
      </c>
      <c r="N302" s="8">
        <v>-1</v>
      </c>
      <c r="O302" s="7">
        <v>0.77</v>
      </c>
      <c r="P302" s="7">
        <v>-0.2</v>
      </c>
      <c r="Q302" s="7">
        <v>-1.07</v>
      </c>
      <c r="R302" s="7">
        <v>1</v>
      </c>
    </row>
    <row r="303" spans="1:18" ht="15.75" customHeight="1" x14ac:dyDescent="0.25">
      <c r="A303" s="1" t="s">
        <v>691</v>
      </c>
      <c r="B303" s="1" t="s">
        <v>692</v>
      </c>
      <c r="C303" s="1" t="s">
        <v>746</v>
      </c>
      <c r="D303" s="1" t="s">
        <v>747</v>
      </c>
      <c r="E303" s="1" t="s">
        <v>747</v>
      </c>
      <c r="F303" s="12" t="str">
        <f t="shared" si="8"/>
        <v>Lang-LBD_pilot_P16</v>
      </c>
      <c r="G303" s="12" t="s">
        <v>20</v>
      </c>
      <c r="H303" s="1">
        <f t="shared" si="9"/>
        <v>0</v>
      </c>
      <c r="I303" s="1" t="s">
        <v>108</v>
      </c>
      <c r="J303" s="1">
        <v>76</v>
      </c>
      <c r="K303" s="7">
        <v>20</v>
      </c>
      <c r="L303" s="7">
        <v>2</v>
      </c>
      <c r="M303" s="7">
        <v>14</v>
      </c>
      <c r="N303" s="8">
        <v>-1.7150000000000001</v>
      </c>
      <c r="O303" s="7">
        <v>-0.56999999999999995</v>
      </c>
      <c r="P303" s="7">
        <v>-1.03</v>
      </c>
      <c r="Q303" s="7">
        <v>-2.6</v>
      </c>
      <c r="R303" s="7">
        <v>4</v>
      </c>
    </row>
    <row r="304" spans="1:18" ht="15.75" customHeight="1" x14ac:dyDescent="0.25">
      <c r="A304" s="1" t="s">
        <v>691</v>
      </c>
      <c r="B304" s="1" t="s">
        <v>692</v>
      </c>
      <c r="C304" s="1" t="s">
        <v>748</v>
      </c>
      <c r="D304" s="1" t="s">
        <v>749</v>
      </c>
      <c r="E304" s="1" t="s">
        <v>749</v>
      </c>
      <c r="F304" s="12" t="str">
        <f t="shared" si="8"/>
        <v>Lang-LBD_pilot_P17</v>
      </c>
      <c r="G304" s="12" t="s">
        <v>20</v>
      </c>
      <c r="H304" s="1">
        <f t="shared" si="9"/>
        <v>0</v>
      </c>
      <c r="I304" s="1" t="s">
        <v>108</v>
      </c>
      <c r="J304" s="1">
        <v>67</v>
      </c>
      <c r="K304" s="7">
        <v>21</v>
      </c>
      <c r="L304" s="7">
        <v>3</v>
      </c>
      <c r="M304" s="7">
        <v>13</v>
      </c>
      <c r="N304" s="8">
        <v>-2.0350000000000001</v>
      </c>
      <c r="O304" s="7">
        <v>-1.23</v>
      </c>
      <c r="P304" s="7">
        <v>-2.4300000000000002</v>
      </c>
      <c r="Q304" s="7">
        <v>-2.17</v>
      </c>
      <c r="R304" s="7">
        <v>7</v>
      </c>
    </row>
    <row r="305" spans="1:18" ht="15.75" customHeight="1" x14ac:dyDescent="0.25">
      <c r="A305" s="1" t="s">
        <v>691</v>
      </c>
      <c r="B305" s="1" t="s">
        <v>692</v>
      </c>
      <c r="C305" s="1" t="s">
        <v>764</v>
      </c>
      <c r="D305" s="1" t="s">
        <v>765</v>
      </c>
      <c r="E305" s="1" t="s">
        <v>765</v>
      </c>
      <c r="F305" s="12" t="str">
        <f t="shared" si="8"/>
        <v>Lang-LBD_pilot_P19</v>
      </c>
      <c r="G305" s="12" t="s">
        <v>20</v>
      </c>
      <c r="H305" s="1">
        <f t="shared" si="9"/>
        <v>0</v>
      </c>
      <c r="I305" s="1" t="s">
        <v>233</v>
      </c>
      <c r="J305" s="1">
        <v>72</v>
      </c>
      <c r="K305" s="7">
        <v>26</v>
      </c>
      <c r="L305" s="7">
        <v>3</v>
      </c>
      <c r="M305" s="7">
        <v>13</v>
      </c>
      <c r="N305" s="8">
        <v>-1.2150000000000001</v>
      </c>
      <c r="O305" s="7">
        <v>1.17</v>
      </c>
      <c r="P305" s="7">
        <v>-0.03</v>
      </c>
      <c r="Q305" s="7">
        <v>-1.3</v>
      </c>
      <c r="R305" s="7">
        <v>1</v>
      </c>
    </row>
    <row r="306" spans="1:18" ht="15.75" customHeight="1" x14ac:dyDescent="0.25">
      <c r="A306" s="1" t="s">
        <v>691</v>
      </c>
      <c r="B306" s="1" t="s">
        <v>692</v>
      </c>
      <c r="C306" s="1" t="s">
        <v>709</v>
      </c>
      <c r="D306" s="1" t="s">
        <v>710</v>
      </c>
      <c r="E306" s="1" t="s">
        <v>710</v>
      </c>
      <c r="F306" s="12" t="str">
        <f t="shared" si="8"/>
        <v>Lang-LBD_pilot_P2</v>
      </c>
      <c r="G306" s="12" t="s">
        <v>20</v>
      </c>
      <c r="H306" s="1">
        <f t="shared" si="9"/>
        <v>0</v>
      </c>
      <c r="I306" s="1" t="s">
        <v>108</v>
      </c>
      <c r="J306" s="1">
        <v>73</v>
      </c>
      <c r="K306" s="7">
        <v>22</v>
      </c>
      <c r="L306" s="7">
        <v>3</v>
      </c>
      <c r="M306" s="7">
        <v>14</v>
      </c>
      <c r="N306" s="8">
        <v>-1.365</v>
      </c>
      <c r="O306" s="7">
        <v>-0.27</v>
      </c>
      <c r="P306" s="7">
        <v>-1.17</v>
      </c>
      <c r="Q306" s="7">
        <v>-1.2</v>
      </c>
      <c r="R306" s="7">
        <v>2</v>
      </c>
    </row>
    <row r="307" spans="1:18" ht="15.75" customHeight="1" x14ac:dyDescent="0.25">
      <c r="A307" s="1" t="s">
        <v>691</v>
      </c>
      <c r="B307" s="1" t="s">
        <v>692</v>
      </c>
      <c r="C307" s="1" t="s">
        <v>774</v>
      </c>
      <c r="D307" s="1" t="s">
        <v>775</v>
      </c>
      <c r="E307" s="1" t="s">
        <v>775</v>
      </c>
      <c r="F307" s="12" t="str">
        <f t="shared" si="8"/>
        <v>Lang-LBD_pilot_P20</v>
      </c>
      <c r="G307" s="12" t="s">
        <v>20</v>
      </c>
      <c r="H307" s="1">
        <f t="shared" si="9"/>
        <v>0</v>
      </c>
      <c r="I307" s="1" t="s">
        <v>108</v>
      </c>
      <c r="J307" s="1">
        <v>69</v>
      </c>
      <c r="K307" s="7">
        <v>26</v>
      </c>
      <c r="L307" s="7">
        <v>4</v>
      </c>
      <c r="M307" s="7">
        <v>18</v>
      </c>
      <c r="N307" s="8">
        <v>-1.6850000000000001</v>
      </c>
      <c r="O307" s="7">
        <v>-0.3</v>
      </c>
      <c r="P307" s="7">
        <v>-1.6</v>
      </c>
      <c r="Q307" s="7">
        <v>-1.47</v>
      </c>
      <c r="R307" s="7">
        <v>2</v>
      </c>
    </row>
    <row r="308" spans="1:18" ht="15.75" customHeight="1" x14ac:dyDescent="0.25">
      <c r="A308" s="1" t="s">
        <v>691</v>
      </c>
      <c r="B308" s="1" t="s">
        <v>692</v>
      </c>
      <c r="C308" s="1" t="s">
        <v>780</v>
      </c>
      <c r="D308" s="1" t="s">
        <v>781</v>
      </c>
      <c r="E308" s="1" t="s">
        <v>781</v>
      </c>
      <c r="F308" s="12" t="str">
        <f t="shared" si="8"/>
        <v>Lang-LBD_pilot_P21</v>
      </c>
      <c r="G308" s="12" t="s">
        <v>20</v>
      </c>
      <c r="H308" s="1">
        <f t="shared" si="9"/>
        <v>0</v>
      </c>
      <c r="I308" s="1" t="s">
        <v>108</v>
      </c>
      <c r="J308" s="1">
        <v>80</v>
      </c>
      <c r="K308" s="7">
        <v>19</v>
      </c>
      <c r="L308" s="7">
        <v>4</v>
      </c>
      <c r="M308" s="7">
        <v>20</v>
      </c>
      <c r="N308" s="8">
        <v>-2.2999999999999998</v>
      </c>
      <c r="O308" s="7">
        <v>-0.4</v>
      </c>
      <c r="P308" s="7">
        <v>-0.63</v>
      </c>
      <c r="Q308" s="7">
        <v>-2.67</v>
      </c>
      <c r="R308" s="7">
        <v>2</v>
      </c>
    </row>
    <row r="309" spans="1:18" ht="15.75" customHeight="1" x14ac:dyDescent="0.25">
      <c r="A309" s="1" t="s">
        <v>691</v>
      </c>
      <c r="B309" s="1" t="s">
        <v>692</v>
      </c>
      <c r="C309" s="1" t="s">
        <v>782</v>
      </c>
      <c r="D309" s="1" t="s">
        <v>783</v>
      </c>
      <c r="E309" s="1" t="s">
        <v>783</v>
      </c>
      <c r="F309" s="12" t="str">
        <f t="shared" si="8"/>
        <v>Lang-LBD_pilot_P22</v>
      </c>
      <c r="G309" s="12" t="s">
        <v>20</v>
      </c>
      <c r="H309" s="1">
        <f t="shared" si="9"/>
        <v>0</v>
      </c>
      <c r="I309" s="1" t="s">
        <v>108</v>
      </c>
      <c r="J309" s="1">
        <v>78</v>
      </c>
      <c r="K309" s="7">
        <v>23</v>
      </c>
      <c r="L309" s="7">
        <v>4</v>
      </c>
      <c r="M309" s="7">
        <v>25</v>
      </c>
      <c r="N309" s="8">
        <v>-1.4650000000000001</v>
      </c>
      <c r="O309" s="7">
        <v>-0.23</v>
      </c>
      <c r="P309" s="7">
        <v>-0.73</v>
      </c>
      <c r="Q309" s="7">
        <v>-0.6</v>
      </c>
      <c r="R309" s="7">
        <v>12</v>
      </c>
    </row>
    <row r="310" spans="1:18" ht="15.75" customHeight="1" x14ac:dyDescent="0.25">
      <c r="A310" s="1" t="s">
        <v>691</v>
      </c>
      <c r="B310" s="1" t="s">
        <v>692</v>
      </c>
      <c r="C310" s="1" t="s">
        <v>784</v>
      </c>
      <c r="D310" s="1" t="s">
        <v>785</v>
      </c>
      <c r="E310" s="1" t="s">
        <v>785</v>
      </c>
      <c r="F310" s="12" t="str">
        <f t="shared" si="8"/>
        <v>Lang-LBD_pilot_P23</v>
      </c>
      <c r="G310" s="12" t="s">
        <v>28</v>
      </c>
      <c r="H310" s="1">
        <f t="shared" si="9"/>
        <v>1</v>
      </c>
      <c r="I310" s="1" t="s">
        <v>108</v>
      </c>
      <c r="J310" s="1">
        <v>73</v>
      </c>
      <c r="K310" s="7">
        <v>25</v>
      </c>
      <c r="L310" s="7">
        <v>3</v>
      </c>
      <c r="M310" s="7">
        <v>13</v>
      </c>
      <c r="N310" s="8">
        <v>-1.02</v>
      </c>
      <c r="O310" s="7">
        <v>-0.03</v>
      </c>
      <c r="P310" s="7">
        <v>-0.33</v>
      </c>
      <c r="Q310" s="7">
        <v>-1.97</v>
      </c>
      <c r="R310" s="7">
        <v>1</v>
      </c>
    </row>
    <row r="311" spans="1:18" ht="15.75" customHeight="1" x14ac:dyDescent="0.25">
      <c r="A311" s="1" t="s">
        <v>691</v>
      </c>
      <c r="B311" s="1" t="s">
        <v>692</v>
      </c>
      <c r="C311" s="1" t="s">
        <v>786</v>
      </c>
      <c r="D311" s="1" t="s">
        <v>787</v>
      </c>
      <c r="E311" s="1" t="s">
        <v>787</v>
      </c>
      <c r="F311" s="12" t="str">
        <f t="shared" si="8"/>
        <v>Lang-LBD_pilot_P24</v>
      </c>
      <c r="G311" s="12" t="s">
        <v>20</v>
      </c>
      <c r="H311" s="1">
        <f t="shared" si="9"/>
        <v>0</v>
      </c>
      <c r="I311" s="1" t="s">
        <v>108</v>
      </c>
      <c r="J311" s="1">
        <v>71</v>
      </c>
      <c r="K311" s="7">
        <v>25</v>
      </c>
      <c r="L311" s="7">
        <v>3</v>
      </c>
      <c r="M311" s="7">
        <v>15</v>
      </c>
      <c r="N311" s="8">
        <v>-2.0649999999999999</v>
      </c>
      <c r="O311" s="7">
        <v>0.4</v>
      </c>
      <c r="P311" s="7">
        <v>0.5</v>
      </c>
      <c r="Q311" s="7">
        <v>-1.53</v>
      </c>
      <c r="R311" s="7">
        <v>3</v>
      </c>
    </row>
    <row r="312" spans="1:18" ht="15.75" customHeight="1" x14ac:dyDescent="0.25">
      <c r="A312" s="1" t="s">
        <v>691</v>
      </c>
      <c r="B312" s="1" t="s">
        <v>692</v>
      </c>
      <c r="C312" s="1" t="s">
        <v>788</v>
      </c>
      <c r="D312" s="1" t="s">
        <v>789</v>
      </c>
      <c r="E312" s="1" t="s">
        <v>789</v>
      </c>
      <c r="F312" s="12" t="str">
        <f t="shared" si="8"/>
        <v>Lang-LBD_pilot_P25</v>
      </c>
      <c r="G312" s="12" t="s">
        <v>20</v>
      </c>
      <c r="H312" s="1">
        <f t="shared" si="9"/>
        <v>0</v>
      </c>
      <c r="I312" s="1" t="s">
        <v>108</v>
      </c>
      <c r="J312" s="1">
        <v>76</v>
      </c>
      <c r="K312" s="7">
        <v>26</v>
      </c>
      <c r="L312" s="7">
        <v>3</v>
      </c>
      <c r="M312" s="7">
        <v>12</v>
      </c>
      <c r="N312" s="8">
        <v>-1.45</v>
      </c>
      <c r="O312" s="7">
        <v>0.13</v>
      </c>
      <c r="P312" s="7">
        <v>-1.365</v>
      </c>
      <c r="Q312" s="7">
        <v>-0.53500000000000003</v>
      </c>
      <c r="R312" s="7">
        <v>3</v>
      </c>
    </row>
    <row r="313" spans="1:18" ht="15.75" customHeight="1" x14ac:dyDescent="0.25">
      <c r="A313" s="1" t="s">
        <v>691</v>
      </c>
      <c r="B313" s="1" t="s">
        <v>692</v>
      </c>
      <c r="C313" s="1" t="s">
        <v>790</v>
      </c>
      <c r="D313" s="1" t="s">
        <v>791</v>
      </c>
      <c r="E313" s="1" t="s">
        <v>791</v>
      </c>
      <c r="F313" s="12" t="str">
        <f t="shared" si="8"/>
        <v>Lang-LBD_pilot_P26</v>
      </c>
      <c r="G313" s="12" t="s">
        <v>20</v>
      </c>
      <c r="H313" s="1">
        <f t="shared" si="9"/>
        <v>0</v>
      </c>
      <c r="I313" s="1" t="s">
        <v>108</v>
      </c>
      <c r="J313" s="1">
        <v>66</v>
      </c>
      <c r="K313" s="7">
        <v>25</v>
      </c>
      <c r="L313" s="7">
        <v>4</v>
      </c>
      <c r="M313" s="7">
        <v>18</v>
      </c>
      <c r="N313" s="8">
        <v>-1.65</v>
      </c>
      <c r="O313" s="7">
        <v>-0.38500000000000001</v>
      </c>
      <c r="P313" s="7">
        <v>-1.33</v>
      </c>
      <c r="Q313" s="7">
        <v>-1.4</v>
      </c>
      <c r="R313" s="7">
        <v>2</v>
      </c>
    </row>
    <row r="314" spans="1:18" ht="15.75" customHeight="1" x14ac:dyDescent="0.25">
      <c r="A314" s="1" t="s">
        <v>691</v>
      </c>
      <c r="B314" s="1" t="s">
        <v>692</v>
      </c>
      <c r="C314" s="1" t="s">
        <v>792</v>
      </c>
      <c r="D314" s="1" t="s">
        <v>793</v>
      </c>
      <c r="E314" s="1" t="s">
        <v>793</v>
      </c>
      <c r="F314" s="12" t="str">
        <f t="shared" si="8"/>
        <v>Lang-LBD_pilot_P27</v>
      </c>
      <c r="G314" s="12" t="s">
        <v>20</v>
      </c>
      <c r="H314" s="1">
        <f t="shared" si="9"/>
        <v>0</v>
      </c>
      <c r="I314" s="1" t="s">
        <v>108</v>
      </c>
      <c r="J314" s="1">
        <v>79</v>
      </c>
      <c r="K314" s="7">
        <v>27</v>
      </c>
      <c r="L314" s="7">
        <v>4</v>
      </c>
      <c r="M314" s="7">
        <v>18</v>
      </c>
      <c r="N314" s="8">
        <v>-0.58499999999999996</v>
      </c>
      <c r="O314" s="7">
        <v>1</v>
      </c>
      <c r="P314" s="7">
        <v>-0.83</v>
      </c>
      <c r="Q314" s="7">
        <v>-7.0000000000000007E-2</v>
      </c>
      <c r="R314" s="7">
        <v>3</v>
      </c>
    </row>
    <row r="315" spans="1:18" ht="15.75" customHeight="1" x14ac:dyDescent="0.25">
      <c r="A315" s="1" t="s">
        <v>691</v>
      </c>
      <c r="B315" s="1" t="s">
        <v>692</v>
      </c>
      <c r="C315" s="1" t="s">
        <v>715</v>
      </c>
      <c r="D315" s="1" t="s">
        <v>716</v>
      </c>
      <c r="E315" s="1" t="s">
        <v>716</v>
      </c>
      <c r="F315" s="12" t="str">
        <f t="shared" si="8"/>
        <v>Lang-LBD_pilot_P3</v>
      </c>
      <c r="G315" s="12" t="s">
        <v>28</v>
      </c>
      <c r="H315" s="1">
        <f t="shared" si="9"/>
        <v>1</v>
      </c>
      <c r="I315" s="1" t="s">
        <v>108</v>
      </c>
      <c r="J315" s="1">
        <v>70</v>
      </c>
      <c r="K315" s="7">
        <v>24</v>
      </c>
      <c r="L315" s="7">
        <v>2</v>
      </c>
      <c r="M315" s="7">
        <v>12</v>
      </c>
      <c r="N315" s="8">
        <v>-0.52</v>
      </c>
      <c r="O315" s="7">
        <v>-0.13</v>
      </c>
      <c r="P315" s="7">
        <v>-0.6</v>
      </c>
      <c r="Q315" s="7">
        <v>-0.63</v>
      </c>
      <c r="R315" s="7">
        <v>2</v>
      </c>
    </row>
    <row r="316" spans="1:18" ht="15.75" customHeight="1" x14ac:dyDescent="0.25">
      <c r="A316" s="1" t="s">
        <v>691</v>
      </c>
      <c r="B316" s="1" t="s">
        <v>692</v>
      </c>
      <c r="C316" s="1" t="s">
        <v>726</v>
      </c>
      <c r="D316" s="1" t="s">
        <v>727</v>
      </c>
      <c r="E316" s="1" t="s">
        <v>727</v>
      </c>
      <c r="F316" s="12" t="str">
        <f t="shared" si="8"/>
        <v>Lang-LBD_pilot_P5</v>
      </c>
      <c r="G316" s="12" t="s">
        <v>28</v>
      </c>
      <c r="H316" s="1">
        <f t="shared" si="9"/>
        <v>1</v>
      </c>
      <c r="I316" s="1" t="s">
        <v>391</v>
      </c>
      <c r="J316" s="1">
        <v>74</v>
      </c>
      <c r="K316" s="7">
        <v>20</v>
      </c>
      <c r="L316" s="7">
        <v>2</v>
      </c>
      <c r="M316" s="7">
        <v>13</v>
      </c>
      <c r="N316" s="8">
        <v>-1.2150000000000001</v>
      </c>
      <c r="O316" s="7">
        <v>-0.93</v>
      </c>
      <c r="P316" s="7">
        <v>-0.33</v>
      </c>
      <c r="Q316" s="7">
        <v>-1.7</v>
      </c>
      <c r="R316" s="7">
        <v>1</v>
      </c>
    </row>
    <row r="317" spans="1:18" ht="15.75" customHeight="1" x14ac:dyDescent="0.25">
      <c r="A317" s="1" t="s">
        <v>691</v>
      </c>
      <c r="B317" s="1" t="s">
        <v>692</v>
      </c>
      <c r="C317" s="1" t="s">
        <v>728</v>
      </c>
      <c r="D317" s="1" t="s">
        <v>729</v>
      </c>
      <c r="E317" s="1" t="s">
        <v>729</v>
      </c>
      <c r="F317" s="12" t="str">
        <f t="shared" si="8"/>
        <v>Lang-LBD_pilot_P6</v>
      </c>
      <c r="G317" s="12" t="s">
        <v>20</v>
      </c>
      <c r="H317" s="1">
        <f t="shared" si="9"/>
        <v>0</v>
      </c>
      <c r="I317" s="1" t="s">
        <v>108</v>
      </c>
      <c r="J317" s="1">
        <v>76</v>
      </c>
      <c r="K317" s="7">
        <v>23</v>
      </c>
      <c r="L317" s="7">
        <v>1</v>
      </c>
      <c r="M317" s="7">
        <v>9</v>
      </c>
      <c r="N317" s="8">
        <v>0.23499999999999999</v>
      </c>
      <c r="O317" s="7">
        <v>0.23</v>
      </c>
      <c r="P317" s="7">
        <v>-1.2</v>
      </c>
      <c r="Q317" s="7">
        <v>-1.8</v>
      </c>
      <c r="R317" s="7">
        <v>2</v>
      </c>
    </row>
    <row r="318" spans="1:18" ht="15.75" customHeight="1" x14ac:dyDescent="0.25">
      <c r="A318" s="1" t="s">
        <v>691</v>
      </c>
      <c r="B318" s="1" t="s">
        <v>692</v>
      </c>
      <c r="C318" s="1" t="s">
        <v>730</v>
      </c>
      <c r="D318" s="1" t="s">
        <v>731</v>
      </c>
      <c r="E318" s="1" t="s">
        <v>731</v>
      </c>
      <c r="F318" s="12" t="str">
        <f t="shared" si="8"/>
        <v>Lang-LBD_pilot_P7</v>
      </c>
      <c r="G318" s="12" t="s">
        <v>28</v>
      </c>
      <c r="H318" s="1">
        <f t="shared" si="9"/>
        <v>1</v>
      </c>
      <c r="I318" s="1" t="s">
        <v>391</v>
      </c>
      <c r="J318" s="1">
        <v>77</v>
      </c>
      <c r="K318" s="7">
        <v>24</v>
      </c>
      <c r="L318" s="7">
        <v>3</v>
      </c>
      <c r="M318" s="7">
        <v>13</v>
      </c>
      <c r="N318" s="8">
        <v>-0.65</v>
      </c>
      <c r="O318" s="7">
        <v>0.13</v>
      </c>
      <c r="P318" s="7">
        <v>-1.4</v>
      </c>
      <c r="Q318" s="7">
        <v>-0.23</v>
      </c>
      <c r="R318" s="7">
        <v>1</v>
      </c>
    </row>
    <row r="319" spans="1:18" ht="15.75" customHeight="1" x14ac:dyDescent="0.25">
      <c r="A319" s="1" t="s">
        <v>691</v>
      </c>
      <c r="B319" s="1" t="s">
        <v>692</v>
      </c>
      <c r="C319" s="1" t="s">
        <v>732</v>
      </c>
      <c r="D319" s="1" t="s">
        <v>733</v>
      </c>
      <c r="E319" s="1" t="s">
        <v>733</v>
      </c>
      <c r="F319" s="12" t="str">
        <f t="shared" si="8"/>
        <v>Lang-LBD_pilot_P8</v>
      </c>
      <c r="G319" s="12" t="s">
        <v>28</v>
      </c>
      <c r="H319" s="1">
        <f t="shared" si="9"/>
        <v>1</v>
      </c>
      <c r="I319" s="1" t="s">
        <v>108</v>
      </c>
      <c r="J319" s="1">
        <v>71</v>
      </c>
      <c r="K319" s="7">
        <v>24</v>
      </c>
      <c r="L319" s="7">
        <v>4</v>
      </c>
      <c r="M319" s="7">
        <v>18</v>
      </c>
      <c r="N319" s="8">
        <v>-0.86499999999999999</v>
      </c>
      <c r="O319" s="7">
        <v>-0.4</v>
      </c>
      <c r="P319" s="7">
        <v>-0.1</v>
      </c>
      <c r="Q319" s="7">
        <v>-0.8</v>
      </c>
      <c r="R319" s="7">
        <v>2</v>
      </c>
    </row>
    <row r="320" spans="1:18" ht="15.75" customHeight="1" x14ac:dyDescent="0.25">
      <c r="A320" s="1" t="s">
        <v>691</v>
      </c>
      <c r="B320" s="1" t="s">
        <v>692</v>
      </c>
      <c r="C320" s="1" t="s">
        <v>736</v>
      </c>
      <c r="D320" s="1" t="s">
        <v>737</v>
      </c>
      <c r="E320" s="1" t="s">
        <v>737</v>
      </c>
      <c r="F320" s="12" t="str">
        <f t="shared" si="8"/>
        <v>Lang-LBD_pilot_P9</v>
      </c>
      <c r="G320" s="12" t="s">
        <v>28</v>
      </c>
      <c r="H320" s="1">
        <f t="shared" si="9"/>
        <v>1</v>
      </c>
      <c r="I320" s="1" t="s">
        <v>108</v>
      </c>
      <c r="J320" s="1">
        <v>70</v>
      </c>
      <c r="K320" s="7">
        <v>25</v>
      </c>
      <c r="L320" s="7">
        <v>4</v>
      </c>
      <c r="M320" s="7">
        <v>18</v>
      </c>
      <c r="N320" s="8">
        <v>-1.585</v>
      </c>
      <c r="O320" s="7">
        <v>0.33</v>
      </c>
      <c r="P320" s="7">
        <v>-0.14000000000000001</v>
      </c>
      <c r="Q320" s="7">
        <v>-1.3</v>
      </c>
      <c r="R320" s="7">
        <v>5</v>
      </c>
    </row>
    <row r="321" spans="1:18" ht="15.75" customHeight="1" x14ac:dyDescent="0.25">
      <c r="A321" s="1" t="s">
        <v>218</v>
      </c>
      <c r="B321" s="1" t="s">
        <v>219</v>
      </c>
      <c r="C321" s="1" t="s">
        <v>222</v>
      </c>
      <c r="D321" s="1" t="s">
        <v>223</v>
      </c>
      <c r="F321" s="12" t="str">
        <f t="shared" si="8"/>
        <v>PD_HOME_long_PDHOME10</v>
      </c>
      <c r="G321" s="12" t="s">
        <v>20</v>
      </c>
      <c r="H321" s="1">
        <f t="shared" si="9"/>
        <v>0</v>
      </c>
      <c r="I321" s="1" t="s">
        <v>108</v>
      </c>
      <c r="J321" s="1">
        <v>58</v>
      </c>
      <c r="K321" s="7">
        <v>25</v>
      </c>
      <c r="L321" s="7">
        <v>2</v>
      </c>
      <c r="M321" s="7">
        <v>12</v>
      </c>
      <c r="N321">
        <f>median!F$3</f>
        <v>-2.08</v>
      </c>
      <c r="O321">
        <f>median!G$3</f>
        <v>-0.25</v>
      </c>
      <c r="P321">
        <f>median!H$3</f>
        <v>-0.35</v>
      </c>
      <c r="Q321">
        <f>median!I$3</f>
        <v>-0.9</v>
      </c>
      <c r="R321">
        <f>median!J$3</f>
        <v>0</v>
      </c>
    </row>
    <row r="322" spans="1:18" ht="15.75" customHeight="1" x14ac:dyDescent="0.25">
      <c r="A322" s="1" t="s">
        <v>218</v>
      </c>
      <c r="B322" s="1" t="s">
        <v>219</v>
      </c>
      <c r="C322" s="1" t="s">
        <v>663</v>
      </c>
      <c r="D322" s="1" t="s">
        <v>664</v>
      </c>
      <c r="F322" s="12" t="str">
        <f t="shared" ref="F322:F385" si="10">A322&amp;"_"&amp;D322</f>
        <v>PD_HOME_long_PDHOME13</v>
      </c>
      <c r="G322" s="12" t="s">
        <v>20</v>
      </c>
      <c r="H322" s="1">
        <f t="shared" ref="H322:H385" si="11">IF(G322="M",0,IF(G322="F",1,""))</f>
        <v>0</v>
      </c>
      <c r="I322" s="1" t="s">
        <v>108</v>
      </c>
      <c r="J322" s="1">
        <v>53</v>
      </c>
      <c r="K322" s="7">
        <v>27</v>
      </c>
      <c r="L322" s="7">
        <v>3</v>
      </c>
      <c r="M322" s="7">
        <v>13</v>
      </c>
      <c r="N322">
        <f>median!F$3</f>
        <v>-2.08</v>
      </c>
      <c r="O322">
        <f>median!G$3</f>
        <v>-0.25</v>
      </c>
      <c r="P322">
        <f>median!H$3</f>
        <v>-0.35</v>
      </c>
      <c r="Q322">
        <f>median!I$3</f>
        <v>-0.9</v>
      </c>
      <c r="R322">
        <f>median!J$3</f>
        <v>0</v>
      </c>
    </row>
    <row r="323" spans="1:18" ht="15.75" customHeight="1" x14ac:dyDescent="0.25">
      <c r="A323" s="1" t="s">
        <v>218</v>
      </c>
      <c r="B323" s="1" t="s">
        <v>219</v>
      </c>
      <c r="C323" s="1" t="s">
        <v>665</v>
      </c>
      <c r="D323" s="1" t="s">
        <v>666</v>
      </c>
      <c r="F323" s="12" t="str">
        <f t="shared" si="10"/>
        <v>PD_HOME_long_PDHOME15</v>
      </c>
      <c r="G323" s="12" t="s">
        <v>20</v>
      </c>
      <c r="H323" s="1">
        <f t="shared" si="11"/>
        <v>0</v>
      </c>
      <c r="I323" s="1" t="s">
        <v>108</v>
      </c>
      <c r="J323" s="1">
        <v>64</v>
      </c>
      <c r="K323" s="7">
        <v>27</v>
      </c>
      <c r="L323" s="7">
        <v>4</v>
      </c>
      <c r="M323" s="7">
        <v>18</v>
      </c>
      <c r="N323">
        <f>median!F$3</f>
        <v>-2.08</v>
      </c>
      <c r="O323">
        <f>median!G$3</f>
        <v>-0.25</v>
      </c>
      <c r="P323">
        <f>median!H$3</f>
        <v>-0.35</v>
      </c>
      <c r="Q323">
        <f>median!I$3</f>
        <v>-0.9</v>
      </c>
      <c r="R323">
        <f>median!J$3</f>
        <v>0</v>
      </c>
    </row>
    <row r="324" spans="1:18" ht="15.75" customHeight="1" x14ac:dyDescent="0.25">
      <c r="A324" s="1" t="s">
        <v>218</v>
      </c>
      <c r="B324" s="1" t="s">
        <v>219</v>
      </c>
      <c r="C324" s="1" t="s">
        <v>667</v>
      </c>
      <c r="D324" s="1" t="s">
        <v>668</v>
      </c>
      <c r="F324" s="12" t="str">
        <f t="shared" si="10"/>
        <v>PD_HOME_long_PDHOME22</v>
      </c>
      <c r="G324" s="12" t="s">
        <v>20</v>
      </c>
      <c r="H324" s="1">
        <f t="shared" si="11"/>
        <v>0</v>
      </c>
      <c r="I324" s="1" t="s">
        <v>108</v>
      </c>
      <c r="J324" s="1">
        <v>73</v>
      </c>
      <c r="K324" s="7">
        <v>26</v>
      </c>
      <c r="L324" s="7">
        <v>4</v>
      </c>
      <c r="M324" s="7">
        <v>18</v>
      </c>
      <c r="N324">
        <f>median!F$3</f>
        <v>-2.08</v>
      </c>
      <c r="O324">
        <f>median!G$3</f>
        <v>-0.25</v>
      </c>
      <c r="P324">
        <f>median!H$3</f>
        <v>-0.35</v>
      </c>
      <c r="Q324">
        <f>median!I$3</f>
        <v>-0.9</v>
      </c>
      <c r="R324">
        <f>median!J$3</f>
        <v>0</v>
      </c>
    </row>
    <row r="325" spans="1:18" ht="15.75" customHeight="1" x14ac:dyDescent="0.25">
      <c r="A325" s="1" t="s">
        <v>218</v>
      </c>
      <c r="B325" s="1" t="s">
        <v>219</v>
      </c>
      <c r="C325" s="1" t="s">
        <v>669</v>
      </c>
      <c r="D325" s="1" t="s">
        <v>670</v>
      </c>
      <c r="F325" s="12" t="str">
        <f t="shared" si="10"/>
        <v>PD_HOME_long_PDHOME23</v>
      </c>
      <c r="G325" s="12" t="s">
        <v>20</v>
      </c>
      <c r="H325" s="1">
        <f t="shared" si="11"/>
        <v>0</v>
      </c>
      <c r="I325" s="1" t="s">
        <v>108</v>
      </c>
      <c r="J325" s="1">
        <v>60</v>
      </c>
      <c r="K325" s="7">
        <v>26</v>
      </c>
      <c r="L325" s="7">
        <v>4</v>
      </c>
      <c r="M325" s="7">
        <v>18</v>
      </c>
      <c r="N325">
        <f>median!F$3</f>
        <v>-2.08</v>
      </c>
      <c r="O325">
        <f>median!G$3</f>
        <v>-0.25</v>
      </c>
      <c r="P325">
        <f>median!H$3</f>
        <v>-0.35</v>
      </c>
      <c r="Q325">
        <f>median!I$3</f>
        <v>-0.9</v>
      </c>
      <c r="R325">
        <f>median!J$3</f>
        <v>0</v>
      </c>
    </row>
    <row r="326" spans="1:18" ht="15.75" customHeight="1" x14ac:dyDescent="0.25">
      <c r="A326" s="1" t="s">
        <v>218</v>
      </c>
      <c r="B326" s="1" t="s">
        <v>219</v>
      </c>
      <c r="C326" s="1" t="s">
        <v>671</v>
      </c>
      <c r="D326" s="1" t="s">
        <v>672</v>
      </c>
      <c r="F326" s="12" t="str">
        <f t="shared" si="10"/>
        <v>PD_HOME_long_PDHOME24</v>
      </c>
      <c r="G326" s="12" t="s">
        <v>20</v>
      </c>
      <c r="H326" s="1">
        <f t="shared" si="11"/>
        <v>0</v>
      </c>
      <c r="I326" s="1" t="s">
        <v>108</v>
      </c>
      <c r="J326" s="1">
        <v>62</v>
      </c>
      <c r="K326" s="7">
        <v>27</v>
      </c>
      <c r="L326" s="7">
        <v>4</v>
      </c>
      <c r="M326" s="7">
        <v>18</v>
      </c>
      <c r="N326">
        <f>median!F$3</f>
        <v>-2.08</v>
      </c>
      <c r="O326">
        <f>median!G$3</f>
        <v>-0.25</v>
      </c>
      <c r="P326">
        <f>median!H$3</f>
        <v>-0.35</v>
      </c>
      <c r="Q326">
        <f>median!I$3</f>
        <v>-0.9</v>
      </c>
      <c r="R326">
        <f>median!J$3</f>
        <v>0</v>
      </c>
    </row>
    <row r="327" spans="1:18" ht="15.75" customHeight="1" x14ac:dyDescent="0.25">
      <c r="A327" s="1" t="s">
        <v>218</v>
      </c>
      <c r="B327" s="1" t="s">
        <v>219</v>
      </c>
      <c r="C327" s="1" t="s">
        <v>673</v>
      </c>
      <c r="D327" s="1" t="s">
        <v>674</v>
      </c>
      <c r="F327" s="12" t="str">
        <f t="shared" si="10"/>
        <v>PD_HOME_long_PDHOME25</v>
      </c>
      <c r="G327" s="12" t="s">
        <v>28</v>
      </c>
      <c r="H327" s="1">
        <f t="shared" si="11"/>
        <v>1</v>
      </c>
      <c r="I327" s="1" t="s">
        <v>108</v>
      </c>
      <c r="J327" s="1">
        <v>60</v>
      </c>
      <c r="K327" s="7">
        <v>26</v>
      </c>
      <c r="L327" s="7">
        <v>3</v>
      </c>
      <c r="M327" s="7">
        <v>13</v>
      </c>
      <c r="N327">
        <f>median!F$3</f>
        <v>-2.08</v>
      </c>
      <c r="O327">
        <f>median!G$3</f>
        <v>-0.25</v>
      </c>
      <c r="P327">
        <f>median!H$3</f>
        <v>-0.35</v>
      </c>
      <c r="Q327">
        <f>median!I$3</f>
        <v>-0.9</v>
      </c>
      <c r="R327">
        <f>median!J$3</f>
        <v>0</v>
      </c>
    </row>
    <row r="328" spans="1:18" ht="15.75" customHeight="1" x14ac:dyDescent="0.25">
      <c r="A328" s="1" t="s">
        <v>218</v>
      </c>
      <c r="B328" s="1" t="s">
        <v>219</v>
      </c>
      <c r="C328" s="1" t="s">
        <v>675</v>
      </c>
      <c r="D328" s="1" t="s">
        <v>676</v>
      </c>
      <c r="F328" s="12" t="str">
        <f t="shared" si="10"/>
        <v>PD_HOME_long_PDHOME26</v>
      </c>
      <c r="G328" s="12" t="s">
        <v>28</v>
      </c>
      <c r="H328" s="1">
        <f t="shared" si="11"/>
        <v>1</v>
      </c>
      <c r="I328" s="1" t="s">
        <v>108</v>
      </c>
      <c r="J328" s="1">
        <v>62</v>
      </c>
      <c r="K328" s="7">
        <v>27</v>
      </c>
      <c r="L328" s="7">
        <v>4</v>
      </c>
      <c r="M328" s="7">
        <v>18</v>
      </c>
      <c r="N328">
        <f>median!F$3</f>
        <v>-2.08</v>
      </c>
      <c r="O328">
        <f>median!G$3</f>
        <v>-0.25</v>
      </c>
      <c r="P328">
        <f>median!H$3</f>
        <v>-0.35</v>
      </c>
      <c r="Q328">
        <f>median!I$3</f>
        <v>-0.9</v>
      </c>
      <c r="R328">
        <f>median!J$3</f>
        <v>0</v>
      </c>
    </row>
    <row r="329" spans="1:18" ht="15.75" customHeight="1" x14ac:dyDescent="0.25">
      <c r="A329" s="1" t="s">
        <v>218</v>
      </c>
      <c r="B329" s="1" t="s">
        <v>219</v>
      </c>
      <c r="C329" s="1" t="s">
        <v>677</v>
      </c>
      <c r="D329" s="1" t="s">
        <v>678</v>
      </c>
      <c r="F329" s="12" t="str">
        <f t="shared" si="10"/>
        <v>PD_HOME_long_PDHOME27</v>
      </c>
      <c r="G329" s="12" t="s">
        <v>28</v>
      </c>
      <c r="H329" s="1">
        <f t="shared" si="11"/>
        <v>1</v>
      </c>
      <c r="I329" s="1" t="s">
        <v>108</v>
      </c>
      <c r="J329" s="1">
        <v>66</v>
      </c>
      <c r="K329" s="7">
        <v>25</v>
      </c>
      <c r="L329" s="7">
        <v>3</v>
      </c>
      <c r="M329" s="7">
        <v>13</v>
      </c>
      <c r="N329">
        <f>median!F$3</f>
        <v>-2.08</v>
      </c>
      <c r="O329">
        <f>median!G$3</f>
        <v>-0.25</v>
      </c>
      <c r="P329">
        <f>median!H$3</f>
        <v>-0.35</v>
      </c>
      <c r="Q329">
        <f>median!I$3</f>
        <v>-0.9</v>
      </c>
      <c r="R329">
        <f>median!J$3</f>
        <v>0</v>
      </c>
    </row>
    <row r="330" spans="1:18" ht="15.75" customHeight="1" x14ac:dyDescent="0.25">
      <c r="A330" s="1" t="s">
        <v>218</v>
      </c>
      <c r="B330" s="1" t="s">
        <v>219</v>
      </c>
      <c r="C330" s="1" t="s">
        <v>679</v>
      </c>
      <c r="D330" s="1" t="s">
        <v>680</v>
      </c>
      <c r="F330" s="12" t="str">
        <f t="shared" si="10"/>
        <v>PD_HOME_long_PDHOME30</v>
      </c>
      <c r="G330" s="12" t="s">
        <v>20</v>
      </c>
      <c r="H330" s="1">
        <f t="shared" si="11"/>
        <v>0</v>
      </c>
      <c r="I330" s="1" t="s">
        <v>108</v>
      </c>
      <c r="J330" s="1">
        <v>77</v>
      </c>
      <c r="K330" s="7">
        <v>28</v>
      </c>
      <c r="L330" s="7">
        <v>4</v>
      </c>
      <c r="M330" s="7">
        <v>18</v>
      </c>
      <c r="N330">
        <f>median!F$3</f>
        <v>-2.08</v>
      </c>
      <c r="O330">
        <f>median!G$3</f>
        <v>-0.25</v>
      </c>
      <c r="P330">
        <f>median!H$3</f>
        <v>-0.35</v>
      </c>
      <c r="Q330">
        <f>median!I$3</f>
        <v>-0.9</v>
      </c>
      <c r="R330">
        <f>median!J$3</f>
        <v>0</v>
      </c>
    </row>
    <row r="331" spans="1:18" ht="15.75" customHeight="1" x14ac:dyDescent="0.25">
      <c r="A331" s="1" t="s">
        <v>218</v>
      </c>
      <c r="B331" s="1" t="s">
        <v>219</v>
      </c>
      <c r="C331" s="1" t="s">
        <v>681</v>
      </c>
      <c r="D331" s="1" t="s">
        <v>682</v>
      </c>
      <c r="F331" s="12" t="str">
        <f t="shared" si="10"/>
        <v>PD_HOME_long_PDHOME31</v>
      </c>
      <c r="G331" s="12" t="s">
        <v>20</v>
      </c>
      <c r="H331" s="1">
        <f t="shared" si="11"/>
        <v>0</v>
      </c>
      <c r="I331" s="1" t="s">
        <v>108</v>
      </c>
      <c r="J331" s="1">
        <v>71</v>
      </c>
      <c r="K331" s="7">
        <v>22</v>
      </c>
      <c r="L331" s="7">
        <v>4</v>
      </c>
      <c r="M331" s="7">
        <v>19</v>
      </c>
      <c r="N331">
        <f>median!F$3</f>
        <v>-2.08</v>
      </c>
      <c r="O331">
        <f>median!G$3</f>
        <v>-0.25</v>
      </c>
      <c r="P331">
        <f>median!H$3</f>
        <v>-0.35</v>
      </c>
      <c r="Q331">
        <f>median!I$3</f>
        <v>-0.9</v>
      </c>
      <c r="R331">
        <f>median!J$3</f>
        <v>0</v>
      </c>
    </row>
    <row r="332" spans="1:18" ht="15.75" customHeight="1" x14ac:dyDescent="0.25">
      <c r="A332" s="1" t="s">
        <v>218</v>
      </c>
      <c r="B332" s="1" t="s">
        <v>219</v>
      </c>
      <c r="C332" s="1" t="s">
        <v>683</v>
      </c>
      <c r="D332" s="1" t="s">
        <v>684</v>
      </c>
      <c r="F332" s="12" t="str">
        <f t="shared" si="10"/>
        <v>PD_HOME_long_PDHOME33</v>
      </c>
      <c r="G332" s="12" t="s">
        <v>20</v>
      </c>
      <c r="H332" s="1">
        <f t="shared" si="11"/>
        <v>0</v>
      </c>
      <c r="I332" s="1" t="s">
        <v>108</v>
      </c>
      <c r="J332" s="1">
        <v>70</v>
      </c>
      <c r="K332" s="7">
        <v>27</v>
      </c>
      <c r="L332" s="7">
        <v>3</v>
      </c>
      <c r="M332" s="7">
        <v>13</v>
      </c>
      <c r="N332">
        <f>median!F$3</f>
        <v>-2.08</v>
      </c>
      <c r="O332">
        <f>median!G$3</f>
        <v>-0.25</v>
      </c>
      <c r="P332">
        <f>median!H$3</f>
        <v>-0.35</v>
      </c>
      <c r="Q332">
        <f>median!I$3</f>
        <v>-0.9</v>
      </c>
      <c r="R332">
        <f>median!J$3</f>
        <v>0</v>
      </c>
    </row>
    <row r="333" spans="1:18" ht="15.75" customHeight="1" x14ac:dyDescent="0.25">
      <c r="A333" s="1" t="s">
        <v>218</v>
      </c>
      <c r="B333" s="1" t="s">
        <v>219</v>
      </c>
      <c r="C333" s="1" t="s">
        <v>685</v>
      </c>
      <c r="D333" s="1" t="s">
        <v>686</v>
      </c>
      <c r="F333" s="12" t="str">
        <f t="shared" si="10"/>
        <v>PD_HOME_long_PDHOME35</v>
      </c>
      <c r="G333" s="12" t="s">
        <v>20</v>
      </c>
      <c r="H333" s="1">
        <f t="shared" si="11"/>
        <v>0</v>
      </c>
      <c r="I333" s="1" t="s">
        <v>108</v>
      </c>
      <c r="J333" s="1">
        <v>61</v>
      </c>
      <c r="K333" s="7">
        <v>28</v>
      </c>
      <c r="L333" s="7">
        <v>4</v>
      </c>
      <c r="M333" s="7">
        <v>23</v>
      </c>
      <c r="N333">
        <f>median!F$3</f>
        <v>-2.08</v>
      </c>
      <c r="O333">
        <f>median!G$3</f>
        <v>-0.25</v>
      </c>
      <c r="P333">
        <f>median!H$3</f>
        <v>-0.35</v>
      </c>
      <c r="Q333">
        <f>median!I$3</f>
        <v>-0.9</v>
      </c>
      <c r="R333">
        <f>median!J$3</f>
        <v>0</v>
      </c>
    </row>
    <row r="334" spans="1:18" ht="15.75" customHeight="1" x14ac:dyDescent="0.25">
      <c r="A334" s="1" t="s">
        <v>218</v>
      </c>
      <c r="B334" s="1" t="s">
        <v>219</v>
      </c>
      <c r="C334" s="1" t="s">
        <v>687</v>
      </c>
      <c r="D334" s="1" t="s">
        <v>688</v>
      </c>
      <c r="F334" s="12" t="str">
        <f t="shared" si="10"/>
        <v>PD_HOME_long_PDHOME36</v>
      </c>
      <c r="G334" s="12" t="s">
        <v>20</v>
      </c>
      <c r="H334" s="1">
        <f t="shared" si="11"/>
        <v>0</v>
      </c>
      <c r="I334" s="1" t="s">
        <v>108</v>
      </c>
      <c r="J334" s="1">
        <v>82</v>
      </c>
      <c r="K334" s="7">
        <v>26</v>
      </c>
      <c r="L334" s="7">
        <v>4</v>
      </c>
      <c r="M334" s="7">
        <v>18</v>
      </c>
      <c r="N334">
        <f>median!F$3</f>
        <v>-2.08</v>
      </c>
      <c r="O334">
        <f>median!G$3</f>
        <v>-0.25</v>
      </c>
      <c r="P334">
        <f>median!H$3</f>
        <v>-0.35</v>
      </c>
      <c r="Q334">
        <f>median!I$3</f>
        <v>-0.9</v>
      </c>
      <c r="R334">
        <f>median!J$3</f>
        <v>0</v>
      </c>
    </row>
    <row r="335" spans="1:18" ht="15.75" customHeight="1" x14ac:dyDescent="0.25">
      <c r="A335" s="1" t="s">
        <v>218</v>
      </c>
      <c r="B335" s="1" t="s">
        <v>219</v>
      </c>
      <c r="C335" s="1" t="s">
        <v>689</v>
      </c>
      <c r="D335" s="1" t="s">
        <v>690</v>
      </c>
      <c r="F335" s="12" t="str">
        <f t="shared" si="10"/>
        <v>PD_HOME_long_PDHOME37</v>
      </c>
      <c r="G335" s="12" t="s">
        <v>28</v>
      </c>
      <c r="H335" s="1">
        <f t="shared" si="11"/>
        <v>1</v>
      </c>
      <c r="I335" s="1" t="s">
        <v>108</v>
      </c>
      <c r="J335" s="1">
        <v>65</v>
      </c>
      <c r="K335" s="7">
        <v>27</v>
      </c>
      <c r="L335" s="7">
        <v>3</v>
      </c>
      <c r="M335" s="7">
        <v>13</v>
      </c>
      <c r="N335">
        <f>median!F$3</f>
        <v>-2.08</v>
      </c>
      <c r="O335">
        <f>median!G$3</f>
        <v>-0.25</v>
      </c>
      <c r="P335">
        <f>median!H$3</f>
        <v>-0.35</v>
      </c>
      <c r="Q335">
        <f>median!I$3</f>
        <v>-0.9</v>
      </c>
      <c r="R335">
        <f>median!J$3</f>
        <v>0</v>
      </c>
    </row>
    <row r="336" spans="1:18" ht="15.75" customHeight="1" x14ac:dyDescent="0.25">
      <c r="A336" s="1" t="s">
        <v>218</v>
      </c>
      <c r="B336" s="1" t="s">
        <v>219</v>
      </c>
      <c r="C336" s="1" t="s">
        <v>220</v>
      </c>
      <c r="D336" s="1" t="s">
        <v>221</v>
      </c>
      <c r="F336" s="12" t="str">
        <f t="shared" si="10"/>
        <v>PD_HOME_long_PDHOME9</v>
      </c>
      <c r="G336" s="12" t="s">
        <v>20</v>
      </c>
      <c r="H336" s="1">
        <f t="shared" si="11"/>
        <v>0</v>
      </c>
      <c r="I336" s="1" t="s">
        <v>108</v>
      </c>
      <c r="J336" s="1">
        <v>58</v>
      </c>
      <c r="K336" s="7">
        <v>28</v>
      </c>
      <c r="L336" s="7">
        <v>4</v>
      </c>
      <c r="M336" s="7">
        <v>18</v>
      </c>
      <c r="N336">
        <f>median!F$3</f>
        <v>-2.08</v>
      </c>
      <c r="O336">
        <f>median!G$3</f>
        <v>-0.25</v>
      </c>
      <c r="P336">
        <f>median!H$3</f>
        <v>-0.35</v>
      </c>
      <c r="Q336">
        <f>median!I$3</f>
        <v>-0.9</v>
      </c>
      <c r="R336">
        <f>median!J$3</f>
        <v>0</v>
      </c>
    </row>
    <row r="337" spans="1:18" ht="15.75" customHeight="1" x14ac:dyDescent="0.25">
      <c r="A337" s="1" t="s">
        <v>210</v>
      </c>
      <c r="B337" s="1" t="s">
        <v>211</v>
      </c>
      <c r="C337" s="1" t="s">
        <v>216</v>
      </c>
      <c r="D337" s="1" t="s">
        <v>217</v>
      </c>
      <c r="F337" s="12" t="str">
        <f t="shared" si="10"/>
        <v>PD_HOME_pilot_hanacekpredstim1</v>
      </c>
      <c r="G337" s="12" t="s">
        <v>20</v>
      </c>
      <c r="H337" s="1">
        <f t="shared" si="11"/>
        <v>0</v>
      </c>
      <c r="I337" s="1" t="s">
        <v>108</v>
      </c>
      <c r="J337" s="1">
        <v>69</v>
      </c>
      <c r="K337" s="7">
        <v>26</v>
      </c>
      <c r="L337">
        <f>median!D$3</f>
        <v>4</v>
      </c>
      <c r="M337">
        <f>median!E$3</f>
        <v>18</v>
      </c>
      <c r="N337">
        <f>median!F$3</f>
        <v>-2.08</v>
      </c>
      <c r="O337">
        <f>median!G$3</f>
        <v>-0.25</v>
      </c>
      <c r="P337">
        <f>median!H$3</f>
        <v>-0.35</v>
      </c>
      <c r="Q337">
        <f>median!I$3</f>
        <v>-0.9</v>
      </c>
      <c r="R337" s="7">
        <v>3</v>
      </c>
    </row>
    <row r="338" spans="1:18" ht="15.75" customHeight="1" x14ac:dyDescent="0.25">
      <c r="A338" s="1" t="s">
        <v>210</v>
      </c>
      <c r="B338" s="1" t="s">
        <v>211</v>
      </c>
      <c r="C338" s="1" t="s">
        <v>214</v>
      </c>
      <c r="D338" s="1" t="s">
        <v>215</v>
      </c>
      <c r="F338" s="12" t="str">
        <f t="shared" si="10"/>
        <v>PD_HOME_pilot_hriczopredstim1</v>
      </c>
      <c r="G338" s="12" t="s">
        <v>20</v>
      </c>
      <c r="H338" s="1">
        <f t="shared" si="11"/>
        <v>0</v>
      </c>
      <c r="I338" s="1" t="s">
        <v>108</v>
      </c>
      <c r="J338" s="1">
        <v>62</v>
      </c>
      <c r="K338" s="7">
        <v>26</v>
      </c>
      <c r="L338" s="7">
        <v>4</v>
      </c>
      <c r="M338" s="7">
        <v>18</v>
      </c>
      <c r="N338">
        <f>median!F$3</f>
        <v>-2.08</v>
      </c>
      <c r="O338">
        <f>median!G$3</f>
        <v>-0.25</v>
      </c>
      <c r="P338">
        <f>median!H$3</f>
        <v>-0.35</v>
      </c>
      <c r="Q338">
        <f>median!I$3</f>
        <v>-0.9</v>
      </c>
      <c r="R338" s="7">
        <v>8</v>
      </c>
    </row>
    <row r="339" spans="1:18" ht="15.75" customHeight="1" x14ac:dyDescent="0.25">
      <c r="A339" s="1" t="s">
        <v>210</v>
      </c>
      <c r="B339" s="1" t="s">
        <v>211</v>
      </c>
      <c r="C339" s="1" t="s">
        <v>212</v>
      </c>
      <c r="D339" s="1" t="s">
        <v>213</v>
      </c>
      <c r="F339" s="12" t="str">
        <f t="shared" si="10"/>
        <v>PD_HOME_pilot_povazanovapredstim1</v>
      </c>
      <c r="G339" s="12" t="s">
        <v>28</v>
      </c>
      <c r="H339" s="1">
        <f t="shared" si="11"/>
        <v>1</v>
      </c>
      <c r="I339" s="1" t="s">
        <v>108</v>
      </c>
      <c r="J339" s="1">
        <v>56</v>
      </c>
      <c r="K339" s="7">
        <v>28</v>
      </c>
      <c r="L339">
        <f>median!D$3</f>
        <v>4</v>
      </c>
      <c r="M339">
        <f>median!E$3</f>
        <v>18</v>
      </c>
      <c r="N339">
        <f>median!F$3</f>
        <v>-2.08</v>
      </c>
      <c r="O339">
        <f>median!G$3</f>
        <v>-0.25</v>
      </c>
      <c r="P339">
        <f>median!H$3</f>
        <v>-0.35</v>
      </c>
      <c r="Q339">
        <f>median!I$3</f>
        <v>-0.9</v>
      </c>
      <c r="R339">
        <f>median!J$3</f>
        <v>0</v>
      </c>
    </row>
    <row r="340" spans="1:18" ht="15.75" customHeight="1" x14ac:dyDescent="0.25">
      <c r="A340" s="1" t="s">
        <v>53</v>
      </c>
      <c r="B340" s="1" t="s">
        <v>54</v>
      </c>
      <c r="C340" s="1" t="s">
        <v>324</v>
      </c>
      <c r="D340" s="1" t="s">
        <v>325</v>
      </c>
      <c r="E340" s="1" t="s">
        <v>326</v>
      </c>
      <c r="F340" s="12" t="str">
        <f t="shared" si="10"/>
        <v>preDLB_HC-1#1</v>
      </c>
      <c r="G340" s="12" t="s">
        <v>20</v>
      </c>
      <c r="H340" s="1">
        <f t="shared" si="11"/>
        <v>0</v>
      </c>
      <c r="I340" s="1" t="s">
        <v>233</v>
      </c>
      <c r="J340" s="1">
        <v>66.684931509999998</v>
      </c>
      <c r="K340" s="7">
        <v>27</v>
      </c>
      <c r="L340" s="7">
        <v>4</v>
      </c>
      <c r="M340" s="7">
        <v>19</v>
      </c>
      <c r="N340" s="8">
        <v>1.06</v>
      </c>
      <c r="O340" s="7">
        <v>1.08</v>
      </c>
      <c r="P340" s="7">
        <v>0.17</v>
      </c>
      <c r="Q340" s="7">
        <v>-0.83</v>
      </c>
      <c r="R340" s="7">
        <v>1</v>
      </c>
    </row>
    <row r="341" spans="1:18" ht="15.75" customHeight="1" x14ac:dyDescent="0.25">
      <c r="A341" s="1" t="s">
        <v>53</v>
      </c>
      <c r="B341" s="1" t="s">
        <v>54</v>
      </c>
      <c r="C341" s="1" t="s">
        <v>354</v>
      </c>
      <c r="D341" s="1" t="s">
        <v>355</v>
      </c>
      <c r="E341" s="1" t="s">
        <v>356</v>
      </c>
      <c r="F341" s="12" t="str">
        <f t="shared" si="10"/>
        <v>preDLB_HC-13#1</v>
      </c>
      <c r="G341" s="12" t="s">
        <v>28</v>
      </c>
      <c r="H341" s="1">
        <f t="shared" si="11"/>
        <v>1</v>
      </c>
      <c r="I341" s="1" t="s">
        <v>233</v>
      </c>
      <c r="J341" s="1">
        <v>57.413698629999999</v>
      </c>
      <c r="K341" s="7">
        <v>26</v>
      </c>
      <c r="L341" s="7">
        <v>2</v>
      </c>
      <c r="M341" s="7">
        <v>12</v>
      </c>
      <c r="N341" s="8">
        <v>0</v>
      </c>
      <c r="O341" s="7">
        <v>-0.25</v>
      </c>
      <c r="P341" s="7">
        <v>-0.67</v>
      </c>
      <c r="Q341" s="7">
        <v>-0.17</v>
      </c>
      <c r="R341" s="7">
        <v>0</v>
      </c>
    </row>
    <row r="342" spans="1:18" ht="15.75" customHeight="1" x14ac:dyDescent="0.25">
      <c r="A342" s="1" t="s">
        <v>53</v>
      </c>
      <c r="B342" s="1" t="s">
        <v>54</v>
      </c>
      <c r="C342" s="1" t="s">
        <v>82</v>
      </c>
      <c r="D342" s="1" t="s">
        <v>83</v>
      </c>
      <c r="E342" s="1" t="s">
        <v>84</v>
      </c>
      <c r="F342" s="12" t="str">
        <f t="shared" si="10"/>
        <v>preDLB_HC-14#1</v>
      </c>
      <c r="G342" s="12" t="s">
        <v>20</v>
      </c>
      <c r="H342" s="1">
        <f t="shared" si="11"/>
        <v>0</v>
      </c>
      <c r="I342" s="1" t="s">
        <v>21</v>
      </c>
      <c r="J342" s="1">
        <v>64.553424660000005</v>
      </c>
      <c r="K342" s="7">
        <v>28</v>
      </c>
      <c r="L342" s="7">
        <v>2</v>
      </c>
      <c r="M342" s="7">
        <v>12</v>
      </c>
      <c r="N342" s="8">
        <v>-0.99</v>
      </c>
      <c r="O342" s="7">
        <v>1.08</v>
      </c>
      <c r="P342" s="7">
        <v>0.33</v>
      </c>
      <c r="Q342" s="7">
        <v>-0.39</v>
      </c>
      <c r="R342" s="7">
        <v>2</v>
      </c>
    </row>
    <row r="343" spans="1:18" ht="15.75" customHeight="1" x14ac:dyDescent="0.25">
      <c r="A343" s="1" t="s">
        <v>53</v>
      </c>
      <c r="B343" s="1" t="s">
        <v>54</v>
      </c>
      <c r="C343" s="1" t="s">
        <v>357</v>
      </c>
      <c r="D343" s="1" t="s">
        <v>358</v>
      </c>
      <c r="E343" s="1" t="s">
        <v>359</v>
      </c>
      <c r="F343" s="12" t="str">
        <f t="shared" si="10"/>
        <v>preDLB_HC-17#1</v>
      </c>
      <c r="G343" s="12" t="s">
        <v>28</v>
      </c>
      <c r="H343" s="1">
        <f t="shared" si="11"/>
        <v>1</v>
      </c>
      <c r="I343" s="1" t="s">
        <v>233</v>
      </c>
      <c r="J343" s="1">
        <v>76.098630139999997</v>
      </c>
      <c r="K343" s="7">
        <v>27</v>
      </c>
      <c r="L343" s="7">
        <v>3</v>
      </c>
      <c r="M343" s="7">
        <v>14</v>
      </c>
      <c r="N343" s="8">
        <v>0.28000000000000003</v>
      </c>
      <c r="O343" s="7">
        <v>0.57999999999999996</v>
      </c>
      <c r="P343" s="7">
        <v>0.33</v>
      </c>
      <c r="Q343" s="7">
        <v>-0.33</v>
      </c>
      <c r="R343" s="7">
        <v>4</v>
      </c>
    </row>
    <row r="344" spans="1:18" ht="15.75" customHeight="1" x14ac:dyDescent="0.25">
      <c r="A344" s="1" t="s">
        <v>53</v>
      </c>
      <c r="B344" s="1" t="s">
        <v>54</v>
      </c>
      <c r="C344" s="1" t="s">
        <v>506</v>
      </c>
      <c r="D344" s="1" t="s">
        <v>507</v>
      </c>
      <c r="E344" s="1" t="s">
        <v>508</v>
      </c>
      <c r="F344" s="12" t="str">
        <f t="shared" si="10"/>
        <v>preDLB_HC-19#1</v>
      </c>
      <c r="G344" s="12" t="s">
        <v>20</v>
      </c>
      <c r="H344" s="1">
        <f t="shared" si="11"/>
        <v>0</v>
      </c>
      <c r="I344" s="1" t="s">
        <v>391</v>
      </c>
      <c r="J344" s="1">
        <v>75.087671229999998</v>
      </c>
      <c r="K344" s="7">
        <v>26</v>
      </c>
      <c r="L344" s="7">
        <v>2</v>
      </c>
      <c r="M344" s="7">
        <v>12</v>
      </c>
      <c r="N344" s="8">
        <v>-0.71</v>
      </c>
      <c r="O344" s="7">
        <v>1.08</v>
      </c>
      <c r="P344" s="7">
        <v>0.5</v>
      </c>
      <c r="Q344" s="7">
        <v>0.28000000000000003</v>
      </c>
      <c r="R344" s="7">
        <v>1</v>
      </c>
    </row>
    <row r="345" spans="1:18" ht="15.75" customHeight="1" x14ac:dyDescent="0.25">
      <c r="A345" s="1" t="s">
        <v>53</v>
      </c>
      <c r="B345" s="1" t="s">
        <v>54</v>
      </c>
      <c r="C345" s="1" t="s">
        <v>55</v>
      </c>
      <c r="D345" s="1" t="s">
        <v>56</v>
      </c>
      <c r="E345" s="1" t="s">
        <v>57</v>
      </c>
      <c r="F345" s="12" t="str">
        <f t="shared" si="10"/>
        <v>preDLB_HC-2#1</v>
      </c>
      <c r="G345" s="12" t="s">
        <v>20</v>
      </c>
      <c r="H345" s="1">
        <f t="shared" si="11"/>
        <v>0</v>
      </c>
      <c r="I345" s="1" t="s">
        <v>21</v>
      </c>
      <c r="J345" s="1">
        <v>75.753424659999993</v>
      </c>
      <c r="K345" s="7">
        <v>25</v>
      </c>
      <c r="L345" s="7">
        <v>3</v>
      </c>
      <c r="M345" s="7">
        <v>13</v>
      </c>
      <c r="N345" s="8">
        <v>-0.97</v>
      </c>
      <c r="O345" s="7">
        <v>-0.25</v>
      </c>
      <c r="P345" s="7">
        <v>0.33</v>
      </c>
      <c r="Q345" s="7">
        <v>-0.22</v>
      </c>
      <c r="R345" s="7">
        <v>3</v>
      </c>
    </row>
    <row r="346" spans="1:18" ht="15.75" customHeight="1" x14ac:dyDescent="0.25">
      <c r="A346" s="1" t="s">
        <v>53</v>
      </c>
      <c r="B346" s="1" t="s">
        <v>54</v>
      </c>
      <c r="C346" s="1" t="s">
        <v>360</v>
      </c>
      <c r="D346" s="1" t="s">
        <v>361</v>
      </c>
      <c r="E346" s="1" t="s">
        <v>362</v>
      </c>
      <c r="F346" s="12" t="str">
        <f t="shared" si="10"/>
        <v>preDLB_HC-21#1</v>
      </c>
      <c r="G346" s="12" t="s">
        <v>28</v>
      </c>
      <c r="H346" s="1">
        <f t="shared" si="11"/>
        <v>1</v>
      </c>
      <c r="I346" s="1" t="s">
        <v>233</v>
      </c>
      <c r="J346" s="1">
        <v>75.887671229999995</v>
      </c>
      <c r="K346" s="7">
        <v>27</v>
      </c>
      <c r="L346" s="7">
        <v>4</v>
      </c>
      <c r="M346" s="7">
        <v>17</v>
      </c>
      <c r="N346" s="8">
        <v>0.39</v>
      </c>
      <c r="O346" s="7">
        <v>0.57999999999999996</v>
      </c>
      <c r="P346" s="7">
        <v>0.33</v>
      </c>
      <c r="Q346" s="7">
        <v>0.5</v>
      </c>
      <c r="R346" s="7">
        <v>3</v>
      </c>
    </row>
    <row r="347" spans="1:18" ht="15.75" customHeight="1" x14ac:dyDescent="0.25">
      <c r="A347" s="1" t="s">
        <v>53</v>
      </c>
      <c r="B347" s="1" t="s">
        <v>54</v>
      </c>
      <c r="C347" s="1" t="s">
        <v>85</v>
      </c>
      <c r="D347" s="1" t="s">
        <v>86</v>
      </c>
      <c r="E347" s="1" t="s">
        <v>87</v>
      </c>
      <c r="F347" s="12" t="str">
        <f t="shared" si="10"/>
        <v>preDLB_HC-22#1</v>
      </c>
      <c r="G347" s="12" t="s">
        <v>20</v>
      </c>
      <c r="H347" s="1">
        <f t="shared" si="11"/>
        <v>0</v>
      </c>
      <c r="I347" s="1" t="s">
        <v>21</v>
      </c>
      <c r="J347" s="1">
        <v>66.597260270000007</v>
      </c>
      <c r="K347" s="7">
        <v>25</v>
      </c>
      <c r="L347" s="7">
        <v>3</v>
      </c>
      <c r="M347" s="7">
        <v>15</v>
      </c>
      <c r="N347" s="8">
        <v>-0.74</v>
      </c>
      <c r="O347" s="7">
        <v>-1.75</v>
      </c>
      <c r="P347" s="7">
        <v>-0.67</v>
      </c>
      <c r="Q347" s="7">
        <v>-0.72</v>
      </c>
      <c r="R347" s="7">
        <v>1</v>
      </c>
    </row>
    <row r="348" spans="1:18" ht="15.75" customHeight="1" x14ac:dyDescent="0.25">
      <c r="A348" s="1" t="s">
        <v>53</v>
      </c>
      <c r="B348" s="1" t="s">
        <v>54</v>
      </c>
      <c r="C348" s="1" t="s">
        <v>363</v>
      </c>
      <c r="D348" s="1" t="s">
        <v>364</v>
      </c>
      <c r="E348" s="1" t="s">
        <v>365</v>
      </c>
      <c r="F348" s="12" t="str">
        <f t="shared" si="10"/>
        <v>preDLB_HC-23#1</v>
      </c>
      <c r="G348" s="12" t="s">
        <v>20</v>
      </c>
      <c r="H348" s="1">
        <f t="shared" si="11"/>
        <v>0</v>
      </c>
      <c r="I348" s="1" t="s">
        <v>233</v>
      </c>
      <c r="J348" s="1">
        <v>64.873972600000002</v>
      </c>
      <c r="K348" s="7">
        <v>28</v>
      </c>
      <c r="L348" s="7">
        <v>3</v>
      </c>
      <c r="M348" s="7">
        <v>16</v>
      </c>
      <c r="N348" s="8">
        <v>0.25</v>
      </c>
      <c r="O348" s="7">
        <v>0.57999999999999996</v>
      </c>
      <c r="P348" s="7">
        <v>0.33</v>
      </c>
      <c r="Q348" s="7">
        <v>-0.33</v>
      </c>
      <c r="R348" s="7">
        <v>2</v>
      </c>
    </row>
    <row r="349" spans="1:18" ht="15.75" customHeight="1" x14ac:dyDescent="0.25">
      <c r="A349" s="1" t="s">
        <v>53</v>
      </c>
      <c r="B349" s="1" t="s">
        <v>54</v>
      </c>
      <c r="C349" s="1" t="s">
        <v>366</v>
      </c>
      <c r="D349" s="1" t="s">
        <v>367</v>
      </c>
      <c r="E349" s="1" t="s">
        <v>368</v>
      </c>
      <c r="F349" s="12" t="str">
        <f t="shared" si="10"/>
        <v>preDLB_HC-24#1</v>
      </c>
      <c r="G349" s="12" t="s">
        <v>20</v>
      </c>
      <c r="H349" s="1">
        <f t="shared" si="11"/>
        <v>0</v>
      </c>
      <c r="I349" s="1" t="s">
        <v>233</v>
      </c>
      <c r="J349" s="1">
        <v>68.063013699999999</v>
      </c>
      <c r="K349" s="7">
        <v>27</v>
      </c>
      <c r="L349" s="7">
        <v>3</v>
      </c>
      <c r="M349" s="7">
        <v>16</v>
      </c>
      <c r="N349" s="8">
        <v>-0.06</v>
      </c>
      <c r="O349" s="7">
        <v>0.15</v>
      </c>
      <c r="P349" s="7">
        <v>-0.17</v>
      </c>
      <c r="Q349" s="7">
        <v>-0.5</v>
      </c>
      <c r="R349" s="7">
        <v>5</v>
      </c>
    </row>
    <row r="350" spans="1:18" ht="15.75" customHeight="1" x14ac:dyDescent="0.25">
      <c r="A350" s="1" t="s">
        <v>53</v>
      </c>
      <c r="B350" s="1" t="s">
        <v>54</v>
      </c>
      <c r="C350" s="1" t="s">
        <v>369</v>
      </c>
      <c r="D350" s="1" t="s">
        <v>370</v>
      </c>
      <c r="E350" s="1" t="s">
        <v>371</v>
      </c>
      <c r="F350" s="12" t="str">
        <f t="shared" si="10"/>
        <v>preDLB_HC-25#1</v>
      </c>
      <c r="G350" s="12" t="s">
        <v>20</v>
      </c>
      <c r="H350" s="1">
        <f t="shared" si="11"/>
        <v>0</v>
      </c>
      <c r="I350" s="1" t="s">
        <v>233</v>
      </c>
      <c r="J350" s="1">
        <v>73.556164379999998</v>
      </c>
      <c r="K350" s="7">
        <v>29</v>
      </c>
      <c r="L350" s="7">
        <v>3</v>
      </c>
      <c r="M350" s="7">
        <v>13</v>
      </c>
      <c r="N350" s="8">
        <v>0.93</v>
      </c>
      <c r="O350" s="7">
        <v>0.57999999999999996</v>
      </c>
      <c r="P350" s="7">
        <v>0.5</v>
      </c>
      <c r="Q350" s="7">
        <v>0.22</v>
      </c>
      <c r="R350" s="7">
        <v>14</v>
      </c>
    </row>
    <row r="351" spans="1:18" ht="15.75" customHeight="1" x14ac:dyDescent="0.25">
      <c r="A351" s="1" t="s">
        <v>53</v>
      </c>
      <c r="B351" s="1" t="s">
        <v>54</v>
      </c>
      <c r="C351" s="1" t="s">
        <v>372</v>
      </c>
      <c r="D351" s="1" t="s">
        <v>373</v>
      </c>
      <c r="E351" s="1" t="s">
        <v>374</v>
      </c>
      <c r="F351" s="12" t="str">
        <f t="shared" si="10"/>
        <v>preDLB_HC-28#1</v>
      </c>
      <c r="G351" s="12" t="s">
        <v>20</v>
      </c>
      <c r="H351" s="1">
        <f t="shared" si="11"/>
        <v>0</v>
      </c>
      <c r="I351" s="1" t="s">
        <v>233</v>
      </c>
      <c r="J351" s="1">
        <v>65.958904110000006</v>
      </c>
      <c r="K351" s="7">
        <v>26</v>
      </c>
      <c r="L351" s="7">
        <v>3</v>
      </c>
      <c r="M351" s="7">
        <v>16</v>
      </c>
      <c r="N351" s="8">
        <v>-0.62</v>
      </c>
      <c r="O351" s="7">
        <v>0.15</v>
      </c>
      <c r="P351" s="7">
        <v>1.17</v>
      </c>
      <c r="Q351" s="7">
        <v>-0.22</v>
      </c>
      <c r="R351" s="7">
        <v>8</v>
      </c>
    </row>
    <row r="352" spans="1:18" ht="15.75" customHeight="1" x14ac:dyDescent="0.25">
      <c r="A352" s="1" t="s">
        <v>53</v>
      </c>
      <c r="B352" s="1" t="s">
        <v>54</v>
      </c>
      <c r="C352" s="1" t="s">
        <v>375</v>
      </c>
      <c r="D352" s="1" t="s">
        <v>376</v>
      </c>
      <c r="E352" s="1" t="s">
        <v>377</v>
      </c>
      <c r="F352" s="12" t="str">
        <f t="shared" si="10"/>
        <v>preDLB_HC-34#1</v>
      </c>
      <c r="G352" s="12" t="s">
        <v>28</v>
      </c>
      <c r="H352" s="1">
        <f t="shared" si="11"/>
        <v>1</v>
      </c>
      <c r="I352" s="1" t="s">
        <v>233</v>
      </c>
      <c r="J352" s="1">
        <v>69.906849320000006</v>
      </c>
      <c r="K352" s="7">
        <v>27</v>
      </c>
      <c r="L352" s="7">
        <v>4</v>
      </c>
      <c r="M352" s="7">
        <v>18</v>
      </c>
      <c r="N352" s="8">
        <v>1.1000000000000001</v>
      </c>
      <c r="O352" s="7">
        <v>0.15</v>
      </c>
      <c r="P352" s="7">
        <v>-0.34</v>
      </c>
      <c r="Q352" s="7">
        <v>0.39</v>
      </c>
      <c r="R352" s="7">
        <v>5</v>
      </c>
    </row>
    <row r="353" spans="1:18" ht="15.75" customHeight="1" x14ac:dyDescent="0.25">
      <c r="A353" s="1" t="s">
        <v>53</v>
      </c>
      <c r="B353" s="1" t="s">
        <v>54</v>
      </c>
      <c r="C353" s="1" t="s">
        <v>58</v>
      </c>
      <c r="D353" s="1" t="s">
        <v>59</v>
      </c>
      <c r="E353" s="1" t="s">
        <v>60</v>
      </c>
      <c r="F353" s="12" t="str">
        <f t="shared" si="10"/>
        <v>preDLB_HC-4#1</v>
      </c>
      <c r="G353" s="12" t="s">
        <v>28</v>
      </c>
      <c r="H353" s="1">
        <f t="shared" si="11"/>
        <v>1</v>
      </c>
      <c r="I353" s="1" t="s">
        <v>21</v>
      </c>
      <c r="J353" s="1">
        <v>77.054794520000002</v>
      </c>
      <c r="K353" s="7">
        <v>25</v>
      </c>
      <c r="L353" s="7">
        <v>4</v>
      </c>
      <c r="M353" s="7">
        <v>21</v>
      </c>
      <c r="N353" s="8">
        <v>-0.25</v>
      </c>
      <c r="O353" s="7">
        <v>0.15</v>
      </c>
      <c r="P353" s="7">
        <v>-1.17</v>
      </c>
      <c r="Q353" s="7">
        <v>-0.56000000000000005</v>
      </c>
      <c r="R353" s="7">
        <v>6</v>
      </c>
    </row>
    <row r="354" spans="1:18" ht="15.75" customHeight="1" x14ac:dyDescent="0.25">
      <c r="A354" s="1" t="s">
        <v>53</v>
      </c>
      <c r="B354" s="1" t="s">
        <v>54</v>
      </c>
      <c r="C354" s="1" t="s">
        <v>327</v>
      </c>
      <c r="D354" s="1" t="s">
        <v>328</v>
      </c>
      <c r="E354" s="1" t="s">
        <v>329</v>
      </c>
      <c r="F354" s="12" t="str">
        <f t="shared" si="10"/>
        <v>preDLB_HC-6#1</v>
      </c>
      <c r="G354" s="12" t="s">
        <v>20</v>
      </c>
      <c r="H354" s="1">
        <f t="shared" si="11"/>
        <v>0</v>
      </c>
      <c r="I354" s="1" t="s">
        <v>233</v>
      </c>
      <c r="J354" s="1">
        <v>71.778082190000006</v>
      </c>
      <c r="K354" s="7">
        <v>27</v>
      </c>
      <c r="L354" s="7">
        <v>4</v>
      </c>
      <c r="M354" s="7">
        <v>17</v>
      </c>
      <c r="N354" s="8">
        <v>0.45</v>
      </c>
      <c r="O354" s="7">
        <v>0.57999999999999996</v>
      </c>
      <c r="P354" s="7">
        <v>0.83</v>
      </c>
      <c r="Q354" s="7">
        <v>-0.17</v>
      </c>
      <c r="R354" s="7">
        <v>2</v>
      </c>
    </row>
    <row r="355" spans="1:18" ht="15.75" customHeight="1" x14ac:dyDescent="0.25">
      <c r="A355" s="1" t="s">
        <v>53</v>
      </c>
      <c r="B355" s="1" t="s">
        <v>54</v>
      </c>
      <c r="C355" s="1" t="s">
        <v>351</v>
      </c>
      <c r="D355" s="1" t="s">
        <v>352</v>
      </c>
      <c r="E355" s="1" t="s">
        <v>353</v>
      </c>
      <c r="F355" s="12" t="str">
        <f t="shared" si="10"/>
        <v>preDLB_HC-8#1</v>
      </c>
      <c r="G355" s="12" t="s">
        <v>28</v>
      </c>
      <c r="H355" s="1">
        <f t="shared" si="11"/>
        <v>1</v>
      </c>
      <c r="I355" s="1" t="s">
        <v>233</v>
      </c>
      <c r="J355" s="1">
        <v>62.320547949999998</v>
      </c>
      <c r="K355" s="7">
        <v>29</v>
      </c>
      <c r="L355" s="7">
        <v>4</v>
      </c>
      <c r="M355" s="7">
        <v>19</v>
      </c>
      <c r="N355" s="8">
        <v>0.61</v>
      </c>
      <c r="O355" s="7">
        <v>-0.25</v>
      </c>
      <c r="P355" s="7">
        <v>0</v>
      </c>
      <c r="Q355" s="7">
        <v>0.06</v>
      </c>
      <c r="R355" s="7">
        <v>5</v>
      </c>
    </row>
    <row r="356" spans="1:18" ht="15.75" customHeight="1" x14ac:dyDescent="0.25">
      <c r="A356" s="1" t="s">
        <v>53</v>
      </c>
      <c r="B356" s="1" t="s">
        <v>54</v>
      </c>
      <c r="C356" s="1" t="s">
        <v>503</v>
      </c>
      <c r="D356" s="1" t="s">
        <v>504</v>
      </c>
      <c r="E356" s="1" t="s">
        <v>505</v>
      </c>
      <c r="F356" s="12" t="str">
        <f t="shared" si="10"/>
        <v>preDLB_HC-9#1</v>
      </c>
      <c r="G356" s="12" t="s">
        <v>20</v>
      </c>
      <c r="H356" s="1">
        <f t="shared" si="11"/>
        <v>0</v>
      </c>
      <c r="I356" s="1" t="s">
        <v>391</v>
      </c>
      <c r="J356" s="1">
        <v>75.578082190000003</v>
      </c>
      <c r="K356" s="7">
        <v>25</v>
      </c>
      <c r="L356" s="7">
        <v>4</v>
      </c>
      <c r="M356" s="7">
        <v>22</v>
      </c>
      <c r="N356" s="8">
        <v>0.3</v>
      </c>
      <c r="O356" s="7">
        <v>0.57999999999999996</v>
      </c>
      <c r="P356" s="7">
        <v>-0.33</v>
      </c>
      <c r="Q356" s="7">
        <v>-0.5</v>
      </c>
      <c r="R356" s="7">
        <v>2</v>
      </c>
    </row>
    <row r="357" spans="1:18" ht="15.75" customHeight="1" x14ac:dyDescent="0.25">
      <c r="A357" s="1" t="s">
        <v>53</v>
      </c>
      <c r="B357" s="1" t="s">
        <v>54</v>
      </c>
      <c r="C357" s="1" t="s">
        <v>500</v>
      </c>
      <c r="D357" s="1" t="s">
        <v>501</v>
      </c>
      <c r="E357" s="1" t="s">
        <v>502</v>
      </c>
      <c r="F357" s="12" t="str">
        <f t="shared" si="10"/>
        <v>preDLB_pre-LBD-102#1</v>
      </c>
      <c r="G357" s="12" t="s">
        <v>28</v>
      </c>
      <c r="H357" s="1">
        <f t="shared" si="11"/>
        <v>1</v>
      </c>
      <c r="I357" s="1" t="s">
        <v>391</v>
      </c>
      <c r="J357" s="1">
        <v>73.534246580000001</v>
      </c>
      <c r="K357" s="7">
        <v>21</v>
      </c>
      <c r="L357" s="7">
        <v>3</v>
      </c>
      <c r="M357" s="7">
        <v>13</v>
      </c>
      <c r="N357" s="8">
        <v>-0.78</v>
      </c>
      <c r="O357" s="7">
        <v>-0.77</v>
      </c>
      <c r="P357" s="7">
        <v>-0.67</v>
      </c>
      <c r="Q357" s="7">
        <v>-1.22</v>
      </c>
      <c r="R357" s="7">
        <v>13</v>
      </c>
    </row>
    <row r="358" spans="1:18" ht="15.75" customHeight="1" x14ac:dyDescent="0.25">
      <c r="A358" s="1" t="s">
        <v>53</v>
      </c>
      <c r="B358" s="1" t="s">
        <v>54</v>
      </c>
      <c r="C358" s="1" t="s">
        <v>79</v>
      </c>
      <c r="D358" s="1" t="s">
        <v>80</v>
      </c>
      <c r="E358" s="1" t="s">
        <v>81</v>
      </c>
      <c r="F358" s="12" t="str">
        <f t="shared" si="10"/>
        <v>preDLB_pre-LBD-104#1</v>
      </c>
      <c r="G358" s="12" t="s">
        <v>20</v>
      </c>
      <c r="H358" s="1">
        <f t="shared" si="11"/>
        <v>0</v>
      </c>
      <c r="I358" s="1" t="s">
        <v>21</v>
      </c>
      <c r="J358" s="1">
        <v>73.928767120000003</v>
      </c>
      <c r="K358" s="7">
        <v>27</v>
      </c>
      <c r="L358" s="7">
        <v>4</v>
      </c>
      <c r="M358" s="7">
        <v>22</v>
      </c>
      <c r="N358" s="8">
        <v>-1.1399999999999999</v>
      </c>
      <c r="O358" s="7">
        <v>-0.77</v>
      </c>
      <c r="P358" s="7">
        <v>-0.17</v>
      </c>
      <c r="Q358" s="7">
        <v>-1.22</v>
      </c>
      <c r="R358" s="7">
        <v>11</v>
      </c>
    </row>
    <row r="359" spans="1:18" ht="15.75" customHeight="1" x14ac:dyDescent="0.25">
      <c r="A359" s="1" t="s">
        <v>53</v>
      </c>
      <c r="B359" s="1" t="s">
        <v>54</v>
      </c>
      <c r="C359" s="1" t="s">
        <v>398</v>
      </c>
      <c r="D359" s="1" t="s">
        <v>399</v>
      </c>
      <c r="E359" s="1" t="s">
        <v>400</v>
      </c>
      <c r="F359" s="12" t="str">
        <f t="shared" si="10"/>
        <v>preDLB_pre-LBD-11#1</v>
      </c>
      <c r="G359" s="12" t="s">
        <v>28</v>
      </c>
      <c r="H359" s="1">
        <f t="shared" si="11"/>
        <v>1</v>
      </c>
      <c r="I359" s="1" t="s">
        <v>391</v>
      </c>
      <c r="J359" s="1">
        <v>70.580821920000005</v>
      </c>
      <c r="K359" s="7">
        <v>23</v>
      </c>
      <c r="L359" s="7">
        <v>2</v>
      </c>
      <c r="M359" s="7">
        <v>12</v>
      </c>
      <c r="N359" s="8">
        <v>0.08</v>
      </c>
      <c r="O359" s="7">
        <v>-2.17</v>
      </c>
      <c r="P359" s="7">
        <v>-0.17</v>
      </c>
      <c r="Q359" s="7">
        <v>-0.17</v>
      </c>
      <c r="R359" s="7">
        <v>6</v>
      </c>
    </row>
    <row r="360" spans="1:18" ht="15.75" customHeight="1" x14ac:dyDescent="0.25">
      <c r="A360" s="1" t="s">
        <v>53</v>
      </c>
      <c r="B360" s="1" t="s">
        <v>54</v>
      </c>
      <c r="C360" s="1" t="s">
        <v>509</v>
      </c>
      <c r="D360" s="1" t="s">
        <v>510</v>
      </c>
      <c r="E360" s="1" t="s">
        <v>511</v>
      </c>
      <c r="F360" s="12" t="str">
        <f t="shared" si="10"/>
        <v>preDLB_pre-LBD-110#1</v>
      </c>
      <c r="G360" s="12" t="s">
        <v>28</v>
      </c>
      <c r="H360" s="1">
        <f t="shared" si="11"/>
        <v>1</v>
      </c>
      <c r="I360" s="1" t="s">
        <v>391</v>
      </c>
      <c r="J360" s="1">
        <v>67.794520550000001</v>
      </c>
      <c r="K360" s="7">
        <v>29</v>
      </c>
      <c r="L360" s="7">
        <v>3</v>
      </c>
      <c r="M360" s="7">
        <v>17</v>
      </c>
      <c r="N360" s="8">
        <v>1.0900000000000001</v>
      </c>
      <c r="O360" s="7">
        <v>-1.34</v>
      </c>
      <c r="P360" s="7">
        <v>0.83</v>
      </c>
      <c r="Q360" s="7">
        <v>-0.44</v>
      </c>
      <c r="R360" s="7">
        <v>4</v>
      </c>
    </row>
    <row r="361" spans="1:18" ht="15.75" customHeight="1" x14ac:dyDescent="0.25">
      <c r="A361" s="1" t="s">
        <v>53</v>
      </c>
      <c r="B361" s="1" t="s">
        <v>54</v>
      </c>
      <c r="C361" s="1" t="s">
        <v>512</v>
      </c>
      <c r="D361" s="1" t="s">
        <v>513</v>
      </c>
      <c r="E361" s="1" t="s">
        <v>514</v>
      </c>
      <c r="F361" s="12" t="str">
        <f t="shared" si="10"/>
        <v>preDLB_pre-LBD-112#1</v>
      </c>
      <c r="G361" s="12" t="s">
        <v>28</v>
      </c>
      <c r="H361" s="1">
        <f t="shared" si="11"/>
        <v>1</v>
      </c>
      <c r="I361" s="1" t="s">
        <v>391</v>
      </c>
      <c r="J361" s="1">
        <v>84.463013700000005</v>
      </c>
      <c r="K361" s="7">
        <v>24</v>
      </c>
      <c r="L361" s="7">
        <v>3</v>
      </c>
      <c r="M361" s="7">
        <v>13</v>
      </c>
      <c r="N361" s="8">
        <v>-0.69</v>
      </c>
      <c r="O361">
        <f>median!G$3</f>
        <v>-0.25</v>
      </c>
      <c r="P361" s="7">
        <v>-2</v>
      </c>
      <c r="Q361" s="7">
        <v>-1</v>
      </c>
      <c r="R361" s="7">
        <v>7</v>
      </c>
    </row>
    <row r="362" spans="1:18" ht="15.75" customHeight="1" x14ac:dyDescent="0.25">
      <c r="A362" s="1" t="s">
        <v>53</v>
      </c>
      <c r="B362" s="1" t="s">
        <v>54</v>
      </c>
      <c r="C362" s="1" t="s">
        <v>515</v>
      </c>
      <c r="D362" s="1" t="s">
        <v>516</v>
      </c>
      <c r="E362" s="1" t="s">
        <v>517</v>
      </c>
      <c r="F362" s="12" t="str">
        <f t="shared" si="10"/>
        <v>preDLB_pre-LBD-114#1</v>
      </c>
      <c r="G362" s="12" t="s">
        <v>28</v>
      </c>
      <c r="H362" s="1">
        <f t="shared" si="11"/>
        <v>1</v>
      </c>
      <c r="I362" s="1" t="s">
        <v>391</v>
      </c>
      <c r="J362" s="1">
        <v>70.871232879999994</v>
      </c>
      <c r="K362" s="7">
        <v>24</v>
      </c>
      <c r="L362" s="7">
        <v>3</v>
      </c>
      <c r="M362" s="7">
        <v>13</v>
      </c>
      <c r="N362" s="8">
        <v>0</v>
      </c>
      <c r="O362" s="7">
        <v>-1.34</v>
      </c>
      <c r="P362" s="7">
        <v>0.17</v>
      </c>
      <c r="Q362" s="7">
        <v>-0.56000000000000005</v>
      </c>
      <c r="R362" s="7">
        <v>8</v>
      </c>
    </row>
    <row r="363" spans="1:18" ht="15.75" customHeight="1" x14ac:dyDescent="0.25">
      <c r="A363" s="1" t="s">
        <v>53</v>
      </c>
      <c r="B363" s="1" t="s">
        <v>54</v>
      </c>
      <c r="C363" s="1" t="s">
        <v>224</v>
      </c>
      <c r="D363" s="1" t="s">
        <v>225</v>
      </c>
      <c r="E363" s="1" t="s">
        <v>226</v>
      </c>
      <c r="F363" s="12" t="str">
        <f t="shared" si="10"/>
        <v>preDLB_pre-LBD-115#1</v>
      </c>
      <c r="G363" s="12" t="s">
        <v>28</v>
      </c>
      <c r="H363" s="1">
        <f t="shared" si="11"/>
        <v>1</v>
      </c>
      <c r="I363" s="1" t="s">
        <v>108</v>
      </c>
      <c r="J363" s="1">
        <v>65.556164379999998</v>
      </c>
      <c r="K363" s="7">
        <v>24</v>
      </c>
      <c r="L363" s="7">
        <v>2</v>
      </c>
      <c r="M363" s="7">
        <v>11</v>
      </c>
      <c r="N363" s="8">
        <v>-0.67</v>
      </c>
      <c r="O363" s="7">
        <v>-2.17</v>
      </c>
      <c r="P363" s="7">
        <v>-1.33</v>
      </c>
      <c r="Q363" s="7">
        <v>-1.17</v>
      </c>
      <c r="R363" s="7">
        <v>11</v>
      </c>
    </row>
    <row r="364" spans="1:18" ht="15.75" customHeight="1" x14ac:dyDescent="0.25">
      <c r="A364" s="1" t="s">
        <v>53</v>
      </c>
      <c r="B364" s="1" t="s">
        <v>54</v>
      </c>
      <c r="C364" s="1" t="s">
        <v>227</v>
      </c>
      <c r="D364" s="1" t="s">
        <v>228</v>
      </c>
      <c r="E364" s="1" t="s">
        <v>229</v>
      </c>
      <c r="F364" s="12" t="str">
        <f t="shared" si="10"/>
        <v>preDLB_pre-LBD-116#1</v>
      </c>
      <c r="G364" s="12" t="s">
        <v>28</v>
      </c>
      <c r="H364" s="1">
        <f t="shared" si="11"/>
        <v>1</v>
      </c>
      <c r="I364" s="1" t="s">
        <v>115</v>
      </c>
      <c r="J364" s="1">
        <v>77.967123290000004</v>
      </c>
      <c r="K364">
        <f>median!C$3</f>
        <v>23</v>
      </c>
      <c r="L364" s="7">
        <v>4</v>
      </c>
      <c r="M364" s="7">
        <v>17</v>
      </c>
      <c r="N364" s="8">
        <v>1.02</v>
      </c>
      <c r="O364" s="7">
        <v>0.15</v>
      </c>
      <c r="P364" s="7">
        <v>0.67</v>
      </c>
      <c r="Q364" s="7">
        <v>0.17</v>
      </c>
      <c r="R364">
        <f>median!J$3</f>
        <v>0</v>
      </c>
    </row>
    <row r="365" spans="1:18" ht="15.75" customHeight="1" x14ac:dyDescent="0.25">
      <c r="A365" s="1" t="s">
        <v>53</v>
      </c>
      <c r="B365" s="1" t="s">
        <v>54</v>
      </c>
      <c r="C365" s="1" t="s">
        <v>518</v>
      </c>
      <c r="D365" s="1" t="s">
        <v>519</v>
      </c>
      <c r="E365" s="1" t="s">
        <v>520</v>
      </c>
      <c r="F365" s="12" t="str">
        <f t="shared" si="10"/>
        <v>preDLB_pre-LBD-120#1</v>
      </c>
      <c r="G365" s="12" t="s">
        <v>20</v>
      </c>
      <c r="H365" s="1">
        <f t="shared" si="11"/>
        <v>0</v>
      </c>
      <c r="I365" s="1" t="s">
        <v>391</v>
      </c>
      <c r="J365" s="1">
        <v>72.005479449999996</v>
      </c>
      <c r="K365" s="7">
        <v>29</v>
      </c>
      <c r="L365" s="7">
        <v>2</v>
      </c>
      <c r="M365" s="7">
        <v>12</v>
      </c>
      <c r="N365" s="8">
        <v>-0.22</v>
      </c>
      <c r="O365" s="7">
        <v>-0.25</v>
      </c>
      <c r="P365" s="7">
        <v>0</v>
      </c>
      <c r="Q365" s="7">
        <v>-1.61</v>
      </c>
      <c r="R365" s="7">
        <v>7</v>
      </c>
    </row>
    <row r="366" spans="1:18" ht="15.75" customHeight="1" x14ac:dyDescent="0.25">
      <c r="A366" s="1" t="s">
        <v>53</v>
      </c>
      <c r="B366" s="1" t="s">
        <v>54</v>
      </c>
      <c r="C366" s="1" t="s">
        <v>401</v>
      </c>
      <c r="D366" s="1" t="s">
        <v>402</v>
      </c>
      <c r="E366" s="1" t="s">
        <v>403</v>
      </c>
      <c r="F366" s="12" t="str">
        <f t="shared" si="10"/>
        <v>preDLB_pre-LBD-13#1</v>
      </c>
      <c r="G366" s="12" t="s">
        <v>20</v>
      </c>
      <c r="H366" s="1">
        <f t="shared" si="11"/>
        <v>0</v>
      </c>
      <c r="I366" s="1" t="s">
        <v>391</v>
      </c>
      <c r="J366" s="1">
        <v>71.526027400000004</v>
      </c>
      <c r="K366" s="7">
        <v>24</v>
      </c>
      <c r="L366" s="7">
        <v>4</v>
      </c>
      <c r="M366" s="7">
        <v>16</v>
      </c>
      <c r="N366" s="8">
        <v>-1.42</v>
      </c>
      <c r="O366" s="7">
        <v>-1.34</v>
      </c>
      <c r="P366" s="7">
        <v>-1</v>
      </c>
      <c r="Q366" s="7">
        <v>-1.94</v>
      </c>
      <c r="R366" s="7">
        <v>5</v>
      </c>
    </row>
    <row r="367" spans="1:18" ht="15.75" customHeight="1" x14ac:dyDescent="0.25">
      <c r="A367" s="1" t="s">
        <v>53</v>
      </c>
      <c r="B367" s="1" t="s">
        <v>54</v>
      </c>
      <c r="C367" s="1" t="s">
        <v>404</v>
      </c>
      <c r="D367" s="1" t="s">
        <v>405</v>
      </c>
      <c r="E367" s="1" t="s">
        <v>406</v>
      </c>
      <c r="F367" s="12" t="str">
        <f t="shared" si="10"/>
        <v>preDLB_pre-LBD-15#1</v>
      </c>
      <c r="G367" s="12" t="s">
        <v>20</v>
      </c>
      <c r="H367" s="1">
        <f t="shared" si="11"/>
        <v>0</v>
      </c>
      <c r="I367" s="1" t="s">
        <v>391</v>
      </c>
      <c r="J367" s="1">
        <v>68.682191779999997</v>
      </c>
      <c r="K367" s="7">
        <v>25</v>
      </c>
      <c r="L367" s="7">
        <v>4</v>
      </c>
      <c r="M367" s="7">
        <v>25</v>
      </c>
      <c r="N367" s="8">
        <v>-0.28999999999999998</v>
      </c>
      <c r="O367" s="7">
        <v>0.15</v>
      </c>
      <c r="P367" s="7">
        <v>0</v>
      </c>
      <c r="Q367" s="7">
        <v>-0.06</v>
      </c>
      <c r="R367" s="7">
        <v>2</v>
      </c>
    </row>
    <row r="368" spans="1:18" ht="15.75" customHeight="1" x14ac:dyDescent="0.25">
      <c r="A368" s="1" t="s">
        <v>53</v>
      </c>
      <c r="B368" s="1" t="s">
        <v>54</v>
      </c>
      <c r="C368" s="1" t="s">
        <v>407</v>
      </c>
      <c r="D368" s="1" t="s">
        <v>408</v>
      </c>
      <c r="E368" s="1" t="s">
        <v>409</v>
      </c>
      <c r="F368" s="12" t="str">
        <f t="shared" si="10"/>
        <v>preDLB_pre-LBD-16#1</v>
      </c>
      <c r="G368" s="12" t="s">
        <v>28</v>
      </c>
      <c r="H368" s="1">
        <f t="shared" si="11"/>
        <v>1</v>
      </c>
      <c r="I368" s="1" t="s">
        <v>391</v>
      </c>
      <c r="J368" s="1">
        <v>73.726027400000007</v>
      </c>
      <c r="K368" s="7">
        <v>25</v>
      </c>
      <c r="L368" s="7">
        <v>3</v>
      </c>
      <c r="M368" s="7">
        <v>22</v>
      </c>
      <c r="N368" s="8">
        <v>1.1000000000000001</v>
      </c>
      <c r="O368" s="7">
        <v>0.57999999999999996</v>
      </c>
      <c r="P368" s="7">
        <v>0</v>
      </c>
      <c r="Q368" s="7">
        <v>0.33</v>
      </c>
      <c r="R368" s="7">
        <v>3</v>
      </c>
    </row>
    <row r="369" spans="1:18" ht="15.75" customHeight="1" x14ac:dyDescent="0.25">
      <c r="A369" s="1" t="s">
        <v>53</v>
      </c>
      <c r="B369" s="1" t="s">
        <v>54</v>
      </c>
      <c r="C369" s="1" t="s">
        <v>410</v>
      </c>
      <c r="D369" s="1" t="s">
        <v>411</v>
      </c>
      <c r="E369" s="1" t="s">
        <v>412</v>
      </c>
      <c r="F369" s="12" t="str">
        <f t="shared" si="10"/>
        <v>preDLB_pre-LBD-17#1</v>
      </c>
      <c r="G369" s="12" t="s">
        <v>28</v>
      </c>
      <c r="H369" s="1">
        <f t="shared" si="11"/>
        <v>1</v>
      </c>
      <c r="I369" s="1" t="s">
        <v>391</v>
      </c>
      <c r="J369" s="1">
        <v>54.356164380000003</v>
      </c>
      <c r="K369" s="7">
        <v>21</v>
      </c>
      <c r="L369" s="7">
        <v>3</v>
      </c>
      <c r="M369" s="7">
        <v>12.5</v>
      </c>
      <c r="N369" s="8">
        <v>-0.08</v>
      </c>
      <c r="O369" s="7">
        <v>-2.17</v>
      </c>
      <c r="P369" s="7">
        <v>-1</v>
      </c>
      <c r="Q369" s="7">
        <v>-1.39</v>
      </c>
      <c r="R369" s="7">
        <v>7</v>
      </c>
    </row>
    <row r="370" spans="1:18" ht="15.75" customHeight="1" x14ac:dyDescent="0.25">
      <c r="A370" s="1" t="s">
        <v>53</v>
      </c>
      <c r="B370" s="1" t="s">
        <v>54</v>
      </c>
      <c r="C370" s="1" t="s">
        <v>413</v>
      </c>
      <c r="D370" s="1" t="s">
        <v>414</v>
      </c>
      <c r="E370" s="1" t="s">
        <v>415</v>
      </c>
      <c r="F370" s="12" t="str">
        <f t="shared" si="10"/>
        <v>preDLB_pre-LBD-18#1</v>
      </c>
      <c r="G370" s="12" t="s">
        <v>28</v>
      </c>
      <c r="H370" s="1">
        <f t="shared" si="11"/>
        <v>1</v>
      </c>
      <c r="I370" s="1" t="s">
        <v>391</v>
      </c>
      <c r="J370" s="1">
        <v>60.994520549999997</v>
      </c>
      <c r="K370" s="7">
        <v>29</v>
      </c>
      <c r="L370" s="7">
        <v>3</v>
      </c>
      <c r="M370" s="7">
        <v>13</v>
      </c>
      <c r="N370" s="8">
        <v>-0.04</v>
      </c>
      <c r="O370" s="7">
        <v>0.57999999999999996</v>
      </c>
      <c r="P370" s="7">
        <v>0.33</v>
      </c>
      <c r="Q370" s="7">
        <v>0.17</v>
      </c>
      <c r="R370" s="7">
        <v>1</v>
      </c>
    </row>
    <row r="371" spans="1:18" ht="15.75" customHeight="1" x14ac:dyDescent="0.25">
      <c r="A371" s="1" t="s">
        <v>53</v>
      </c>
      <c r="B371" s="1" t="s">
        <v>54</v>
      </c>
      <c r="C371" s="1" t="s">
        <v>388</v>
      </c>
      <c r="D371" s="1" t="s">
        <v>389</v>
      </c>
      <c r="E371" s="1" t="s">
        <v>390</v>
      </c>
      <c r="F371" s="12" t="str">
        <f t="shared" si="10"/>
        <v>preDLB_pre-LBD-2#1</v>
      </c>
      <c r="G371" s="12" t="s">
        <v>28</v>
      </c>
      <c r="H371" s="1">
        <f t="shared" si="11"/>
        <v>1</v>
      </c>
      <c r="I371" s="1" t="s">
        <v>391</v>
      </c>
      <c r="J371" s="1">
        <v>75.254794520000004</v>
      </c>
      <c r="K371" s="7">
        <v>24</v>
      </c>
      <c r="L371" s="7">
        <v>3</v>
      </c>
      <c r="M371" s="7">
        <v>13</v>
      </c>
      <c r="N371" s="8">
        <v>0.33</v>
      </c>
      <c r="O371" s="7">
        <v>0.57999999999999996</v>
      </c>
      <c r="P371" s="7">
        <v>-0.33</v>
      </c>
      <c r="Q371" s="7">
        <v>-1.39</v>
      </c>
      <c r="R371" s="7">
        <v>3</v>
      </c>
    </row>
    <row r="372" spans="1:18" ht="15.75" customHeight="1" x14ac:dyDescent="0.25">
      <c r="A372" s="1" t="s">
        <v>53</v>
      </c>
      <c r="B372" s="1" t="s">
        <v>54</v>
      </c>
      <c r="C372" s="1" t="s">
        <v>416</v>
      </c>
      <c r="D372" s="1" t="s">
        <v>417</v>
      </c>
      <c r="E372" s="1" t="s">
        <v>418</v>
      </c>
      <c r="F372" s="12" t="str">
        <f t="shared" si="10"/>
        <v>preDLB_pre-LBD-24#1</v>
      </c>
      <c r="G372" s="12" t="s">
        <v>20</v>
      </c>
      <c r="H372" s="1">
        <f t="shared" si="11"/>
        <v>0</v>
      </c>
      <c r="I372" s="1" t="s">
        <v>391</v>
      </c>
      <c r="J372" s="1">
        <v>67.624657529999993</v>
      </c>
      <c r="K372" s="7">
        <v>25</v>
      </c>
      <c r="L372" s="7">
        <v>3</v>
      </c>
      <c r="M372" s="7">
        <v>13</v>
      </c>
      <c r="N372" s="8">
        <v>0.82</v>
      </c>
      <c r="O372" s="7">
        <v>1.08</v>
      </c>
      <c r="P372" s="7">
        <v>0.17</v>
      </c>
      <c r="Q372" s="7">
        <v>-0.83</v>
      </c>
      <c r="R372" s="7">
        <v>1</v>
      </c>
    </row>
    <row r="373" spans="1:18" ht="15.75" customHeight="1" x14ac:dyDescent="0.25">
      <c r="A373" s="1" t="s">
        <v>53</v>
      </c>
      <c r="B373" s="1" t="s">
        <v>54</v>
      </c>
      <c r="C373" s="1" t="s">
        <v>419</v>
      </c>
      <c r="D373" s="1" t="s">
        <v>420</v>
      </c>
      <c r="E373" s="1" t="s">
        <v>421</v>
      </c>
      <c r="F373" s="12" t="str">
        <f t="shared" si="10"/>
        <v>preDLB_pre-LBD-28#1</v>
      </c>
      <c r="G373" s="12" t="s">
        <v>20</v>
      </c>
      <c r="H373" s="1">
        <f t="shared" si="11"/>
        <v>0</v>
      </c>
      <c r="I373" s="1" t="s">
        <v>391</v>
      </c>
      <c r="J373" s="1">
        <v>67.961643839999994</v>
      </c>
      <c r="K373" s="7">
        <v>27</v>
      </c>
      <c r="L373" s="7">
        <v>2</v>
      </c>
      <c r="M373" s="7">
        <v>12</v>
      </c>
      <c r="N373" s="8">
        <v>-0.76</v>
      </c>
      <c r="O373" s="7">
        <v>0.15</v>
      </c>
      <c r="P373" s="7">
        <v>0</v>
      </c>
      <c r="Q373" s="7">
        <v>0.11</v>
      </c>
      <c r="R373" s="7">
        <v>10</v>
      </c>
    </row>
    <row r="374" spans="1:18" ht="15.75" customHeight="1" x14ac:dyDescent="0.25">
      <c r="A374" s="1" t="s">
        <v>53</v>
      </c>
      <c r="B374" s="1" t="s">
        <v>54</v>
      </c>
      <c r="C374" s="1" t="s">
        <v>422</v>
      </c>
      <c r="D374" s="1" t="s">
        <v>423</v>
      </c>
      <c r="E374" s="1" t="s">
        <v>424</v>
      </c>
      <c r="F374" s="12" t="str">
        <f t="shared" si="10"/>
        <v>preDLB_pre-LBD-29#1</v>
      </c>
      <c r="G374" s="13" t="s">
        <v>28</v>
      </c>
      <c r="H374" s="1">
        <f t="shared" si="11"/>
        <v>1</v>
      </c>
      <c r="I374" s="1" t="s">
        <v>391</v>
      </c>
      <c r="J374" s="1">
        <v>74.165639970000001</v>
      </c>
      <c r="K374" s="7">
        <v>26</v>
      </c>
      <c r="L374" s="7">
        <v>1</v>
      </c>
      <c r="M374" s="7">
        <v>9</v>
      </c>
      <c r="N374" s="8">
        <v>-0.76</v>
      </c>
      <c r="O374" s="7">
        <v>-2.17</v>
      </c>
      <c r="P374" s="7">
        <v>-1.17</v>
      </c>
      <c r="Q374" s="7">
        <v>-1.1100000000000001</v>
      </c>
      <c r="R374" s="7">
        <v>4</v>
      </c>
    </row>
    <row r="375" spans="1:18" ht="15.75" customHeight="1" x14ac:dyDescent="0.25">
      <c r="A375" s="1" t="s">
        <v>53</v>
      </c>
      <c r="B375" s="1" t="s">
        <v>54</v>
      </c>
      <c r="C375" s="1" t="s">
        <v>425</v>
      </c>
      <c r="D375" s="1" t="s">
        <v>426</v>
      </c>
      <c r="E375" s="1" t="s">
        <v>427</v>
      </c>
      <c r="F375" s="12" t="str">
        <f t="shared" si="10"/>
        <v>preDLB_pre-LBD-30#1</v>
      </c>
      <c r="G375" s="12" t="s">
        <v>28</v>
      </c>
      <c r="H375" s="1">
        <f t="shared" si="11"/>
        <v>1</v>
      </c>
      <c r="I375" s="1" t="s">
        <v>391</v>
      </c>
      <c r="J375" s="1">
        <v>56.81917808</v>
      </c>
      <c r="K375" s="7">
        <v>29</v>
      </c>
      <c r="L375" s="7">
        <v>3</v>
      </c>
      <c r="M375" s="7">
        <v>15</v>
      </c>
      <c r="N375" s="8">
        <v>0.55000000000000004</v>
      </c>
      <c r="O375" s="7">
        <v>1.08</v>
      </c>
      <c r="P375" s="7">
        <v>-1</v>
      </c>
      <c r="Q375" s="7">
        <v>-0.33</v>
      </c>
      <c r="R375" s="7">
        <v>11</v>
      </c>
    </row>
    <row r="376" spans="1:18" ht="15.75" customHeight="1" x14ac:dyDescent="0.25">
      <c r="A376" s="1" t="s">
        <v>53</v>
      </c>
      <c r="B376" s="1" t="s">
        <v>54</v>
      </c>
      <c r="C376" s="1" t="s">
        <v>428</v>
      </c>
      <c r="D376" s="1" t="s">
        <v>429</v>
      </c>
      <c r="E376" s="1" t="s">
        <v>430</v>
      </c>
      <c r="F376" s="12" t="str">
        <f t="shared" si="10"/>
        <v>preDLB_pre-LBD-31#1</v>
      </c>
      <c r="G376" s="12" t="s">
        <v>20</v>
      </c>
      <c r="H376" s="1">
        <f t="shared" si="11"/>
        <v>0</v>
      </c>
      <c r="I376" s="1" t="s">
        <v>391</v>
      </c>
      <c r="J376" s="1">
        <v>63.75342466</v>
      </c>
      <c r="K376" s="7">
        <v>18</v>
      </c>
      <c r="L376">
        <f>median!D$3</f>
        <v>4</v>
      </c>
      <c r="M376">
        <f>median!E$3</f>
        <v>18</v>
      </c>
      <c r="N376">
        <f>median!F$3</f>
        <v>-2.08</v>
      </c>
      <c r="O376">
        <f>median!G$3</f>
        <v>-0.25</v>
      </c>
      <c r="P376">
        <f>median!H$3</f>
        <v>-0.35</v>
      </c>
      <c r="Q376">
        <f>median!I$3</f>
        <v>-0.9</v>
      </c>
      <c r="R376" s="7">
        <v>25</v>
      </c>
    </row>
    <row r="377" spans="1:18" ht="15.75" customHeight="1" x14ac:dyDescent="0.25">
      <c r="A377" s="1" t="s">
        <v>53</v>
      </c>
      <c r="B377" s="1" t="s">
        <v>54</v>
      </c>
      <c r="C377" s="1" t="s">
        <v>431</v>
      </c>
      <c r="D377" s="1" t="s">
        <v>432</v>
      </c>
      <c r="E377" s="1" t="s">
        <v>433</v>
      </c>
      <c r="F377" s="12" t="str">
        <f t="shared" si="10"/>
        <v>preDLB_pre-LBD-32#1</v>
      </c>
      <c r="G377" s="12" t="s">
        <v>20</v>
      </c>
      <c r="H377" s="1">
        <f t="shared" si="11"/>
        <v>0</v>
      </c>
      <c r="I377" s="1" t="s">
        <v>391</v>
      </c>
      <c r="J377" s="1">
        <v>73.772602739999996</v>
      </c>
      <c r="K377" s="7">
        <v>17</v>
      </c>
      <c r="L377" s="7">
        <v>2</v>
      </c>
      <c r="M377" s="7">
        <v>12</v>
      </c>
      <c r="N377" s="8">
        <v>-1.53</v>
      </c>
      <c r="O377" s="7">
        <v>-1.34</v>
      </c>
      <c r="P377" s="7">
        <v>-1.5</v>
      </c>
      <c r="Q377" s="7">
        <v>-1.44</v>
      </c>
      <c r="R377" s="7">
        <v>3</v>
      </c>
    </row>
    <row r="378" spans="1:18" ht="15.75" customHeight="1" x14ac:dyDescent="0.25">
      <c r="A378" s="1" t="s">
        <v>53</v>
      </c>
      <c r="B378" s="1" t="s">
        <v>54</v>
      </c>
      <c r="C378" s="1" t="s">
        <v>330</v>
      </c>
      <c r="D378" s="1" t="s">
        <v>331</v>
      </c>
      <c r="E378" s="1" t="s">
        <v>332</v>
      </c>
      <c r="F378" s="12" t="str">
        <f t="shared" si="10"/>
        <v>preDLB_pre-LBD-33#1</v>
      </c>
      <c r="G378" s="12" t="s">
        <v>28</v>
      </c>
      <c r="H378" s="1">
        <f t="shared" si="11"/>
        <v>1</v>
      </c>
      <c r="I378" s="1" t="s">
        <v>233</v>
      </c>
      <c r="J378" s="1">
        <v>71.756164380000001</v>
      </c>
      <c r="K378" s="7">
        <v>26</v>
      </c>
      <c r="L378" s="7">
        <v>3</v>
      </c>
      <c r="M378" s="7">
        <v>13</v>
      </c>
      <c r="N378" s="8">
        <v>0.53</v>
      </c>
      <c r="O378" s="7">
        <v>0.15</v>
      </c>
      <c r="P378" s="7">
        <v>1.17</v>
      </c>
      <c r="Q378" s="7">
        <v>0.5</v>
      </c>
      <c r="R378" s="7">
        <v>9</v>
      </c>
    </row>
    <row r="379" spans="1:18" ht="15.75" customHeight="1" x14ac:dyDescent="0.25">
      <c r="A379" s="1" t="s">
        <v>53</v>
      </c>
      <c r="B379" s="1" t="s">
        <v>54</v>
      </c>
      <c r="C379" s="1" t="s">
        <v>434</v>
      </c>
      <c r="D379" s="1" t="s">
        <v>435</v>
      </c>
      <c r="E379" s="1" t="s">
        <v>436</v>
      </c>
      <c r="F379" s="12" t="str">
        <f t="shared" si="10"/>
        <v>preDLB_pre-LBD-34#1</v>
      </c>
      <c r="G379" s="12" t="s">
        <v>20</v>
      </c>
      <c r="H379" s="1">
        <f t="shared" si="11"/>
        <v>0</v>
      </c>
      <c r="I379" s="1" t="s">
        <v>391</v>
      </c>
      <c r="J379" s="1">
        <v>81.331506849999997</v>
      </c>
      <c r="K379" s="7">
        <v>15</v>
      </c>
      <c r="L379" s="7">
        <v>3</v>
      </c>
      <c r="M379" s="7">
        <v>12</v>
      </c>
      <c r="N379" s="8">
        <v>-1.9</v>
      </c>
      <c r="O379" s="7">
        <v>-0.25</v>
      </c>
      <c r="P379" s="7">
        <v>-2.67</v>
      </c>
      <c r="Q379" s="7">
        <v>-1.78</v>
      </c>
      <c r="R379" s="7">
        <v>7</v>
      </c>
    </row>
    <row r="380" spans="1:18" ht="15.75" customHeight="1" x14ac:dyDescent="0.25">
      <c r="A380" s="1" t="s">
        <v>53</v>
      </c>
      <c r="B380" s="1" t="s">
        <v>54</v>
      </c>
      <c r="C380" s="1" t="s">
        <v>61</v>
      </c>
      <c r="D380" s="1" t="s">
        <v>62</v>
      </c>
      <c r="E380" s="1" t="s">
        <v>63</v>
      </c>
      <c r="F380" s="12" t="str">
        <f t="shared" si="10"/>
        <v>preDLB_pre-LBD-35#1</v>
      </c>
      <c r="G380" s="12" t="s">
        <v>20</v>
      </c>
      <c r="H380" s="1">
        <f t="shared" si="11"/>
        <v>0</v>
      </c>
      <c r="I380" s="1" t="s">
        <v>21</v>
      </c>
      <c r="J380" s="1">
        <v>67.534246580000001</v>
      </c>
      <c r="K380" s="7">
        <v>21</v>
      </c>
      <c r="L380" s="7">
        <v>2</v>
      </c>
      <c r="M380" s="7">
        <v>12</v>
      </c>
      <c r="N380" s="8">
        <v>-1.2</v>
      </c>
      <c r="O380" s="7">
        <v>-0.25</v>
      </c>
      <c r="P380" s="7">
        <v>-0.83</v>
      </c>
      <c r="Q380" s="7">
        <v>-0.44</v>
      </c>
      <c r="R380" s="7">
        <v>8</v>
      </c>
    </row>
    <row r="381" spans="1:18" ht="15.75" customHeight="1" x14ac:dyDescent="0.25">
      <c r="A381" s="1" t="s">
        <v>53</v>
      </c>
      <c r="B381" s="1" t="s">
        <v>54</v>
      </c>
      <c r="C381" s="1" t="s">
        <v>437</v>
      </c>
      <c r="D381" s="1" t="s">
        <v>438</v>
      </c>
      <c r="E381" s="1" t="s">
        <v>439</v>
      </c>
      <c r="F381" s="12" t="str">
        <f t="shared" si="10"/>
        <v>preDLB_pre-LBD-37#1</v>
      </c>
      <c r="G381" s="12" t="s">
        <v>20</v>
      </c>
      <c r="H381" s="1">
        <f t="shared" si="11"/>
        <v>0</v>
      </c>
      <c r="I381" s="1" t="s">
        <v>391</v>
      </c>
      <c r="J381" s="1">
        <v>69.958904110000006</v>
      </c>
      <c r="K381" s="7">
        <v>25</v>
      </c>
      <c r="L381" s="7">
        <v>4</v>
      </c>
      <c r="M381" s="7">
        <v>19</v>
      </c>
      <c r="N381" s="8">
        <v>-0.48</v>
      </c>
      <c r="O381" s="7">
        <v>1.08</v>
      </c>
      <c r="P381" s="7">
        <v>1.17</v>
      </c>
      <c r="Q381" s="7">
        <v>0.67</v>
      </c>
      <c r="R381" s="7">
        <v>9</v>
      </c>
    </row>
    <row r="382" spans="1:18" ht="15.75" customHeight="1" x14ac:dyDescent="0.25">
      <c r="A382" s="1" t="s">
        <v>53</v>
      </c>
      <c r="B382" s="1" t="s">
        <v>54</v>
      </c>
      <c r="C382" s="1" t="s">
        <v>440</v>
      </c>
      <c r="D382" s="1" t="s">
        <v>441</v>
      </c>
      <c r="E382" s="1" t="s">
        <v>442</v>
      </c>
      <c r="F382" s="12" t="str">
        <f t="shared" si="10"/>
        <v>preDLB_pre-LBD-41#1</v>
      </c>
      <c r="G382" s="12" t="s">
        <v>28</v>
      </c>
      <c r="H382" s="1">
        <f t="shared" si="11"/>
        <v>1</v>
      </c>
      <c r="I382" s="1" t="s">
        <v>391</v>
      </c>
      <c r="J382" s="1">
        <v>64.90958904</v>
      </c>
      <c r="K382" s="7">
        <v>25</v>
      </c>
      <c r="L382" s="7">
        <v>3</v>
      </c>
      <c r="M382" s="7">
        <v>15</v>
      </c>
      <c r="N382" s="8">
        <v>1.01</v>
      </c>
      <c r="O382" s="7">
        <v>-0.77</v>
      </c>
      <c r="P382" s="7">
        <v>0</v>
      </c>
      <c r="Q382" s="7">
        <v>0.94</v>
      </c>
      <c r="R382" s="7">
        <v>11</v>
      </c>
    </row>
    <row r="383" spans="1:18" ht="15.75" customHeight="1" x14ac:dyDescent="0.25">
      <c r="A383" s="1" t="s">
        <v>53</v>
      </c>
      <c r="B383" s="1" t="s">
        <v>54</v>
      </c>
      <c r="C383" s="1" t="s">
        <v>443</v>
      </c>
      <c r="D383" s="1" t="s">
        <v>444</v>
      </c>
      <c r="E383" s="1" t="s">
        <v>445</v>
      </c>
      <c r="F383" s="12" t="str">
        <f t="shared" si="10"/>
        <v>preDLB_pre-LBD-44#1</v>
      </c>
      <c r="G383" s="12" t="s">
        <v>20</v>
      </c>
      <c r="H383" s="1">
        <f t="shared" si="11"/>
        <v>0</v>
      </c>
      <c r="I383" s="1" t="s">
        <v>391</v>
      </c>
      <c r="J383" s="1">
        <v>69.016438359999995</v>
      </c>
      <c r="K383" s="7">
        <v>26</v>
      </c>
      <c r="L383" s="7">
        <v>3</v>
      </c>
      <c r="M383" s="7">
        <v>14</v>
      </c>
      <c r="N383" s="8">
        <v>-1.49</v>
      </c>
      <c r="O383" s="7">
        <v>-0.77</v>
      </c>
      <c r="P383" s="7">
        <v>0</v>
      </c>
      <c r="Q383" s="7">
        <v>-1</v>
      </c>
      <c r="R383" s="7">
        <v>8</v>
      </c>
    </row>
    <row r="384" spans="1:18" ht="15.75" customHeight="1" x14ac:dyDescent="0.25">
      <c r="A384" s="1" t="s">
        <v>53</v>
      </c>
      <c r="B384" s="1" t="s">
        <v>54</v>
      </c>
      <c r="C384" s="1" t="s">
        <v>446</v>
      </c>
      <c r="D384" s="1" t="s">
        <v>447</v>
      </c>
      <c r="E384" s="1" t="s">
        <v>448</v>
      </c>
      <c r="F384" s="12" t="str">
        <f t="shared" si="10"/>
        <v>preDLB_pre-LBD-45#1</v>
      </c>
      <c r="G384" s="12" t="s">
        <v>28</v>
      </c>
      <c r="H384" s="1">
        <f t="shared" si="11"/>
        <v>1</v>
      </c>
      <c r="I384" s="1" t="s">
        <v>391</v>
      </c>
      <c r="J384" s="1">
        <v>76.153424659999999</v>
      </c>
      <c r="K384" s="7">
        <v>27</v>
      </c>
      <c r="L384" s="7">
        <v>2</v>
      </c>
      <c r="M384" s="7">
        <v>12</v>
      </c>
      <c r="N384" s="8">
        <v>0.81</v>
      </c>
      <c r="O384" s="7">
        <v>-1.75</v>
      </c>
      <c r="P384" s="7">
        <v>-0.5</v>
      </c>
      <c r="Q384" s="7">
        <v>-0.44</v>
      </c>
      <c r="R384" s="7">
        <v>7</v>
      </c>
    </row>
    <row r="385" spans="1:18" ht="15.75" customHeight="1" x14ac:dyDescent="0.25">
      <c r="A385" s="1" t="s">
        <v>53</v>
      </c>
      <c r="B385" s="1" t="s">
        <v>54</v>
      </c>
      <c r="C385" s="1" t="s">
        <v>64</v>
      </c>
      <c r="D385" s="1" t="s">
        <v>65</v>
      </c>
      <c r="E385" s="1" t="s">
        <v>66</v>
      </c>
      <c r="F385" s="12" t="str">
        <f t="shared" si="10"/>
        <v>preDLB_pre-LBD-47#1</v>
      </c>
      <c r="G385" s="12" t="s">
        <v>28</v>
      </c>
      <c r="H385" s="1">
        <f t="shared" si="11"/>
        <v>1</v>
      </c>
      <c r="I385" s="1" t="s">
        <v>21</v>
      </c>
      <c r="J385" s="1">
        <v>80.419178079999995</v>
      </c>
      <c r="K385" s="7">
        <v>22</v>
      </c>
      <c r="L385" s="7">
        <v>2</v>
      </c>
      <c r="M385" s="7">
        <v>10</v>
      </c>
      <c r="N385" s="8">
        <v>-0.33</v>
      </c>
      <c r="O385" s="7">
        <v>-0.77</v>
      </c>
      <c r="P385" s="7">
        <v>0</v>
      </c>
      <c r="Q385" s="7">
        <v>-0.28000000000000003</v>
      </c>
      <c r="R385" s="7">
        <v>11</v>
      </c>
    </row>
    <row r="386" spans="1:18" ht="15.75" customHeight="1" x14ac:dyDescent="0.25">
      <c r="A386" s="1" t="s">
        <v>53</v>
      </c>
      <c r="B386" s="1" t="s">
        <v>54</v>
      </c>
      <c r="C386" s="1" t="s">
        <v>449</v>
      </c>
      <c r="D386" s="1" t="s">
        <v>450</v>
      </c>
      <c r="E386" s="1" t="s">
        <v>451</v>
      </c>
      <c r="F386" s="12" t="str">
        <f t="shared" ref="F386:F415" si="12">A386&amp;"_"&amp;D386</f>
        <v>preDLB_pre-LBD-49#1</v>
      </c>
      <c r="G386" s="12" t="s">
        <v>20</v>
      </c>
      <c r="H386" s="1">
        <f t="shared" ref="H386:H415" si="13">IF(G386="M",0,IF(G386="F",1,""))</f>
        <v>0</v>
      </c>
      <c r="I386" s="1" t="s">
        <v>391</v>
      </c>
      <c r="J386" s="1">
        <v>67.191780820000005</v>
      </c>
      <c r="K386" s="7">
        <v>27</v>
      </c>
      <c r="L386" s="7">
        <v>3</v>
      </c>
      <c r="M386" s="7">
        <v>13</v>
      </c>
      <c r="N386" s="8">
        <v>0.28000000000000003</v>
      </c>
      <c r="O386" s="7">
        <v>1.08</v>
      </c>
      <c r="P386" s="7">
        <v>0.33</v>
      </c>
      <c r="Q386" s="7">
        <v>-0.61</v>
      </c>
      <c r="R386" s="7">
        <v>2</v>
      </c>
    </row>
    <row r="387" spans="1:18" ht="15.75" customHeight="1" x14ac:dyDescent="0.25">
      <c r="A387" s="1" t="s">
        <v>53</v>
      </c>
      <c r="B387" s="1" t="s">
        <v>54</v>
      </c>
      <c r="C387" s="1" t="s">
        <v>392</v>
      </c>
      <c r="D387" s="1" t="s">
        <v>393</v>
      </c>
      <c r="E387" s="1" t="s">
        <v>394</v>
      </c>
      <c r="F387" s="12" t="str">
        <f t="shared" si="12"/>
        <v>preDLB_pre-LBD-5#1</v>
      </c>
      <c r="G387" s="12" t="s">
        <v>20</v>
      </c>
      <c r="H387" s="1">
        <f t="shared" si="13"/>
        <v>0</v>
      </c>
      <c r="I387" s="1" t="s">
        <v>391</v>
      </c>
      <c r="J387" s="1">
        <v>74.367123289999995</v>
      </c>
      <c r="K387" s="7">
        <v>22</v>
      </c>
      <c r="L387" s="7">
        <v>3</v>
      </c>
      <c r="M387" s="7">
        <v>17</v>
      </c>
      <c r="N387" s="8">
        <v>-0.28999999999999998</v>
      </c>
      <c r="O387" s="7">
        <v>-0.25</v>
      </c>
      <c r="P387" s="7">
        <v>-0.83</v>
      </c>
      <c r="Q387" s="7">
        <v>-0.5</v>
      </c>
      <c r="R387" s="7">
        <v>10</v>
      </c>
    </row>
    <row r="388" spans="1:18" ht="15.75" customHeight="1" x14ac:dyDescent="0.25">
      <c r="A388" s="1" t="s">
        <v>53</v>
      </c>
      <c r="B388" s="1" t="s">
        <v>54</v>
      </c>
      <c r="C388" s="1" t="s">
        <v>452</v>
      </c>
      <c r="D388" s="1" t="s">
        <v>453</v>
      </c>
      <c r="E388" s="1" t="s">
        <v>454</v>
      </c>
      <c r="F388" s="12" t="str">
        <f t="shared" si="12"/>
        <v>preDLB_pre-LBD-51#1</v>
      </c>
      <c r="G388" s="12" t="s">
        <v>20</v>
      </c>
      <c r="H388" s="1">
        <f t="shared" si="13"/>
        <v>0</v>
      </c>
      <c r="I388" s="1" t="s">
        <v>391</v>
      </c>
      <c r="J388" s="1">
        <v>68.421917809999997</v>
      </c>
      <c r="K388" s="7">
        <v>20</v>
      </c>
      <c r="L388" s="7">
        <v>2</v>
      </c>
      <c r="M388" s="7">
        <v>12</v>
      </c>
      <c r="N388" s="8">
        <v>-1.04</v>
      </c>
      <c r="O388" s="7">
        <v>0.15</v>
      </c>
      <c r="P388" s="7">
        <v>-0.5</v>
      </c>
      <c r="Q388" s="7">
        <v>-0.67</v>
      </c>
      <c r="R388" s="7">
        <v>6</v>
      </c>
    </row>
    <row r="389" spans="1:18" ht="15.75" customHeight="1" x14ac:dyDescent="0.25">
      <c r="A389" s="1" t="s">
        <v>53</v>
      </c>
      <c r="B389" s="1" t="s">
        <v>54</v>
      </c>
      <c r="C389" s="1" t="s">
        <v>455</v>
      </c>
      <c r="D389" s="1" t="s">
        <v>456</v>
      </c>
      <c r="E389" s="1" t="s">
        <v>457</v>
      </c>
      <c r="F389" s="12" t="str">
        <f t="shared" si="12"/>
        <v>preDLB_pre-LBD-52#1</v>
      </c>
      <c r="G389" s="12" t="s">
        <v>28</v>
      </c>
      <c r="H389" s="1">
        <f t="shared" si="13"/>
        <v>1</v>
      </c>
      <c r="I389" s="1" t="s">
        <v>391</v>
      </c>
      <c r="J389" s="1">
        <v>58.232876709999999</v>
      </c>
      <c r="K389" s="7">
        <v>26</v>
      </c>
      <c r="L389" s="7">
        <v>2</v>
      </c>
      <c r="M389" s="7">
        <v>12</v>
      </c>
      <c r="N389" s="8">
        <v>-1.05</v>
      </c>
      <c r="O389" s="7">
        <v>-0.25</v>
      </c>
      <c r="P389" s="7">
        <v>0.5</v>
      </c>
      <c r="Q389" s="7">
        <v>0.83</v>
      </c>
      <c r="R389" s="7">
        <v>19</v>
      </c>
    </row>
    <row r="390" spans="1:18" ht="15.75" customHeight="1" x14ac:dyDescent="0.25">
      <c r="A390" s="1" t="s">
        <v>53</v>
      </c>
      <c r="B390" s="1" t="s">
        <v>54</v>
      </c>
      <c r="C390" s="1" t="s">
        <v>333</v>
      </c>
      <c r="D390" s="1" t="s">
        <v>334</v>
      </c>
      <c r="E390" s="1" t="s">
        <v>335</v>
      </c>
      <c r="F390" s="12" t="str">
        <f t="shared" si="12"/>
        <v>preDLB_pre-LBD-53#1</v>
      </c>
      <c r="G390" s="12" t="s">
        <v>20</v>
      </c>
      <c r="H390" s="1">
        <f t="shared" si="13"/>
        <v>0</v>
      </c>
      <c r="I390" s="1" t="s">
        <v>233</v>
      </c>
      <c r="J390" s="1">
        <v>60.457534250000002</v>
      </c>
      <c r="K390" s="7">
        <v>25</v>
      </c>
      <c r="L390" s="7">
        <v>2</v>
      </c>
      <c r="M390" s="7">
        <v>12</v>
      </c>
      <c r="N390" s="8">
        <v>-0.56000000000000005</v>
      </c>
      <c r="O390" s="7">
        <v>1.08</v>
      </c>
      <c r="P390" s="7">
        <v>0.33</v>
      </c>
      <c r="Q390" s="7">
        <v>1.83</v>
      </c>
      <c r="R390" s="7">
        <v>2</v>
      </c>
    </row>
    <row r="391" spans="1:18" ht="15.75" customHeight="1" x14ac:dyDescent="0.25">
      <c r="A391" s="1" t="s">
        <v>53</v>
      </c>
      <c r="B391" s="1" t="s">
        <v>54</v>
      </c>
      <c r="C391" s="1" t="s">
        <v>458</v>
      </c>
      <c r="D391" s="1" t="s">
        <v>459</v>
      </c>
      <c r="E391" s="1" t="s">
        <v>460</v>
      </c>
      <c r="F391" s="12" t="str">
        <f t="shared" si="12"/>
        <v>preDLB_pre-LBD-57#1</v>
      </c>
      <c r="G391" s="12" t="s">
        <v>28</v>
      </c>
      <c r="H391" s="1">
        <f t="shared" si="13"/>
        <v>1</v>
      </c>
      <c r="I391" s="1" t="s">
        <v>391</v>
      </c>
      <c r="J391" s="1">
        <v>63.413698629999999</v>
      </c>
      <c r="K391" s="7">
        <v>25</v>
      </c>
      <c r="L391" s="7">
        <v>2</v>
      </c>
      <c r="M391" s="7">
        <v>12</v>
      </c>
      <c r="N391" s="8">
        <v>-0.42</v>
      </c>
      <c r="O391" s="7">
        <v>-1.34</v>
      </c>
      <c r="P391" s="7">
        <v>0</v>
      </c>
      <c r="Q391" s="7">
        <v>0.22</v>
      </c>
      <c r="R391" s="7">
        <v>23</v>
      </c>
    </row>
    <row r="392" spans="1:18" ht="15.75" customHeight="1" x14ac:dyDescent="0.25">
      <c r="A392" s="1" t="s">
        <v>53</v>
      </c>
      <c r="B392" s="1" t="s">
        <v>54</v>
      </c>
      <c r="C392" s="1" t="s">
        <v>461</v>
      </c>
      <c r="D392" s="1" t="s">
        <v>462</v>
      </c>
      <c r="E392" s="1" t="s">
        <v>463</v>
      </c>
      <c r="F392" s="12" t="str">
        <f t="shared" si="12"/>
        <v>preDLB_pre-LBD-58#1</v>
      </c>
      <c r="G392" s="12" t="s">
        <v>28</v>
      </c>
      <c r="H392" s="1">
        <f t="shared" si="13"/>
        <v>1</v>
      </c>
      <c r="I392" s="1" t="s">
        <v>391</v>
      </c>
      <c r="J392" s="1">
        <v>65.063013699999999</v>
      </c>
      <c r="K392" s="7">
        <v>28</v>
      </c>
      <c r="L392" s="7">
        <v>1</v>
      </c>
      <c r="M392" s="7">
        <v>9</v>
      </c>
      <c r="N392" s="8">
        <v>-0.49</v>
      </c>
      <c r="O392" s="7">
        <v>0.15</v>
      </c>
      <c r="P392" s="7">
        <v>0.83</v>
      </c>
      <c r="Q392" s="7">
        <v>0.94</v>
      </c>
      <c r="R392" s="7">
        <v>4</v>
      </c>
    </row>
    <row r="393" spans="1:18" ht="15.75" customHeight="1" x14ac:dyDescent="0.25">
      <c r="A393" s="1" t="s">
        <v>53</v>
      </c>
      <c r="B393" s="1" t="s">
        <v>54</v>
      </c>
      <c r="C393" s="1" t="s">
        <v>464</v>
      </c>
      <c r="D393" s="1" t="s">
        <v>465</v>
      </c>
      <c r="E393" s="1" t="s">
        <v>466</v>
      </c>
      <c r="F393" s="12" t="str">
        <f t="shared" si="12"/>
        <v>preDLB_pre-LBD-59#1</v>
      </c>
      <c r="G393" s="12" t="s">
        <v>20</v>
      </c>
      <c r="H393" s="1">
        <f t="shared" si="13"/>
        <v>0</v>
      </c>
      <c r="I393" s="1" t="s">
        <v>391</v>
      </c>
      <c r="J393" s="1">
        <v>78.128767120000006</v>
      </c>
      <c r="K393" s="7">
        <v>23</v>
      </c>
      <c r="L393" s="7">
        <v>3</v>
      </c>
      <c r="M393" s="7">
        <v>13</v>
      </c>
      <c r="N393" s="8">
        <v>-0.47</v>
      </c>
      <c r="O393" s="7">
        <v>0.57999999999999996</v>
      </c>
      <c r="P393" s="7">
        <v>-0.33</v>
      </c>
      <c r="Q393" s="7">
        <v>-0.06</v>
      </c>
      <c r="R393" s="7">
        <v>9</v>
      </c>
    </row>
    <row r="394" spans="1:18" ht="15.75" customHeight="1" x14ac:dyDescent="0.25">
      <c r="A394" s="1" t="s">
        <v>53</v>
      </c>
      <c r="B394" s="1" t="s">
        <v>54</v>
      </c>
      <c r="C394" s="1" t="s">
        <v>336</v>
      </c>
      <c r="D394" s="1" t="s">
        <v>337</v>
      </c>
      <c r="E394" s="1" t="s">
        <v>338</v>
      </c>
      <c r="F394" s="12" t="str">
        <f t="shared" si="12"/>
        <v>preDLB_pre-LBD-61#1</v>
      </c>
      <c r="G394" s="12" t="s">
        <v>28</v>
      </c>
      <c r="H394" s="1">
        <f t="shared" si="13"/>
        <v>1</v>
      </c>
      <c r="I394" s="1" t="s">
        <v>233</v>
      </c>
      <c r="J394" s="1">
        <v>55.665753420000001</v>
      </c>
      <c r="K394" s="7">
        <v>29</v>
      </c>
      <c r="L394" s="7">
        <v>4</v>
      </c>
      <c r="M394" s="7">
        <v>19</v>
      </c>
      <c r="N394" s="8">
        <v>-0.56999999999999995</v>
      </c>
      <c r="O394" s="7">
        <v>-0.25</v>
      </c>
      <c r="P394" s="7">
        <v>0</v>
      </c>
      <c r="Q394" s="7">
        <v>-0.28000000000000003</v>
      </c>
      <c r="R394" s="7">
        <v>8</v>
      </c>
    </row>
    <row r="395" spans="1:18" ht="15.75" customHeight="1" x14ac:dyDescent="0.25">
      <c r="A395" s="1" t="s">
        <v>53</v>
      </c>
      <c r="B395" s="1" t="s">
        <v>54</v>
      </c>
      <c r="C395" s="1" t="s">
        <v>339</v>
      </c>
      <c r="D395" s="1" t="s">
        <v>340</v>
      </c>
      <c r="E395" s="1" t="s">
        <v>341</v>
      </c>
      <c r="F395" s="12" t="str">
        <f t="shared" si="12"/>
        <v>preDLB_pre-LBD-62#1</v>
      </c>
      <c r="G395" s="12" t="s">
        <v>20</v>
      </c>
      <c r="H395" s="1">
        <f t="shared" si="13"/>
        <v>0</v>
      </c>
      <c r="I395" s="1" t="s">
        <v>233</v>
      </c>
      <c r="J395" s="1">
        <v>74.309589040000006</v>
      </c>
      <c r="K395" s="7">
        <v>29</v>
      </c>
      <c r="L395" s="7">
        <v>4</v>
      </c>
      <c r="M395" s="7">
        <v>16</v>
      </c>
      <c r="N395" s="8">
        <v>0.99</v>
      </c>
      <c r="O395" s="7">
        <v>0.57999999999999996</v>
      </c>
      <c r="P395" s="7">
        <v>0.83</v>
      </c>
      <c r="Q395" s="7">
        <v>0.33</v>
      </c>
      <c r="R395" s="7">
        <v>14</v>
      </c>
    </row>
    <row r="396" spans="1:18" ht="15.75" customHeight="1" x14ac:dyDescent="0.25">
      <c r="A396" s="1" t="s">
        <v>53</v>
      </c>
      <c r="B396" s="1" t="s">
        <v>54</v>
      </c>
      <c r="C396" s="1" t="s">
        <v>467</v>
      </c>
      <c r="D396" s="1" t="s">
        <v>468</v>
      </c>
      <c r="E396" s="1" t="s">
        <v>469</v>
      </c>
      <c r="F396" s="12" t="str">
        <f t="shared" si="12"/>
        <v>preDLB_pre-LBD-65#1</v>
      </c>
      <c r="G396" s="12" t="s">
        <v>20</v>
      </c>
      <c r="H396" s="1">
        <f t="shared" si="13"/>
        <v>0</v>
      </c>
      <c r="I396" s="1" t="s">
        <v>391</v>
      </c>
      <c r="J396" s="1">
        <v>78.150684929999997</v>
      </c>
      <c r="K396" s="7">
        <v>21</v>
      </c>
      <c r="L396" s="7">
        <v>3</v>
      </c>
      <c r="M396" s="7">
        <v>14</v>
      </c>
      <c r="N396" s="8">
        <v>-2.14</v>
      </c>
      <c r="O396" s="7">
        <v>-1.75</v>
      </c>
      <c r="P396" s="7">
        <v>0.17</v>
      </c>
      <c r="Q396" s="7">
        <v>1.1100000000000001</v>
      </c>
      <c r="R396" s="7">
        <v>6</v>
      </c>
    </row>
    <row r="397" spans="1:18" ht="15.75" customHeight="1" x14ac:dyDescent="0.25">
      <c r="A397" s="1" t="s">
        <v>53</v>
      </c>
      <c r="B397" s="1" t="s">
        <v>54</v>
      </c>
      <c r="C397" s="1" t="s">
        <v>67</v>
      </c>
      <c r="D397" s="1" t="s">
        <v>68</v>
      </c>
      <c r="E397" s="1" t="s">
        <v>69</v>
      </c>
      <c r="F397" s="12" t="str">
        <f t="shared" si="12"/>
        <v>preDLB_pre-LBD-68#1</v>
      </c>
      <c r="G397" s="12" t="s">
        <v>20</v>
      </c>
      <c r="H397" s="1">
        <f t="shared" si="13"/>
        <v>0</v>
      </c>
      <c r="I397" s="1" t="s">
        <v>21</v>
      </c>
      <c r="J397" s="1">
        <v>80.400000000000006</v>
      </c>
      <c r="K397" s="7">
        <v>24</v>
      </c>
      <c r="L397" s="7">
        <v>4</v>
      </c>
      <c r="M397" s="7">
        <v>17</v>
      </c>
      <c r="N397" s="8">
        <v>0.13</v>
      </c>
      <c r="O397" s="7">
        <v>1.08</v>
      </c>
      <c r="P397" s="7">
        <v>-0.67</v>
      </c>
      <c r="Q397" s="7">
        <v>-0.67</v>
      </c>
      <c r="R397" s="7">
        <v>0</v>
      </c>
    </row>
    <row r="398" spans="1:18" ht="15.75" customHeight="1" x14ac:dyDescent="0.25">
      <c r="A398" s="1" t="s">
        <v>53</v>
      </c>
      <c r="B398" s="1" t="s">
        <v>54</v>
      </c>
      <c r="C398" s="1" t="s">
        <v>470</v>
      </c>
      <c r="D398" s="1" t="s">
        <v>471</v>
      </c>
      <c r="E398" s="1" t="s">
        <v>472</v>
      </c>
      <c r="F398" s="12" t="str">
        <f t="shared" si="12"/>
        <v>preDLB_pre-LBD-69#1</v>
      </c>
      <c r="G398" s="12" t="s">
        <v>28</v>
      </c>
      <c r="H398" s="1">
        <f t="shared" si="13"/>
        <v>1</v>
      </c>
      <c r="I398" s="1" t="s">
        <v>391</v>
      </c>
      <c r="J398" s="1">
        <v>66.854794519999999</v>
      </c>
      <c r="K398" s="7">
        <v>27</v>
      </c>
      <c r="L398" s="7">
        <v>3</v>
      </c>
      <c r="M398" s="7">
        <v>13</v>
      </c>
      <c r="N398" s="8">
        <v>0.09</v>
      </c>
      <c r="O398" s="7">
        <v>-0.25</v>
      </c>
      <c r="P398" s="7">
        <v>-0.5</v>
      </c>
      <c r="Q398" s="7">
        <v>-0.5</v>
      </c>
      <c r="R398" s="7">
        <v>11</v>
      </c>
    </row>
    <row r="399" spans="1:18" ht="15.75" customHeight="1" x14ac:dyDescent="0.25">
      <c r="A399" s="1" t="s">
        <v>53</v>
      </c>
      <c r="B399" s="1" t="s">
        <v>54</v>
      </c>
      <c r="C399" s="1" t="s">
        <v>342</v>
      </c>
      <c r="D399" s="1" t="s">
        <v>343</v>
      </c>
      <c r="E399" s="1" t="s">
        <v>344</v>
      </c>
      <c r="F399" s="12" t="str">
        <f t="shared" si="12"/>
        <v>preDLB_pre-LBD-70#1</v>
      </c>
      <c r="G399" s="12" t="s">
        <v>28</v>
      </c>
      <c r="H399" s="1">
        <f t="shared" si="13"/>
        <v>1</v>
      </c>
      <c r="I399" s="1" t="s">
        <v>233</v>
      </c>
      <c r="J399" s="1">
        <v>65.068493149999995</v>
      </c>
      <c r="K399" s="7">
        <v>30</v>
      </c>
      <c r="L399" s="7">
        <v>4</v>
      </c>
      <c r="M399" s="7">
        <v>23</v>
      </c>
      <c r="N399" s="8">
        <v>0.84</v>
      </c>
      <c r="O399" s="7">
        <v>-0.25</v>
      </c>
      <c r="P399" s="7">
        <v>1.17</v>
      </c>
      <c r="Q399" s="7">
        <v>0.22</v>
      </c>
      <c r="R399" s="7">
        <v>6</v>
      </c>
    </row>
    <row r="400" spans="1:18" ht="15.75" customHeight="1" x14ac:dyDescent="0.25">
      <c r="A400" s="1" t="s">
        <v>53</v>
      </c>
      <c r="B400" s="1" t="s">
        <v>54</v>
      </c>
      <c r="C400" s="1" t="s">
        <v>473</v>
      </c>
      <c r="D400" s="1" t="s">
        <v>474</v>
      </c>
      <c r="E400" s="1" t="s">
        <v>475</v>
      </c>
      <c r="F400" s="12" t="str">
        <f t="shared" si="12"/>
        <v>preDLB_pre-LBD-71#1</v>
      </c>
      <c r="G400" s="12" t="s">
        <v>20</v>
      </c>
      <c r="H400" s="1">
        <f t="shared" si="13"/>
        <v>0</v>
      </c>
      <c r="I400" s="1" t="s">
        <v>391</v>
      </c>
      <c r="J400" s="1">
        <v>70.956164380000004</v>
      </c>
      <c r="K400" s="7">
        <v>17</v>
      </c>
      <c r="L400" s="7">
        <v>4</v>
      </c>
      <c r="M400" s="7">
        <v>17</v>
      </c>
      <c r="N400" s="8">
        <v>-0.39</v>
      </c>
      <c r="O400" s="7">
        <v>-0.77</v>
      </c>
      <c r="P400" s="7">
        <v>-1.17</v>
      </c>
      <c r="Q400" s="7">
        <v>-1.28</v>
      </c>
      <c r="R400" s="7">
        <v>1</v>
      </c>
    </row>
    <row r="401" spans="1:18" ht="15.75" customHeight="1" x14ac:dyDescent="0.25">
      <c r="A401" s="1" t="s">
        <v>53</v>
      </c>
      <c r="B401" s="1" t="s">
        <v>54</v>
      </c>
      <c r="C401" s="1" t="s">
        <v>476</v>
      </c>
      <c r="D401" s="1" t="s">
        <v>477</v>
      </c>
      <c r="E401" s="1" t="s">
        <v>478</v>
      </c>
      <c r="F401" s="12" t="str">
        <f t="shared" si="12"/>
        <v>preDLB_pre-LBD-72#1</v>
      </c>
      <c r="G401" s="12" t="s">
        <v>28</v>
      </c>
      <c r="H401" s="1">
        <f t="shared" si="13"/>
        <v>1</v>
      </c>
      <c r="I401" s="1" t="s">
        <v>391</v>
      </c>
      <c r="J401" s="1">
        <v>75.92054795</v>
      </c>
      <c r="K401" s="7">
        <v>24</v>
      </c>
      <c r="L401" s="7">
        <v>3</v>
      </c>
      <c r="M401" s="7">
        <v>12</v>
      </c>
      <c r="N401" s="8">
        <v>0.11</v>
      </c>
      <c r="O401" s="7">
        <v>-2.17</v>
      </c>
      <c r="P401" s="7">
        <v>0.33</v>
      </c>
      <c r="Q401" s="7">
        <v>-0.56000000000000005</v>
      </c>
      <c r="R401" s="7">
        <v>10</v>
      </c>
    </row>
    <row r="402" spans="1:18" ht="15.75" customHeight="1" x14ac:dyDescent="0.25">
      <c r="A402" s="1" t="s">
        <v>53</v>
      </c>
      <c r="B402" s="1" t="s">
        <v>54</v>
      </c>
      <c r="C402" s="1" t="s">
        <v>395</v>
      </c>
      <c r="D402" s="1" t="s">
        <v>396</v>
      </c>
      <c r="E402" s="1" t="s">
        <v>397</v>
      </c>
      <c r="F402" s="12" t="str">
        <f t="shared" si="12"/>
        <v>preDLB_pre-LBD-8#1</v>
      </c>
      <c r="G402" s="12" t="s">
        <v>20</v>
      </c>
      <c r="H402" s="1">
        <f t="shared" si="13"/>
        <v>0</v>
      </c>
      <c r="I402" s="1" t="s">
        <v>391</v>
      </c>
      <c r="J402" s="1">
        <v>76.53150685</v>
      </c>
      <c r="K402" s="7">
        <v>23</v>
      </c>
      <c r="L402" s="7">
        <v>2</v>
      </c>
      <c r="M402" s="7">
        <v>11</v>
      </c>
      <c r="N402" s="8">
        <v>7.0000000000000007E-2</v>
      </c>
      <c r="O402" s="7">
        <v>-0.77</v>
      </c>
      <c r="P402" s="7">
        <v>-0.67</v>
      </c>
      <c r="Q402" s="7">
        <v>-0.17</v>
      </c>
      <c r="R402" s="7">
        <v>5</v>
      </c>
    </row>
    <row r="403" spans="1:18" ht="15.75" customHeight="1" x14ac:dyDescent="0.25">
      <c r="A403" s="1" t="s">
        <v>53</v>
      </c>
      <c r="B403" s="1" t="s">
        <v>54</v>
      </c>
      <c r="C403" s="1" t="s">
        <v>70</v>
      </c>
      <c r="D403" s="1" t="s">
        <v>71</v>
      </c>
      <c r="E403" s="1" t="s">
        <v>72</v>
      </c>
      <c r="F403" s="12" t="str">
        <f t="shared" si="12"/>
        <v>preDLB_pre-LBD-80#1</v>
      </c>
      <c r="G403" s="12" t="s">
        <v>28</v>
      </c>
      <c r="H403" s="1">
        <f t="shared" si="13"/>
        <v>1</v>
      </c>
      <c r="I403" s="1" t="s">
        <v>21</v>
      </c>
      <c r="J403" s="1">
        <v>68.410958899999997</v>
      </c>
      <c r="K403" s="7">
        <v>20</v>
      </c>
      <c r="L403" s="7">
        <v>2</v>
      </c>
      <c r="M403" s="7">
        <v>12</v>
      </c>
      <c r="N403" s="8">
        <v>-0.33</v>
      </c>
      <c r="O403" s="7">
        <v>-0.77</v>
      </c>
      <c r="P403" s="7">
        <v>-0.5</v>
      </c>
      <c r="Q403" s="7">
        <v>-0.72</v>
      </c>
      <c r="R403" s="7">
        <v>0</v>
      </c>
    </row>
    <row r="404" spans="1:18" ht="15.75" customHeight="1" x14ac:dyDescent="0.25">
      <c r="A404" s="1" t="s">
        <v>53</v>
      </c>
      <c r="B404" s="1" t="s">
        <v>54</v>
      </c>
      <c r="C404" s="1" t="s">
        <v>479</v>
      </c>
      <c r="D404" s="1" t="s">
        <v>480</v>
      </c>
      <c r="E404" s="1" t="s">
        <v>481</v>
      </c>
      <c r="F404" s="12" t="str">
        <f t="shared" si="12"/>
        <v>preDLB_pre-LBD-83#1</v>
      </c>
      <c r="G404" s="12" t="s">
        <v>28</v>
      </c>
      <c r="H404" s="1">
        <f t="shared" si="13"/>
        <v>1</v>
      </c>
      <c r="I404" s="1" t="s">
        <v>391</v>
      </c>
      <c r="J404" s="1">
        <v>71.194520549999993</v>
      </c>
      <c r="K404" s="7">
        <v>21</v>
      </c>
      <c r="L404" s="7">
        <v>3</v>
      </c>
      <c r="M404" s="7">
        <v>13</v>
      </c>
      <c r="N404" s="8">
        <v>0.68</v>
      </c>
      <c r="O404" s="7">
        <v>-0.78</v>
      </c>
      <c r="P404" s="7">
        <v>0.17</v>
      </c>
      <c r="Q404" s="7">
        <v>-0.61</v>
      </c>
      <c r="R404" s="7">
        <v>22</v>
      </c>
    </row>
    <row r="405" spans="1:18" ht="15.75" customHeight="1" x14ac:dyDescent="0.25">
      <c r="A405" s="1" t="s">
        <v>53</v>
      </c>
      <c r="B405" s="1" t="s">
        <v>54</v>
      </c>
      <c r="C405" s="1" t="s">
        <v>345</v>
      </c>
      <c r="D405" s="1" t="s">
        <v>346</v>
      </c>
      <c r="E405" s="1" t="s">
        <v>347</v>
      </c>
      <c r="F405" s="12" t="str">
        <f t="shared" si="12"/>
        <v>preDLB_pre-LBD-84#1</v>
      </c>
      <c r="G405" s="12" t="s">
        <v>28</v>
      </c>
      <c r="H405" s="1">
        <f t="shared" si="13"/>
        <v>1</v>
      </c>
      <c r="I405" s="1" t="s">
        <v>233</v>
      </c>
      <c r="J405" s="1">
        <v>57.334246579999999</v>
      </c>
      <c r="K405" s="7">
        <v>28</v>
      </c>
      <c r="L405" s="7">
        <v>4</v>
      </c>
      <c r="M405" s="7">
        <v>17</v>
      </c>
      <c r="N405" s="8">
        <v>0.45</v>
      </c>
      <c r="O405" s="7">
        <v>-0.25</v>
      </c>
      <c r="P405" s="7">
        <v>0.67</v>
      </c>
      <c r="Q405" s="7">
        <v>0.67</v>
      </c>
      <c r="R405" s="7">
        <v>3</v>
      </c>
    </row>
    <row r="406" spans="1:18" ht="15.75" customHeight="1" x14ac:dyDescent="0.25">
      <c r="A406" s="1" t="s">
        <v>53</v>
      </c>
      <c r="B406" s="1" t="s">
        <v>54</v>
      </c>
      <c r="C406" s="1" t="s">
        <v>482</v>
      </c>
      <c r="D406" s="1" t="s">
        <v>483</v>
      </c>
      <c r="E406" s="1" t="s">
        <v>484</v>
      </c>
      <c r="F406" s="12" t="str">
        <f t="shared" si="12"/>
        <v>preDLB_pre-LBD-87#1</v>
      </c>
      <c r="G406" s="12" t="s">
        <v>28</v>
      </c>
      <c r="H406" s="1">
        <f t="shared" si="13"/>
        <v>1</v>
      </c>
      <c r="I406" s="1" t="s">
        <v>391</v>
      </c>
      <c r="J406" s="1">
        <v>55.84383562</v>
      </c>
      <c r="K406" s="7">
        <v>27</v>
      </c>
      <c r="L406" s="7">
        <v>4</v>
      </c>
      <c r="M406" s="7">
        <v>14</v>
      </c>
      <c r="N406" s="8">
        <v>-1.6</v>
      </c>
      <c r="O406" s="7">
        <v>0.57999999999999996</v>
      </c>
      <c r="P406" s="7">
        <v>0</v>
      </c>
      <c r="Q406" s="7">
        <v>0.61</v>
      </c>
      <c r="R406" s="7">
        <v>19</v>
      </c>
    </row>
    <row r="407" spans="1:18" ht="15.75" customHeight="1" x14ac:dyDescent="0.25">
      <c r="A407" s="1" t="s">
        <v>53</v>
      </c>
      <c r="B407" s="1" t="s">
        <v>54</v>
      </c>
      <c r="C407" s="1" t="s">
        <v>348</v>
      </c>
      <c r="D407" s="1" t="s">
        <v>349</v>
      </c>
      <c r="E407" s="1" t="s">
        <v>350</v>
      </c>
      <c r="F407" s="12" t="str">
        <f t="shared" si="12"/>
        <v>preDLB_pre-LBD-88#1</v>
      </c>
      <c r="G407" s="12" t="s">
        <v>28</v>
      </c>
      <c r="H407" s="1">
        <f t="shared" si="13"/>
        <v>1</v>
      </c>
      <c r="I407" s="1" t="s">
        <v>233</v>
      </c>
      <c r="J407" s="1">
        <v>70.586301370000001</v>
      </c>
      <c r="K407" s="7">
        <v>26</v>
      </c>
      <c r="L407" s="7">
        <v>4</v>
      </c>
      <c r="M407" s="7">
        <v>19</v>
      </c>
      <c r="N407" s="8">
        <v>0.2</v>
      </c>
      <c r="O407" s="7">
        <v>-2.17</v>
      </c>
      <c r="P407" s="7">
        <v>-0.17</v>
      </c>
      <c r="Q407" s="7">
        <v>0.11</v>
      </c>
      <c r="R407" s="7">
        <v>7</v>
      </c>
    </row>
    <row r="408" spans="1:18" ht="15.75" customHeight="1" x14ac:dyDescent="0.25">
      <c r="A408" s="1" t="s">
        <v>53</v>
      </c>
      <c r="B408" s="1" t="s">
        <v>54</v>
      </c>
      <c r="C408" s="1" t="s">
        <v>485</v>
      </c>
      <c r="D408" s="1" t="s">
        <v>486</v>
      </c>
      <c r="E408" s="1" t="s">
        <v>487</v>
      </c>
      <c r="F408" s="12" t="str">
        <f t="shared" si="12"/>
        <v>preDLB_pre-LBD-89#1</v>
      </c>
      <c r="G408" s="12" t="s">
        <v>28</v>
      </c>
      <c r="H408" s="1">
        <f t="shared" si="13"/>
        <v>1</v>
      </c>
      <c r="I408" s="1" t="s">
        <v>391</v>
      </c>
      <c r="J408" s="1">
        <v>74.002739730000002</v>
      </c>
      <c r="K408" s="7">
        <v>21</v>
      </c>
      <c r="L408" s="7">
        <v>2</v>
      </c>
      <c r="M408" s="7">
        <v>11</v>
      </c>
      <c r="N408" s="8">
        <v>0.15</v>
      </c>
      <c r="O408" s="7">
        <v>-1.34</v>
      </c>
      <c r="P408" s="7">
        <v>-0.83</v>
      </c>
      <c r="Q408" s="7">
        <v>-0.56000000000000005</v>
      </c>
      <c r="R408" s="7">
        <v>17</v>
      </c>
    </row>
    <row r="409" spans="1:18" ht="15.75" customHeight="1" x14ac:dyDescent="0.25">
      <c r="A409" s="1" t="s">
        <v>53</v>
      </c>
      <c r="B409" s="1" t="s">
        <v>54</v>
      </c>
      <c r="C409" s="1" t="s">
        <v>321</v>
      </c>
      <c r="D409" s="1" t="s">
        <v>322</v>
      </c>
      <c r="E409" s="1" t="s">
        <v>323</v>
      </c>
      <c r="F409" s="12" t="str">
        <f t="shared" si="12"/>
        <v>preDLB_pre-LBD-9#1</v>
      </c>
      <c r="G409" s="12" t="s">
        <v>20</v>
      </c>
      <c r="H409" s="1">
        <f t="shared" si="13"/>
        <v>0</v>
      </c>
      <c r="I409" s="1" t="s">
        <v>233</v>
      </c>
      <c r="J409" s="1">
        <v>69.561643840000002</v>
      </c>
      <c r="K409" s="7">
        <v>27</v>
      </c>
      <c r="L409" s="7">
        <v>4</v>
      </c>
      <c r="M409" s="7">
        <v>20</v>
      </c>
      <c r="N409" s="8">
        <v>1.1399999999999999</v>
      </c>
      <c r="O409" s="7">
        <v>0.57999999999999996</v>
      </c>
      <c r="P409" s="7">
        <v>1</v>
      </c>
      <c r="Q409" s="7">
        <v>0.17</v>
      </c>
      <c r="R409" s="7">
        <v>5</v>
      </c>
    </row>
    <row r="410" spans="1:18" ht="15.75" customHeight="1" x14ac:dyDescent="0.25">
      <c r="A410" s="1" t="s">
        <v>53</v>
      </c>
      <c r="B410" s="1" t="s">
        <v>54</v>
      </c>
      <c r="C410" s="1" t="s">
        <v>488</v>
      </c>
      <c r="D410" s="1" t="s">
        <v>489</v>
      </c>
      <c r="E410" s="1" t="s">
        <v>490</v>
      </c>
      <c r="F410" s="12" t="str">
        <f t="shared" si="12"/>
        <v>preDLB_pre-LBD-91#1</v>
      </c>
      <c r="G410" s="12" t="s">
        <v>20</v>
      </c>
      <c r="H410" s="1">
        <f t="shared" si="13"/>
        <v>0</v>
      </c>
      <c r="I410" s="1" t="s">
        <v>391</v>
      </c>
      <c r="J410" s="1">
        <v>59.824657530000003</v>
      </c>
      <c r="K410" s="7">
        <v>27</v>
      </c>
      <c r="L410" s="7">
        <v>4</v>
      </c>
      <c r="M410" s="7">
        <v>19</v>
      </c>
      <c r="N410" s="8">
        <v>-1.01</v>
      </c>
      <c r="O410" s="7">
        <v>0.57999999999999996</v>
      </c>
      <c r="P410" s="7">
        <v>1</v>
      </c>
      <c r="Q410" s="7">
        <v>1</v>
      </c>
      <c r="R410" s="7">
        <v>8</v>
      </c>
    </row>
    <row r="411" spans="1:18" ht="15.75" customHeight="1" x14ac:dyDescent="0.25">
      <c r="A411" s="1" t="s">
        <v>53</v>
      </c>
      <c r="B411" s="1" t="s">
        <v>54</v>
      </c>
      <c r="C411" s="1" t="s">
        <v>491</v>
      </c>
      <c r="D411" s="1" t="s">
        <v>492</v>
      </c>
      <c r="E411" s="1" t="s">
        <v>493</v>
      </c>
      <c r="F411" s="12" t="str">
        <f t="shared" si="12"/>
        <v>preDLB_pre-LBD-92#1</v>
      </c>
      <c r="G411" s="12" t="s">
        <v>20</v>
      </c>
      <c r="H411" s="1">
        <f t="shared" si="13"/>
        <v>0</v>
      </c>
      <c r="I411" s="1" t="s">
        <v>391</v>
      </c>
      <c r="J411" s="1">
        <v>74.512328769999996</v>
      </c>
      <c r="K411" s="7">
        <v>26</v>
      </c>
      <c r="L411" s="7">
        <v>3</v>
      </c>
      <c r="M411" s="7">
        <v>13</v>
      </c>
      <c r="N411" s="8">
        <v>-1.32</v>
      </c>
      <c r="O411" s="7">
        <v>-0.25</v>
      </c>
      <c r="P411" s="7">
        <v>0.5</v>
      </c>
      <c r="Q411" s="7">
        <v>-0.17</v>
      </c>
      <c r="R411" s="7">
        <v>8</v>
      </c>
    </row>
    <row r="412" spans="1:18" ht="15.75" customHeight="1" x14ac:dyDescent="0.25">
      <c r="A412" s="1" t="s">
        <v>53</v>
      </c>
      <c r="B412" s="1" t="s">
        <v>54</v>
      </c>
      <c r="C412" s="1" t="s">
        <v>73</v>
      </c>
      <c r="D412" s="1" t="s">
        <v>74</v>
      </c>
      <c r="E412" s="1" t="s">
        <v>75</v>
      </c>
      <c r="F412" s="12" t="str">
        <f t="shared" si="12"/>
        <v>preDLB_pre-LBD-95#1</v>
      </c>
      <c r="G412" s="12" t="s">
        <v>28</v>
      </c>
      <c r="H412" s="1">
        <f t="shared" si="13"/>
        <v>1</v>
      </c>
      <c r="I412" s="1" t="s">
        <v>21</v>
      </c>
      <c r="J412" s="1">
        <v>55.873972600000002</v>
      </c>
      <c r="K412" s="7">
        <v>27</v>
      </c>
      <c r="L412" s="7">
        <v>2</v>
      </c>
      <c r="M412" s="7">
        <v>12</v>
      </c>
      <c r="N412" s="8">
        <v>-0.43</v>
      </c>
      <c r="O412" s="7">
        <v>-0.25</v>
      </c>
      <c r="P412" s="7">
        <v>0</v>
      </c>
      <c r="Q412" s="7">
        <v>0.22</v>
      </c>
      <c r="R412" s="7">
        <v>13</v>
      </c>
    </row>
    <row r="413" spans="1:18" ht="15.75" customHeight="1" x14ac:dyDescent="0.25">
      <c r="A413" s="1" t="s">
        <v>53</v>
      </c>
      <c r="B413" s="1" t="s">
        <v>54</v>
      </c>
      <c r="C413" s="1" t="s">
        <v>76</v>
      </c>
      <c r="D413" s="1" t="s">
        <v>77</v>
      </c>
      <c r="E413" s="1" t="s">
        <v>78</v>
      </c>
      <c r="F413" s="12" t="str">
        <f t="shared" si="12"/>
        <v>preDLB_pre-LBD-97#1</v>
      </c>
      <c r="G413" s="12" t="s">
        <v>20</v>
      </c>
      <c r="H413" s="1">
        <f t="shared" si="13"/>
        <v>0</v>
      </c>
      <c r="I413" s="1" t="s">
        <v>21</v>
      </c>
      <c r="J413" s="1">
        <v>70.676712330000001</v>
      </c>
      <c r="K413" s="7">
        <v>26</v>
      </c>
      <c r="L413" s="7">
        <v>3</v>
      </c>
      <c r="M413" s="7">
        <v>13</v>
      </c>
      <c r="N413" s="8">
        <v>-0.66</v>
      </c>
      <c r="O413" s="7">
        <v>1.08</v>
      </c>
      <c r="P413" s="7">
        <v>-0.33</v>
      </c>
      <c r="Q413" s="7">
        <v>-1.17</v>
      </c>
      <c r="R413" s="7">
        <v>4</v>
      </c>
    </row>
    <row r="414" spans="1:18" ht="15.75" customHeight="1" x14ac:dyDescent="0.25">
      <c r="A414" s="1" t="s">
        <v>53</v>
      </c>
      <c r="B414" s="1" t="s">
        <v>54</v>
      </c>
      <c r="C414" s="1" t="s">
        <v>494</v>
      </c>
      <c r="D414" s="1" t="s">
        <v>495</v>
      </c>
      <c r="E414" s="1" t="s">
        <v>496</v>
      </c>
      <c r="F414" s="12" t="str">
        <f t="shared" si="12"/>
        <v>preDLB_pre-LBD-98#1</v>
      </c>
      <c r="G414" s="12" t="s">
        <v>28</v>
      </c>
      <c r="H414" s="1">
        <f t="shared" si="13"/>
        <v>1</v>
      </c>
      <c r="I414" s="1" t="s">
        <v>391</v>
      </c>
      <c r="J414" s="1">
        <v>75.621917809999999</v>
      </c>
      <c r="K414" s="7">
        <v>14</v>
      </c>
      <c r="L414">
        <f>median!D$3</f>
        <v>4</v>
      </c>
      <c r="M414">
        <f>median!E$3</f>
        <v>18</v>
      </c>
      <c r="N414">
        <f>median!F$3</f>
        <v>-2.08</v>
      </c>
      <c r="O414">
        <f>median!G$3</f>
        <v>-0.25</v>
      </c>
      <c r="P414">
        <f>median!H$3</f>
        <v>-0.35</v>
      </c>
      <c r="Q414">
        <f>median!I$3</f>
        <v>-0.9</v>
      </c>
      <c r="R414" s="7">
        <v>19</v>
      </c>
    </row>
    <row r="415" spans="1:18" ht="15.75" customHeight="1" x14ac:dyDescent="0.25">
      <c r="A415" s="1" t="s">
        <v>53</v>
      </c>
      <c r="B415" s="1" t="s">
        <v>54</v>
      </c>
      <c r="C415" s="1" t="s">
        <v>497</v>
      </c>
      <c r="D415" s="1" t="s">
        <v>498</v>
      </c>
      <c r="E415" s="1" t="s">
        <v>499</v>
      </c>
      <c r="F415" s="12" t="str">
        <f t="shared" si="12"/>
        <v>preDLB_pre-LBD-99#1</v>
      </c>
      <c r="G415" s="12" t="s">
        <v>20</v>
      </c>
      <c r="H415" s="1">
        <f t="shared" si="13"/>
        <v>0</v>
      </c>
      <c r="I415" s="1" t="s">
        <v>391</v>
      </c>
      <c r="J415" s="1">
        <v>75.328767119999995</v>
      </c>
      <c r="K415" s="7">
        <v>21</v>
      </c>
      <c r="L415">
        <f>median!D$3</f>
        <v>4</v>
      </c>
      <c r="M415">
        <f>median!E$3</f>
        <v>18</v>
      </c>
      <c r="N415">
        <f>median!F$3</f>
        <v>-2.08</v>
      </c>
      <c r="O415">
        <f>median!G$3</f>
        <v>-0.25</v>
      </c>
      <c r="P415">
        <f>median!H$3</f>
        <v>-0.35</v>
      </c>
      <c r="Q415">
        <f>median!I$3</f>
        <v>-0.9</v>
      </c>
      <c r="R415" s="7">
        <v>3</v>
      </c>
    </row>
    <row r="416" spans="1:18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</sheetData>
  <sortState xmlns:xlrd2="http://schemas.microsoft.com/office/spreadsheetml/2017/richdata2" ref="A2:R415">
    <sortCondition ref="F2:F415"/>
  </sortState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324FA-E02B-4097-B22A-F698B63F5AB9}">
  <dimension ref="A1:J3"/>
  <sheetViews>
    <sheetView workbookViewId="0">
      <selection activeCell="B3" sqref="B3"/>
    </sheetView>
  </sheetViews>
  <sheetFormatPr defaultRowHeight="15" x14ac:dyDescent="0.25"/>
  <sheetData>
    <row r="1" spans="1:10" x14ac:dyDescent="0.25">
      <c r="B1" s="5" t="s">
        <v>6</v>
      </c>
      <c r="C1" s="6" t="s">
        <v>7</v>
      </c>
      <c r="D1" s="6" t="s">
        <v>8</v>
      </c>
      <c r="E1" s="6" t="s">
        <v>9</v>
      </c>
      <c r="F1" s="5" t="s">
        <v>10</v>
      </c>
      <c r="G1" s="6" t="s">
        <v>11</v>
      </c>
      <c r="H1" s="6" t="s">
        <v>12</v>
      </c>
      <c r="I1" s="6" t="s">
        <v>13</v>
      </c>
      <c r="J1" s="6" t="s">
        <v>14</v>
      </c>
    </row>
    <row r="2" spans="1:10" x14ac:dyDescent="0.25">
      <c r="A2" t="s">
        <v>838</v>
      </c>
      <c r="B2">
        <f>MEDIAN(IF(ISNUMBER(Sheet1!J2),Sheet1!J2))</f>
        <v>74.165639970000001</v>
      </c>
      <c r="C2">
        <f>MEDIAN(IF(ISNUMBER(Sheet1!K2),Sheet1!K2))</f>
        <v>23</v>
      </c>
      <c r="D2">
        <f>MEDIAN(IF(ISNUMBER(Sheet1!L2),Sheet1!L2))</f>
        <v>4</v>
      </c>
      <c r="E2">
        <f>MEDIAN(IF(ISNUMBER(Sheet1!M2),Sheet1!M2))</f>
        <v>18</v>
      </c>
      <c r="F2">
        <f>MEDIAN(IF(ISNUMBER(Sheet1!N2),Sheet1!N2))</f>
        <v>-2.08</v>
      </c>
      <c r="G2">
        <f>MEDIAN(IF(ISNUMBER(Sheet1!O2),Sheet1!O2))</f>
        <v>-0.25</v>
      </c>
      <c r="H2">
        <f>MEDIAN(IF(ISNUMBER(Sheet1!P2),Sheet1!P2))</f>
        <v>-0.35</v>
      </c>
      <c r="I2">
        <f>MEDIAN(IF(ISNUMBER(Sheet1!Q2),Sheet1!Q2))</f>
        <v>-0.9</v>
      </c>
      <c r="J2">
        <f>MEDIAN(IF(ISNUMBER(Sheet1!R2),Sheet1!R2))</f>
        <v>0</v>
      </c>
    </row>
    <row r="3" spans="1:10" x14ac:dyDescent="0.25">
      <c r="B3">
        <v>74.165639970000001</v>
      </c>
      <c r="C3">
        <v>23</v>
      </c>
      <c r="D3">
        <v>4</v>
      </c>
      <c r="E3">
        <v>18</v>
      </c>
      <c r="F3">
        <v>-2.08</v>
      </c>
      <c r="G3">
        <v>-0.25</v>
      </c>
      <c r="H3">
        <v>-0.35</v>
      </c>
      <c r="I3">
        <v>-0.9</v>
      </c>
      <c r="J3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C11"/>
  <sheetViews>
    <sheetView workbookViewId="0"/>
  </sheetViews>
  <sheetFormatPr defaultColWidth="14.42578125" defaultRowHeight="15" customHeight="1" x14ac:dyDescent="0.25"/>
  <sheetData>
    <row r="2" spans="2:3" ht="15" customHeight="1" x14ac:dyDescent="0.25">
      <c r="B2" s="2" t="s">
        <v>832</v>
      </c>
      <c r="C2" s="2" t="s">
        <v>833</v>
      </c>
    </row>
    <row r="3" spans="2:3" ht="15" customHeight="1" x14ac:dyDescent="0.25">
      <c r="B3" s="3" t="s">
        <v>108</v>
      </c>
      <c r="C3" s="3">
        <f>COUNTIF(Sheet1!I2:I415, "PD-MCI")</f>
        <v>93</v>
      </c>
    </row>
    <row r="4" spans="2:3" ht="15" customHeight="1" x14ac:dyDescent="0.25">
      <c r="B4" s="3" t="s">
        <v>233</v>
      </c>
      <c r="C4" s="3">
        <f>COUNTIF(Sheet1!I2:I415, "HC")</f>
        <v>175</v>
      </c>
    </row>
    <row r="5" spans="2:3" ht="15" customHeight="1" x14ac:dyDescent="0.25">
      <c r="B5" s="3" t="s">
        <v>391</v>
      </c>
      <c r="C5" s="3">
        <f>COUNTIF(Sheet1!I2:I415, "MCI-LB")</f>
        <v>79</v>
      </c>
    </row>
    <row r="6" spans="2:3" ht="15" customHeight="1" x14ac:dyDescent="0.25">
      <c r="B6" s="3" t="s">
        <v>21</v>
      </c>
      <c r="C6" s="3">
        <f>COUNTIF(Sheet1!I2:I415, "MCI-AD")</f>
        <v>62</v>
      </c>
    </row>
    <row r="7" spans="2:3" ht="15" customHeight="1" x14ac:dyDescent="0.25">
      <c r="B7" s="4" t="s">
        <v>115</v>
      </c>
      <c r="C7" s="4">
        <f>COUNTIF(Sheet1!I2:I415, "PD-NC")</f>
        <v>5</v>
      </c>
    </row>
    <row r="8" spans="2:3" ht="15" customHeight="1" x14ac:dyDescent="0.25">
      <c r="B8" s="2" t="s">
        <v>834</v>
      </c>
      <c r="C8" s="2">
        <f>SUM(C3:C7)</f>
        <v>414</v>
      </c>
    </row>
    <row r="11" spans="2:3" ht="15" customHeight="1" x14ac:dyDescent="0.25">
      <c r="B11" s="1" t="s">
        <v>835</v>
      </c>
      <c r="C11" s="1">
        <f ca="1">IFERROR(__xludf.DUMMYFUNCTION("COUNTUNIQUE(Sheet1!I2:I415)"),5)</f>
        <v>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Sheet1</vt:lpstr>
      <vt:lpstr>median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Heimlichová Klára (217196)</cp:lastModifiedBy>
  <dcterms:created xsi:type="dcterms:W3CDTF">2025-07-24T08:05:42Z</dcterms:created>
  <dcterms:modified xsi:type="dcterms:W3CDTF">2026-02-16T21:14:18Z</dcterms:modified>
</cp:coreProperties>
</file>