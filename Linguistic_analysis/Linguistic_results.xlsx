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eziok\Desktop\Diplomka\main\odstranění kovariátů\linguistic\"/>
    </mc:Choice>
  </mc:AlternateContent>
  <xr:revisionPtr revIDLastSave="0" documentId="13_ncr:1_{83C57A96-2452-4899-847D-EA4D340387FE}" xr6:coauthVersionLast="47" xr6:coauthVersionMax="47" xr10:uidLastSave="{00000000-0000-0000-0000-000000000000}"/>
  <bookViews>
    <workbookView xWindow="-120" yWindow="-120" windowWidth="29040" windowHeight="15720" xr2:uid="{00000000-000D-0000-FFFF-FFFF00000000}"/>
  </bookViews>
  <sheets>
    <sheet name="Linguistic_parameters2" sheetId="3" r:id="rId1"/>
    <sheet name="Median" sheetId="1" r:id="rId2"/>
    <sheet name="Transcript" sheetId="4" r:id="rId3"/>
    <sheet name="wrong_style" sheetId="2" r:id="rId4"/>
  </sheets>
  <definedNames>
    <definedName name="ExternalData_1" localSheetId="3" hidden="1">wrong_style!$A$1:$AQ$415</definedName>
    <definedName name="ExternalData_2" localSheetId="0" hidden="1">Linguistic_parameters2!$A$1:$U$415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2" i="3" l="1"/>
  <c r="E312" i="3"/>
  <c r="F312" i="3"/>
  <c r="G312" i="3"/>
  <c r="H312" i="3"/>
  <c r="I312" i="3"/>
  <c r="J312" i="3"/>
  <c r="K312" i="3"/>
  <c r="L312" i="3"/>
  <c r="M312" i="3"/>
  <c r="N312" i="3"/>
  <c r="O312" i="3"/>
  <c r="P312" i="3"/>
  <c r="Q312" i="3"/>
  <c r="R312" i="3"/>
  <c r="R2" i="1" s="1"/>
  <c r="S312" i="3"/>
  <c r="S2" i="1" s="1"/>
  <c r="T312" i="3"/>
  <c r="U312" i="3"/>
  <c r="C312" i="3"/>
  <c r="B312" i="3"/>
  <c r="C150" i="3"/>
  <c r="D150" i="3"/>
  <c r="E150" i="3"/>
  <c r="F150" i="3"/>
  <c r="G150" i="3"/>
  <c r="H150" i="3"/>
  <c r="I150" i="3"/>
  <c r="J150" i="3"/>
  <c r="K150" i="3"/>
  <c r="L150" i="3"/>
  <c r="M150" i="3"/>
  <c r="N150" i="3"/>
  <c r="O150" i="3"/>
  <c r="P150" i="3"/>
  <c r="Q150" i="3"/>
  <c r="R150" i="3"/>
  <c r="S150" i="3"/>
  <c r="T150" i="3"/>
  <c r="U150" i="3"/>
  <c r="B150" i="3"/>
  <c r="H35" i="3"/>
  <c r="H2" i="1" s="1"/>
  <c r="I35" i="3"/>
  <c r="J35" i="3"/>
  <c r="K35" i="3"/>
  <c r="L35" i="3"/>
  <c r="M35" i="3"/>
  <c r="N35" i="3"/>
  <c r="N2" i="1" s="1"/>
  <c r="O35" i="3"/>
  <c r="P35" i="3"/>
  <c r="P2" i="1" s="1"/>
  <c r="Q35" i="3"/>
  <c r="Q2" i="1" s="1"/>
  <c r="R35" i="3"/>
  <c r="S35" i="3"/>
  <c r="T35" i="3"/>
  <c r="U35" i="3"/>
  <c r="C35" i="3"/>
  <c r="C2" i="1" s="1"/>
  <c r="D35" i="3"/>
  <c r="D2" i="1" s="1"/>
  <c r="E35" i="3"/>
  <c r="E2" i="1" s="1"/>
  <c r="F35" i="3"/>
  <c r="F2" i="1" s="1"/>
  <c r="G35" i="3"/>
  <c r="B35" i="3"/>
  <c r="J2" i="1"/>
  <c r="K2" i="1"/>
  <c r="L2" i="1"/>
  <c r="M2" i="1"/>
  <c r="T2" i="1"/>
  <c r="U2" i="1"/>
  <c r="B2" i="1"/>
  <c r="O2" i="1" l="1"/>
  <c r="I2"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3FBC20-FBC6-48F1-AB5A-D97C8F95B0CD}" keepAlive="1" name="Dotaz – Linguistic_parameters2" description="Připojení k dotazu produktu Linguistic_parameters2 v sešitě" type="5" refreshedVersion="8" background="1" saveData="1">
    <dbPr connection="Provider=Microsoft.Mashup.OleDb.1;Data Source=$Workbook$;Location=Linguistic_parameters2;Extended Properties=&quot;&quot;" command="SELECT * FROM [Linguistic_parameters2]"/>
  </connection>
  <connection id="2" xr16:uid="{E55796C9-78F4-4ADB-8BBC-D3F2E7BC4E3E}" keepAlive="1" name="Dotaz – Linguistic_parameters2 (2)" description="Připojení k dotazu produktu Linguistic_parameters2 (2) v sešitě" type="5" refreshedVersion="8" background="1" saveData="1">
    <dbPr connection="Provider=Microsoft.Mashup.OleDb.1;Data Source=$Workbook$;Location=&quot;Linguistic_parameters2 (2)&quot;;Extended Properties=&quot;&quot;" command="SELECT * FROM [Linguistic_parameters2 (2)]"/>
  </connection>
</connections>
</file>

<file path=xl/sharedStrings.xml><?xml version="1.0" encoding="utf-8"?>
<sst xmlns="http://schemas.openxmlformats.org/spreadsheetml/2006/main" count="14591" uniqueCount="3587">
  <si>
    <t>Subject.1</t>
  </si>
  <si>
    <t>Subject.2</t>
  </si>
  <si>
    <t>Subject.3</t>
  </si>
  <si>
    <t>Subject.4</t>
  </si>
  <si>
    <t>Subject.5</t>
  </si>
  <si>
    <t>Subject.6</t>
  </si>
  <si>
    <t>Subject.7</t>
  </si>
  <si>
    <t>Subject.8</t>
  </si>
  <si>
    <t>Subject.9</t>
  </si>
  <si>
    <t>Subject.10</t>
  </si>
  <si>
    <t>Subject.11</t>
  </si>
  <si>
    <t>Subject.12</t>
  </si>
  <si>
    <t>Subject.13</t>
  </si>
  <si>
    <t>Subject.14</t>
  </si>
  <si>
    <t>Subject.15</t>
  </si>
  <si>
    <t>Subject.16</t>
  </si>
  <si>
    <t>Subject.17</t>
  </si>
  <si>
    <t>Subject.18</t>
  </si>
  <si>
    <t>Subject.19</t>
  </si>
  <si>
    <t>Subject.20</t>
  </si>
  <si>
    <t>Subject.21</t>
  </si>
  <si>
    <t>Subject.22</t>
  </si>
  <si>
    <t>Lex_total_tokens</t>
  </si>
  <si>
    <t>Lex_unique_types</t>
  </si>
  <si>
    <t>Lex_TTR</t>
  </si>
  <si>
    <t>Lex_repetition_ratio</t>
  </si>
  <si>
    <t>Lex_hapax_ratio</t>
  </si>
  <si>
    <t>Lex_HDD</t>
  </si>
  <si>
    <t>Sem_personal_ratio</t>
  </si>
  <si>
    <t>Sem_vague_ratio</t>
  </si>
  <si>
    <t>Sem_personal_count</t>
  </si>
  <si>
    <t>Sem_vague_count</t>
  </si>
  <si>
    <t>Sem_semantic_category_count</t>
  </si>
  <si>
    <t>Sem_content_density</t>
  </si>
  <si>
    <t>Sem_n_content</t>
  </si>
  <si>
    <t>Sem_n_tokens</t>
  </si>
  <si>
    <t>Syn_num_sent</t>
  </si>
  <si>
    <t>Syn_MLU</t>
  </si>
  <si>
    <t>Syn_sub_per_sent</t>
  </si>
  <si>
    <t>Syn_total_sub</t>
  </si>
  <si>
    <t>Syn_hes</t>
  </si>
  <si>
    <t>Syn_hes_per_min</t>
  </si>
  <si>
    <t>Transcript</t>
  </si>
  <si>
    <t>COBEN_CZCOBEN000</t>
  </si>
  <si>
    <t>0.7786885245901639</t>
  </si>
  <si>
    <t>0.38524590163934425</t>
  </si>
  <si>
    <t>0.7894736842105263</t>
  </si>
  <si>
    <t>0.9087779950192721</t>
  </si>
  <si>
    <t>0.01639344262295082</t>
  </si>
  <si>
    <t>0.5491803278688525</t>
  </si>
  <si>
    <t>15.25</t>
  </si>
  <si>
    <t>1.875</t>
  </si>
  <si>
    <t>0.0</t>
  </si>
  <si>
    <t xml:space="preserve"> Proste jsme věli do Brna a v Brně dnes jsem se podrobil vyšetření, doufám, že to dopadne jakž takš, že ještě budu schopen samostatného života. Manželka na mě čeká na chodbě i se synem, který mě jsem doprovodil. Ještě můžu si povídat, takže co budu říkat, že v Brně mám vnůčku, snachu, rácem za ní majezdíme i s manželkou. Króvnitokov v Olomouci mám syna, dvěma malýma dětma. Tam taky rádi jezdíme, zajména za Kacenkou a Ondráškem, který jsou fajn báětční dětičky 2 a 5 let. Rádi si s ním a hrajem. Až tohle zkončí, zajedem zpátky Ksinovy, tam se naobědváme a vyrazíme domů do českých budělovic. Vlastně ne, to jenom k českým budělovicím do Hosíná, což je malá obec nad českými budělovicami.</t>
  </si>
  <si>
    <t/>
  </si>
  <si>
    <t>COBEN_CZCOBEN002</t>
  </si>
  <si>
    <t>0.6167400881057269</t>
  </si>
  <si>
    <t>0.5286343612334802</t>
  </si>
  <si>
    <t>0.7642857142857142</t>
  </si>
  <si>
    <t>0.8448915039645281</t>
  </si>
  <si>
    <t>0.004405286343612335</t>
  </si>
  <si>
    <t>22.7</t>
  </si>
  <si>
    <t>2.1</t>
  </si>
  <si>
    <t xml:space="preserve"> Napajci stani se tramvajových a trolleybusových trati. Napajci stani se tramvajových a trolleybusových trati slouží k napájení napajci v úseku uvedené trakce. Obvykle jsou napájeni z nadřezené distribuční sítě, 22 kV. Obsahuji trakční transformátor, kdy se na 5,2 200 V transformuje na trakční na 5,25 V střídavých a poté dedou směrňovací skupin 600 V dc. Stejnostměrné napěti se vývádi do jednotlivých vývodových polízí stící mi rychlove pínačí a přivádi se k trolleyom vedení pro tramvajové a trolleybusové trate. U tramvajových trati je trollojové vedení vedené v osé kolejí s tím, že je polarizace v trolleyi plus, zatím co v koleji ve spětném kolejnícovém vedení je polarizace minus. U trolleybusových trati máme oba polina hoře, máme tam jak kladný tak záporný pohl, to znamená, máme tam 600 V plus minus a vzdálenost mezi trolleymi trolleybusových trati je 60 cm, 60 mm, to je standardní vzdálenost, která je dana normou, dodržuje se samozřejmě i na přímých tratích i v oblouku. U tramvajových trati je istou specifikaci dopraveněho podníku města Brnaže polarizace v kolejí je plusová a v trolleyi minusová. Je to vlastně dáno tím, že rozdíl potenciál s měrem odzemě od koleje k trolleyí je minus 600 V. Je to v podstatě dáno historicky někdy z roku 19, kdy se začel dělá výrávě nebo kdy se začelá tvořit elektrifikovaná síť a ovlivnila to především chemické služení půdy.</t>
  </si>
  <si>
    <t>COBEN_CZCOBEN004</t>
  </si>
  <si>
    <t>0.6491228070175439</t>
  </si>
  <si>
    <t>0.47953216374269003</t>
  </si>
  <si>
    <t>0.8018018018018018</t>
  </si>
  <si>
    <t>0.8293285937725278</t>
  </si>
  <si>
    <t>0.04678362573099415</t>
  </si>
  <si>
    <t>0.5176470588235295</t>
  </si>
  <si>
    <t>13.153846153846153</t>
  </si>
  <si>
    <t>1.5384615384615385</t>
  </si>
  <si>
    <t xml:space="preserve"> Ménuju se Vladka Šabacka a narodila jsem se rodičům v Praze. Bydleli jsme v pohraničí, v přírode, v takovém domku. Mám sestru starší, mamiňka mě dala brzo do jeslí, sestra mě tam musela doprovázet a hlídat, než přišla pani učitelka. A tak to bylo náročné asi pro celou rodinu, protože mamiňka chtěla chodit do Praze. A si když mě bylo 5 let, jsme se odstěhovali s rodinou do Brna. A to bylo v roce 1961. Sme se nastěhovali do rodiného domku a já jsem se do toho domku nyní dokonce vrátila po letech. Chodila jsem do školy na Stanikovu, škola mě moc nebavila, protože jsem jí líbila jednou pani učitelka v 1.3. A potom ve 3. jinak ti učitele se moc hezky tak nechovali, takže to byl asi důvod a taky mě učení moc nebavilo, moc se mě ani nedářil. Ale dářil se mě těl od svik. Po základní škole jsem šla studovat na ekonomickou školu, kde jsem po 4 letech zdárně odmaturovala a chvíli jsem pracovala v uřednických zaměstnáních.</t>
  </si>
  <si>
    <t>COBEN_CZCOBEN005</t>
  </si>
  <si>
    <t>0.7485714285714286</t>
  </si>
  <si>
    <t>0.3657142857142857</t>
  </si>
  <si>
    <t>0.8473282442748091</t>
  </si>
  <si>
    <t>0.8995728870825053</t>
  </si>
  <si>
    <t>0.02857142857142857</t>
  </si>
  <si>
    <t>0.011428571428571429</t>
  </si>
  <si>
    <t>0.5574712643678161</t>
  </si>
  <si>
    <t>13.461538461538462</t>
  </si>
  <si>
    <t>1.9230769230769231</t>
  </si>
  <si>
    <t xml:space="preserve"> Vpáteck odpaledné jezdký má na našich harupů, jezdkým tam vlakém asi hodinu. Když přijedu na náhná chéří, tak musí mít po silnici 3 km ty pěšky. Všetní den zice jezdí jednou deně autobus, ale ten mi většenou ujede. A mě to nevadí, tože je léto, zvědí suníčko, silnica vademe ze poli. Vdáli většení z kotačníjí zajíci. A když dají na harupku, tak začnout tím, že si udělám kaffe. A potom se jdu podívat ven, co mi tam květa, jaké tam jí tady motíly. Včerám se snažím vyhybat, tože když na ně stoupnu, tak to mi votečeno hádostoborí. Tak tam mám třeba dvě budleje, těm se sříká motílíkéř. A po nich skutečně jsou motílci jako děví. Slítej se tam na velký houfech, zvitáno fotiák a hrozně mě baví si je fotit. Ze předů, ze zadů, oni potvrhydyž tam sedí a sosejí, tak mají křidílka u sebe. Takže musím čekat, až si s nima zamávají, takže ta fotka by byla taková nijaká, že křidílka u sebe a to je jejich ošklivá hlavička, to není od co stá.</t>
  </si>
  <si>
    <t>COBEN_CZCOBEN007</t>
  </si>
  <si>
    <t>0.591304347826087</t>
  </si>
  <si>
    <t>0.5391304347826087</t>
  </si>
  <si>
    <t>0.7794117647058824</t>
  </si>
  <si>
    <t>0.8177617952029815</t>
  </si>
  <si>
    <t>0.034782608695652174</t>
  </si>
  <si>
    <t>0.017391304347826087</t>
  </si>
  <si>
    <t>0.4608695652173913</t>
  </si>
  <si>
    <t>38.333333333333336</t>
  </si>
  <si>
    <t>6.0</t>
  </si>
  <si>
    <t>0.5975496728726765</t>
  </si>
  <si>
    <t xml:space="preserve"> Tak bude to příběh z Brna, pro vělo to v roce 1969 v Srpnu, bylo v Brně mistrosvý sět a v cyklistice. A nějaký kamarác se jsem chystal, protože otec byl jaký funkcionár, tak mě řekl, že s ním můžu jít. Tak jsme věli do Brna, myslím, že to byla asi 19 týho. A jeden den jsme byli na to mistrosvý sět a druhý den bylo 21 týho, takže oni odjeli s ocem. Mimo Brno já jsem šal do ulic a tady se demonstroval, takže jsem se toho samozřejmě zúčastnil demonstracie a samozřejmě jsem se nechal chytit. Takže mě chytili v ulicích, já jsem měl špinavý ruce, protože jsem stavil barikády, tak mě hned zavřeli s tím, že jsem poniházal kamení a že jsem na někřičel, že jsou gestapáci, takže jsem tady kousek odsud, potom seděl ve vazbě štery měsíce a za toto napadení těch veřejně čenitelů jsem dostal nejdří v pův roku a potom rok zbytek jsem odseděl v ostravě veřmánicích a tady na to Brno mám díky tomu poměrně špatní spomínky, protože to bylo takový, že jsem ty štery měsíce viděl z okna, jenom tady tu nemocnici právě a jinak teda to bylo samozřejmě, stracená doby a protože to bylo těsně potom, co mě bylo 18 a měl jsem představit, že budu něco v životě ještě schopenu dělat a nějak se mi to vtu chvíli, se mi to...</t>
  </si>
  <si>
    <t>COBEN_CZCOBEN008</t>
  </si>
  <si>
    <t>0.751269035532995</t>
  </si>
  <si>
    <t>0.38071065989847713</t>
  </si>
  <si>
    <t>0.8243243243243243</t>
  </si>
  <si>
    <t>0.9132699894442647</t>
  </si>
  <si>
    <t>0.015228426395939087</t>
  </si>
  <si>
    <t>0.6192893401015228</t>
  </si>
  <si>
    <t>19.7</t>
  </si>
  <si>
    <t>2.2</t>
  </si>
  <si>
    <t xml:space="preserve"> Ménuji se Miroslava Hruškova, bydlý v Brně, nási dliští ve starajem Liskovci. Jsem daná, můj manžel semenuje Libor Hruška, mám jednoho siná, který semenuje Petr Hofman, toho mám z prvního manželství, je mu 39 let, je ženatý a bydlý v Kouřimi. Tady u Brna má dvě děti, takže tím pádem já mám dva vnuky. Jeden semenuje Pavlík, narodil se v roce 2010, a druhý semenuje Tomáš a narodil se 19. letna 2017. Syn udělal hotelovou školu, ale bohužel, ho to špatně živilo, takže v momentě, kdy se oženil, tak změnil zaměstnání a dělá řidiče u dopravního podníku Města Brna. Teď to vypadá, že si polipší, protože máma turitu, tak bude může zaučíje na výpravčího, vyvodovně v medlánkách. Já jsem většinu života pracovala jako učetní, v posedních 20 letech jsem dělala vědouci ekonomického oddělení na fakultě architektury vysokého učení technického v Brně. Pracovala jsem i přes duchod, iště dva roky po duchodě, a pak jsem dál spolupracovala s fakultou na projekty, které měli od Europské unie jako finanční manažér. Teď v světě vlastně si užívám duchodu, mám chalupu, kdy je zahárdničím, ale neustále mě bývali kolegové oslovují, takže momentálně chodím na výpomoc na fakultu informací technologii vysokého učení.</t>
  </si>
  <si>
    <t>COBEN_CZCOBEN009</t>
  </si>
  <si>
    <t>0.6517412935323383</t>
  </si>
  <si>
    <t>0.48258706467661694</t>
  </si>
  <si>
    <t>0.7938931297709924</t>
  </si>
  <si>
    <t>0.858675429649345</t>
  </si>
  <si>
    <t>0.014925373134328358</t>
  </si>
  <si>
    <t>0.024875621890547265</t>
  </si>
  <si>
    <t>7.730769230769231</t>
  </si>
  <si>
    <t>0.7692307692307693</t>
  </si>
  <si>
    <t xml:space="preserve"> Minulý týden jsem byla na dovolené. Byla jsem s cestovkou, s kamarádkami. Jeli jsme do Francie. Bylo to bezvatný zájezd. Byli jsme v Alsasku a v Oghézách. Byla to taková cesta v kraji Výna. Bylo to úžasné. Hodně jsme toho viděli, nebyli tam noční přejezdy. Spali jsme v nějaké takové obyčejné premiér. Klasno problém bylo, že jsme se večerné měli kde scházet. Takže jsme si to výmkomuseli dávit v kufru autobusu. S řidi Čemano, ale to teda vůbec nevadilo. Bylo to úžasné. Svitil s luníčko. Měli jsme krásný počasí a ty městečka, který my jsme proěli a procházeli. Byli nádherný. Hodně jsem fotila, aby s toho moje děti taky něco měli. Říkali, že mám hodně fotit, ale já nerajda fotím. Jenom, že tento krát jsem se teda překonala, když už to musela být. Tak jsem udělala spoustu fotek, jednomře z polovina z toho stejně nebyla na nic. Naštěstí se měla sebou dobré kamarádky, takže oni mi potom doplnili moc fotek, které jsem potom dala. Na internet je ten poslala. Takže to bylo skvělí a měli jsme dobrou partu. A dobrého průvodce. Už jsem se přihlásila na další zájezd 3-4 rohnec, která je prázdný. Tak si myslím, že to pěkně výjde.</t>
  </si>
  <si>
    <t>COBEN_CZCOBEN010</t>
  </si>
  <si>
    <t>0.7</t>
  </si>
  <si>
    <t>0.46111111111111114</t>
  </si>
  <si>
    <t>0.7698412698412699</t>
  </si>
  <si>
    <t>0.8935553268051348</t>
  </si>
  <si>
    <t>0.011111111111111112</t>
  </si>
  <si>
    <t>0.044444444444444446</t>
  </si>
  <si>
    <t>0.5303867403314917</t>
  </si>
  <si>
    <t>15</t>
  </si>
  <si>
    <t>2.25</t>
  </si>
  <si>
    <t xml:space="preserve"> Když jsem študoval, tak tady na Slovensku nebyla žádna ekonomie, takže všichni studovali v Praze. Tout dobou s námi také chodili madži a s nimi to bavili vždy strášné alegrace. Pomatuju se, že jeden z nich menoval se Maurer Zoltán, chodil s děvčenou, která bá zkošit. Zoltán byl takový jako spíš jarmará z hlavou na hoře. Marienka, která byla ta jeho snoubenka nebo jeho psí, tak když ten krásetl tak neříkal osice. Tam byla asi také jako maliček Marienka a oni dělali mimika. Děvče zavidleli na kolei, kde byly na pateráku. A tam pochopitelně to bylo takový, že neutulný, takže pořád si vymejřeli, jak by to kde předělali a představili, aby to tam měli trošku kemitlych. Vždycky se přestavouval nějak z tent nábyt, jak rok posunula, už to bylo něco úplně jiného. Když tam přišel zanimlala naště o Zoltán, tak Marienka říkala, Zoli byl by si také láskavý a pomohol nám tu náprestěhou je tuto palandu. Vždycky se postavil a povidáli, mimika moja, ujasníme si pojmi, čo je toto palanda. No a potom teda i přestavila už to bylo naderné.</t>
  </si>
  <si>
    <t>COBEN_CZCOBEN011</t>
  </si>
  <si>
    <t>0.5714285714285714</t>
  </si>
  <si>
    <t>0.5604395604395604</t>
  </si>
  <si>
    <t>0.8323827863368642</t>
  </si>
  <si>
    <t>0.014652014652014652</t>
  </si>
  <si>
    <t>0.02564102564102564</t>
  </si>
  <si>
    <t>0.44727272727272727</t>
  </si>
  <si>
    <t>27.3</t>
  </si>
  <si>
    <t>4.8</t>
  </si>
  <si>
    <t xml:space="preserve"> Sista jsem mě docela trochu překvapila, myslá jsem si, že to bude pohodlnější, že byla jsem tam strašně na mačkaná, nemohla jsem se ani pohnovat. To teda jsem přiklela, že bude lepší. A teď potom až tady skončím v kampusu, tak poru za hankou. Už jsme se neviděli tolik lat, tak jsem zjeda váž, jak vypadá, co má za novenky. A pak až se vrátim, tak už bych snad měla mít teda zapřeře zbravení auto, a mohli by jsme ještě pro kalvá doskonečně, aby jsme to tam vyzvedli. Už se na nás budou i zlobyt, asi, že to dlouho trvá. Růbám, že Rubík bude moc ještě se mnou, protože, jestli bude špatný počasí, tak bych nereda, že může by jít ledovka, a bych to ještě někde, ale nevím, ne napohřejal, a takže radši by jel se mnou. No, pak udláme asi to výběrovko, teda na ty dveře, protože už v to je tristní, jak je to vypadá v tom baráku, takže to konečně s na tam vybereme. No a jsem ráda, že už jsme s holkami napekl, že to máme připravené, a těším se na rozálku, že s ním podutí na někam, až je předvánoci se podívat, třeba, ale nevím, podeme do divatla nebo na něco, aby jsme si to uželi trošku to vánoční, to vana být nějaký volno bude, a s nád i Martina se připojí, takže bude to fajn, když podeme spolu. Pavel se už uzdravuje, tak už bude lepší taky, a těším se, že podeme si Janou Hradeckou, teda na nějakou tu její procházku, kterou plánují asi dva měsíce, takže se vydáme a uděláme turistiku, takových 10-15 km pojedeme.</t>
  </si>
  <si>
    <t>COBEN_CZCOBEN012</t>
  </si>
  <si>
    <t>0.706766917293233</t>
  </si>
  <si>
    <t>0.42857142857142855</t>
  </si>
  <si>
    <t>0.8085106382978723</t>
  </si>
  <si>
    <t>0.8554753437777981</t>
  </si>
  <si>
    <t>0.015037593984962405</t>
  </si>
  <si>
    <t>0.5373134328358209</t>
  </si>
  <si>
    <t>16.625</t>
  </si>
  <si>
    <t>2.0</t>
  </si>
  <si>
    <t xml:space="preserve"> V sejtěku absolvujem zaujímavé vyšetreně neuropsychologické tomografie a děláče je to na dva dny. V srdce výsledky budou a zledem k tomu kolik mám léd a předpokladám, že ještě nejakých pár desítek let budu žít, budu mít možnost podívat. V srdce budou se podívat, jak se mlel na tom slediska dušemní schopnosti. V srdce budou se podívat, jaké to bude v 70-80. Kdybych měl takový gen, jak má otec, který oslávil 94 let před minulý týden, tak bych to měl na papíře a dokázal bych se podle toho jako řídit. Otec se neustále stěžuje, že ho bolí nohy, brzího, klouby a tak dále. Tato rozhduvící je to, že máte takzvané čistou hlavu, to znamenál netrpí ten nejakým Parkinsonem, Alzheimerem, demenci a další chorobami. To ostatné je dané věkem, který tělo se větší.</t>
  </si>
  <si>
    <t>COBEN_CZCOBEN013</t>
  </si>
  <si>
    <t>0.6752577319587629</t>
  </si>
  <si>
    <t>0.4896907216494845</t>
  </si>
  <si>
    <t>0.7557251908396947</t>
  </si>
  <si>
    <t>0.8802909164911273</t>
  </si>
  <si>
    <t>0.020618556701030927</t>
  </si>
  <si>
    <t>0.015463917525773196</t>
  </si>
  <si>
    <t>0.5282051282051282</t>
  </si>
  <si>
    <t>32.333333333333336</t>
  </si>
  <si>
    <t>4.166666666666667</t>
  </si>
  <si>
    <t xml:space="preserve"> V dnešní vánoce, nebo letošný, to už vlastně jsou londské vánoce, se moc nepovedli, protože nebyl žádný sních, vnočky byli sklamane, stihli udělá dělá dělá dělá sněhuláka. Pak jsme chtěli dna procházku pravidelnou na Silvestra do lesa, kde se schází spousta lidí i tisíce, tam si pěkně blahopřejí to nového rok. U zdraví se je to moc příjemné, ale letos, protože byla obleva, tak přišlo mnoho méně lidí, hodně lidí, když viděli to počas, si zůstali doma, ale přesto ti skálni tam přišli a šlapali jsme v blate, žádný les nebyl krásný bílej, ale já jsem to vydržala, ani jsem nespadla, kluzalo se to strašně. Dokonce vnočky ani nechtěli s nám jít, tak zostali doma a my staři jsme se tam vypravili. No, potom už to bylo jednoduchý, zase o půlnoci nikdo nebyl venku, si cese jsou se nějakým ten malý ochronstřoj udělal, ale na ulici nebylo ani živáčka, všichni byli zalezli. No, nový rok to jsme se rozhodli, že když jsme sami s dědou, že si uděláme pižamu ve nový rok, aby byla nějaká změna, voletne jsme si pustili koncert zvídně, pak jsme si dali pozdější obět a nový rok byl za námi.</t>
  </si>
  <si>
    <t>COBEN_CZCOBEN014</t>
  </si>
  <si>
    <t>0.7333333333333333</t>
  </si>
  <si>
    <t>0.3878787878787879</t>
  </si>
  <si>
    <t>0.8347107438016529</t>
  </si>
  <si>
    <t>0.887716381945141</t>
  </si>
  <si>
    <t>0.012121212121212121</t>
  </si>
  <si>
    <t>0.030303030303030304</t>
  </si>
  <si>
    <t>0.5662650602409639</t>
  </si>
  <si>
    <t>20.625</t>
  </si>
  <si>
    <t>3.0</t>
  </si>
  <si>
    <t xml:space="preserve"> Tak dobrý den, já se menuju Jana Bartíkova a mou největší radości jsou 4 vnoučata. Nejmenší vnouče bude mít zítra narozeniny, sejde se celá rodina a těším se, že si spolu. Popovídáme, budeme mít dord a už mám přichistané dárky pro Elišku. Když je to vlastně chvilkou předvánoucemi, tak je to taková generálka na vánouce, protože něco podobného se bude odehrávat 24. prosince, kdy bude všťad drý den. Abych zase řekla něco jiného a nejenom pohrát o Elišce, tak dnes jsem se probudila, kdy poďvele jsem se z okna viděla, jsem, že padá sníh, je něco málou nad nulou, tak už jsem měla obavy, že bude náledi, že se mě asi nepůjde dobře, ale protože jsem vycházela z domu ož po 10. hodině, tak do té doby už se počasí uklitnilo, v uvodovkách změnilo a teď dokonce světislu ničko. Vždycky mám ve zvyků chodit na schusky drív, protože nesnáším nedochvilnost, když někdo přijde pozdě, ať z jakýchkoliv důvodu ale většinou by měl přijít v čas.</t>
  </si>
  <si>
    <t>COBEN_CZCOBEN015</t>
  </si>
  <si>
    <t>0.66796875</t>
  </si>
  <si>
    <t>0.484375</t>
  </si>
  <si>
    <t>0.7719298245614035</t>
  </si>
  <si>
    <t>0.88783060695614</t>
  </si>
  <si>
    <t>0.015625</t>
  </si>
  <si>
    <t>0.01953125</t>
  </si>
  <si>
    <t>0.5175097276264592</t>
  </si>
  <si>
    <t>32</t>
  </si>
  <si>
    <t>4.625</t>
  </si>
  <si>
    <t xml:space="preserve"> tak bude dlouhé povídání, 90 vteřin mi přijde, že je dosti dlouhá doba, na to, abych vymyslela něco smyslupného. Tak jsem přemýšlela, jestli jsem byla někdy v Brně, takhle na tolik dní jako dnes, tak jsem asi tady nikdy nebyla. Vždycky jsem být projížděla, nebo jsem byla jenom na otočku, na výstavyšti a jednou na konferenci v Bobi Centrum, což už bude takových 20 let, tehdy bylo Bobi Centrum scele úžasná záležit, co zvrám si republiky, byli jsme z toho všichni překvapení a naši američní partnery si ho zvolili jako místo konání, konference, pro dejní, pro Evropu, což bylo pro nás veliké překvapení. Byli jsme tím velmi podstěni. Myslím, že si jim tady všem líbilo, a korád z tehdy měli sebou pani, která měla alergii na Lepek a o bezlepkové dietě tady nikdo v životě nezlyšel celé České republice, takže já mám bernost pojenost, tím, že jsem po prvé poznala celiaka, který se dožadoval v restauraci něčeho, co nemá Lepek a skončila chudák pani Manželka, velkého šefa firmy o osuchých bramborách. A protože se masete tě Lepku vyhýbám, tak jsem s ním teda už tedy velmi cítila. A musím říct, že po té, co jsem si přečetla knihu, Moučný mozek od pana Perlmutra, tak jsem už na straně 50 dospělak závěřu, že Lepek asi nedělá člověku příliš dobře i Lepku jsem se vzdala a udělalo mi to opravdu velmi, velmi hodně dobře a na jenom na hlavu a leku podivu i na klouby. A to je to, co žádnýmu doktoroví nevyprávím, protože doktori tomu nechtějí věřit.</t>
  </si>
  <si>
    <t>COBEN_CZCOBEN016</t>
  </si>
  <si>
    <t>0.6147186147186147</t>
  </si>
  <si>
    <t>0.5324675324675324</t>
  </si>
  <si>
    <t>0.7605633802816901</t>
  </si>
  <si>
    <t>0.8554697076748723</t>
  </si>
  <si>
    <t>0.021645021645021644</t>
  </si>
  <si>
    <t>0.5021645021645021</t>
  </si>
  <si>
    <t>23.1</t>
  </si>
  <si>
    <t>4.5</t>
  </si>
  <si>
    <t xml:space="preserve"> Vždycky když v stanu ráno a chvíli ležím a nejradším mám když přecházím pomalu ze sna do reality a spomínám si o čem vlastně ty sny byli. Někdy si spomenu, někdy si nevzpomenu, někdy ten sen byl dokonce i barevní, někdy byl černo bílý, ale dost často vy měnom, že se mi něco zdálo. A teď přemýšlím, jestli to, co se mi zdálo, je to většinově něco pěkného a nebo něco hrozného. Většinou to jsou pěkné věci, že si třeba nezpomenu někdy, co to konkrétně bylo, ale spomenu si, že to bylo příjemné. O všem někdy jsem mi taky zdá, že mě třeba někdo chtěl vykrásný, nebo něco takových snůž taky bylo, ale neřekl bych, že zrovna převažují. Snídaně to bývá celkem jednoduché standard, nějaký jogurt k tomu topinku s rajčetem nebo s ředkvičkou a čaj. Posnídáme s ženou a pak se rozejdem do práce, že na vodí ždí někámo vyklé, když už ne do práce, tak a sponíhlí dát děti v noučata. A pokud mám práci doma, tak dělám doma, když ne, tak se musím rozjed, někam a jedu na nějaká měře, nikam si vén a lítat někde po nějakých rozvodnách čích čertví, co. Ale nejradějím mám, kdy se vrátím, tak spracovávat ty věci, protože vždycky to je nové, vždycky je to jiné, než to bylo. A vždycky mě to baví daleko víc, než když mám dělat co koli překlád.</t>
  </si>
  <si>
    <t>COBEN_CZCOBEN017</t>
  </si>
  <si>
    <t>0.7049180327868853</t>
  </si>
  <si>
    <t>0.4371584699453552</t>
  </si>
  <si>
    <t>0.7984496124031008</t>
  </si>
  <si>
    <t>0.8785800840076018</t>
  </si>
  <si>
    <t>0.02185792349726776</t>
  </si>
  <si>
    <t>0.5409836065573771</t>
  </si>
  <si>
    <t>18.3</t>
  </si>
  <si>
    <t xml:space="preserve"> A můj manžel jsme se rozhodli, že pojedeme do Brna na výskum Parkinsonové choroby. Také Alzheimerové choroby. To témá nás zajímá, protože máme v rodině takový případ. Takže jsme jednak chtěli tenhle výskumný projekt podpořit, jednak nás zajímá naše kondice, kde se se v tom něco takového objeví. Včera jsme vyrazili z našeho domova, který je daleko od Brna, leží v brýz Kosti Liberce. Vzdálen asi 30 km od něj v horách jizerských, kde bylo napadáno už asi 30 cm čerstvého sněhu. Nálada byla vánoční, vyzdobili jsme se okna už adventními svícny. Také jsme si zapálili už druhou adventní svíčku a popoledně jsme vyrazili s měnem do Brna. U nás bylo počasí takové, že se čerti ženili, cestou se ale situace měnila, trochu se uklidnila. Kolem hradce králové byl poprašek už jenom a čím víc jsme se blížili k moravské metropolita, tak tím sněhu bylo mál méně a méně už jenom a pokryv malý, pak na konec úplně bez sněhu, ale za to se začal svedat veliký vítr, byla silna a fujavice do cesty nám padaly kameny a větve, které jsme museli překonávat.</t>
  </si>
  <si>
    <t>COBEN_CZCOBEN018</t>
  </si>
  <si>
    <t>0.6</t>
  </si>
  <si>
    <t>0.5803921568627451</t>
  </si>
  <si>
    <t>0.6993464052287581</t>
  </si>
  <si>
    <t>0.8744967179709335</t>
  </si>
  <si>
    <t>0.043137254901960784</t>
  </si>
  <si>
    <t>0.0392156862745098</t>
  </si>
  <si>
    <t>0.49019607843137253</t>
  </si>
  <si>
    <t>28.333333333333332</t>
  </si>
  <si>
    <t>4.0</t>
  </si>
  <si>
    <t>0.581507691953569</t>
  </si>
  <si>
    <t xml:space="preserve"> Já hrozně rada cestuju a teď poslední cestama, kde jsem byla, byl Egypt, býlá poušť, do které byla ráda, že jsem se dostala, protože to byl takový můj dlouhodobý sen. A zadajím k těmu dávostem, které teď v tom Egypte jsou, tak jsem byc nevěděla, si se nám to podaří nebo ne. Takže my jsme úplně soukromně vycestovali skupinka desetí Čechů, odvážení, který se teda nebáli a nevodřekli to. Bylo to, vlastně teď, Lonifunoru v zímě. Bylo to strašně fajnou se přijeli do Luxoru. A z Luxoru potom jsme měli průvodce domluveného a malý mikrobus a vydali jsme se do těch oás vlastně do západní poušťe. Byly teda vyparalo to už tak, že se tam ani nedostaneme, protože na těch Čech pointe je chetna zastavovali, tak samozřejmě jsme se zbláznili, protože v té době tam došlo k nějakému vědné oás, došlo katentátu na nějaké četníky, na tůjejich policí. Takže oni tam dali úplně zákaz vlastně cestovali do západní poušťe cestovní kanceláře, tam nesměli, ale ty se jít nám zjevilo deset Čechů soukromně, že byli to celá problémne věděli, co s námi. A ten naš průvodce byl hrozně všikovný egipťan, jako výmladý, tak ten tam na něj spustil, že budeme zinárodní ostudá, že my jsme tam přijeli, uplatili dvěma kilí cukru, takže nás pustili, no ale s policijním doprovodem, takže před nám je lg, za nám je lg, a takhle s námi teda putovali, oni nakonec byli rád, že se nenudili na stanici, a my jsme si na ně potom jako zvykli, ale viděla jsem vopravdu...</t>
  </si>
  <si>
    <t>COBEN_CZCOBEN019</t>
  </si>
  <si>
    <t>0.744</t>
  </si>
  <si>
    <t>0.392</t>
  </si>
  <si>
    <t>0.8172043010752689</t>
  </si>
  <si>
    <t>0.8724152477113292</t>
  </si>
  <si>
    <t>0.024</t>
  </si>
  <si>
    <t>0.008</t>
  </si>
  <si>
    <t>0.52</t>
  </si>
  <si>
    <t>11.363636363636363</t>
  </si>
  <si>
    <t>1.3636363636363635</t>
  </si>
  <si>
    <t xml:space="preserve"> Dnes je pátek, pátek odpoledné. Těším se už na výkend, protože uvidím své vnuky. Tento týden měli jarní prázniny, tak byli z rodičí nadovolené. Byly jsme spolu v kontaktu, si se viděla se některé videa. A fotografie jak ližovali nebo bobovali, přesto se těším, že mi to budou vyprávět sami. Uvidíme se asi potídnu, takže doufám, že se budou těšit jen na mě. Připravíme si třeba něco dobrého jich kobědu nebo k většerí a strávíme spolu hezky. Koníčky, v čas ne dobějí už jsem v důchodu, takže koníčky už se dosť smrskli. Rádačtu, ráda, ruštinkřížovky, vypadní v sudoku. A samozřejmě věnují se v nukům, jsem tam nějaký kino, televize, prográm co mi baví. Dělal jsem, když si ruční práce, ale na to už nemám trpělivost.</t>
  </si>
  <si>
    <t>COBEN_CZCOBEN021</t>
  </si>
  <si>
    <t>0.7051282051282052</t>
  </si>
  <si>
    <t>0.42948717948717946</t>
  </si>
  <si>
    <t>0.8090909090909091</t>
  </si>
  <si>
    <t>0.8652404420045924</t>
  </si>
  <si>
    <t>0.00641025641025641</t>
  </si>
  <si>
    <t>0.5375</t>
  </si>
  <si>
    <t>22.285714285714285</t>
  </si>
  <si>
    <t>2.4285714285714284</t>
  </si>
  <si>
    <t xml:space="preserve"> Nenový se Pavel Jozefy, jsem zůrského brodou, mě třeba 60 let, jsem ženatý, spokojený, málný dvě dospěle, cérí, tím mají plné rodiny, mám radoz vnoučat. A vzledem k tomu, že jsem překlenul 60. věk, tak a blíží se rádný odchod do důchodu, využil jsem na bídku cijiteku, abych si nechále, si poroměříte svojí mozek nebo svoje. Vždyť, že jsem byl pozvaný dobrný na cijitek, dneska je 14. ounora, z rovokolnosti to vychází na dva svádky, jednak je dneska alentíná, svádek samělovaných, a jednak začíná posní obdoby. Takže je dneska největší v půstu. Nicméně to nemělo vliv na to, abych jsem přijel, počasí bylo celkem solidní, takže buchloské hory se dali zvláno od pohodě, jel jsem plínule, jel jsem z určitým časovým předstihém, byť tady prostředí na bohunicích, celkem znám, ale je to tady dost velké a hlikusem tady jsem poprvé, tak jsem byl z určitým předstihém, abych měl mohl zaparkovat a abych to pracový výště nalezel.</t>
  </si>
  <si>
    <t>COBEN_CZCOBEN022</t>
  </si>
  <si>
    <t>0.7469135802469136</t>
  </si>
  <si>
    <t>0.37037037037037035</t>
  </si>
  <si>
    <t>0.8429752066115702</t>
  </si>
  <si>
    <t>0.8878971612662185</t>
  </si>
  <si>
    <t>0.012345679012345678</t>
  </si>
  <si>
    <t>0.5426829268292683</t>
  </si>
  <si>
    <t>11.571428571428571</t>
  </si>
  <si>
    <t>1.6428571428571428</t>
  </si>
  <si>
    <t xml:space="preserve"> Zuzana měla v 12. unora 9 let. Zatím to neslavili, protože to budou slavit až tento víkend. Vodmámenky dostala do školy krabici bombónů, kterou rozdala ve škole, v družině, a ještě jim mělo zby do Jánošíčku. Jenže do Jánošíčku, když měli nácvyk, i do hromady nic nezbylo, tak z toho byla smutná. Stavila jsem se hběle, podřezné šíkolem na Trolleybus, tak se mi koupila další bombóny, protože by to na všechny děti nestačilo. Maminka toho nerozdělila na dvě části. I na chodí. Do školy chodí do druhé trídy, nebaví čeština, protože když pání diktát, píše bez háčku, co šalebněla jej jen i mámá, taky psa na bez háčku, ta jsme snitře jenovali blikání světí, čárky háčky, aby se to naučila, a nevalo to si cestelí roky, ale psa na zčárkami a háčkami. Jenže oni nemájí čas, aby s tou zuskou takhle blikali. Tak nevím, jak to půjde dál. Na chodí. Do já nosíčku, kde každých ponděli. Na cviču chodí tam strašně rád.</t>
  </si>
  <si>
    <t>COBEN_CZCOBEN023</t>
  </si>
  <si>
    <t>0.7727272727272727</t>
  </si>
  <si>
    <t>0.35064935064935066</t>
  </si>
  <si>
    <t>0.8403361344537815</t>
  </si>
  <si>
    <t>0.9084627353867402</t>
  </si>
  <si>
    <t>0.025974025974025976</t>
  </si>
  <si>
    <t>0.006493506493506494</t>
  </si>
  <si>
    <t>0.567741935483871</t>
  </si>
  <si>
    <t>11</t>
  </si>
  <si>
    <t>1.4285714285714286</t>
  </si>
  <si>
    <t xml:space="preserve"> Tož vážení přátel je ano, já vás zdravím a na úvod vám položím drobnou otázku. Zdaripak víte, jaký je rozdíl mezi penzistou a starobním duchodcem? Nevíte. Starobní duchodce stojí v sedom hodin ráno před Kaufflandem a rvece o vozíky. Penzista vstává v 10 hodin. Dneska ráno bylo opravdu velmi krutě. Bá dá se řístaž Zima. Jak měle zkončí toto vyšetření, první co náš penzista udělá, že zajede do kampusu na výbornou polévku do akademickéj hidelny. Co ještě bych vám tak pověděl? Zima bude i večer i ráno. A ta slečna, která tady mě nahráva, tak mě velice bedlivě pozoru je na obrazovce. To bude asi časový limit v plní. Ještě mám něco bliko, tak dobrá. Doufujeme, že se nám brzy oteplí, blíží se v ostravě jarní prázdniny. A tak si přejí, aby v té době už bylo nad nulou. Protože se chystáme s naši rodinou pěkně navíli do Polska za nákupy a do termálu.</t>
  </si>
  <si>
    <t>COBEN_CZCOBEN024</t>
  </si>
  <si>
    <t>0.6233766233766234</t>
  </si>
  <si>
    <t>0.5584415584415584</t>
  </si>
  <si>
    <t>0.7083333333333334</t>
  </si>
  <si>
    <t>0.8372393153632975</t>
  </si>
  <si>
    <t>0.012987012987012988</t>
  </si>
  <si>
    <t>0.525974025974026</t>
  </si>
  <si>
    <t>14</t>
  </si>
  <si>
    <t xml:space="preserve"> Dobrý den, mnou se Eva Horová, přijela jsem k vám dneska změlníka, jihla jsem autobusem do Prahy, potom s Prahy dalším autobusem až do Brna, a třetím autobusem číslo 60 až na Brnocejtec. Všechno jsem v pořádku spládla, dojela jsem načas, našla jsem pani, která si mě vyzverla u recepce. S nace mi podařilo dneska vyplnit všechny úkoly a teď už mi začíná by zima a už se těším až si dám něco dobrého k jídlu. Ještě prosím, ne máme 90 vtehrin. Dobře, tak se těším, jestli trefím ještě do jídelných korpusů a těším si na dobrý bezhlepkový objád. V cestou se taky zvářejo hůzí a bude to se všechno v pohodě. Ešte chvilenků. No tak to si potom pobídě dám ešte kavíčko, když to všechno časově zvládno. Na to už se taky těším. Tak a to bude asi už těch 90 vtehrin. Takže bychom jsme mohli skončit a těšit se do té plá.</t>
  </si>
  <si>
    <t>COBEN_CZCOBEN025</t>
  </si>
  <si>
    <t>0.65625</t>
  </si>
  <si>
    <t>0.7857142857142857</t>
  </si>
  <si>
    <t>0.857249506384778</t>
  </si>
  <si>
    <t>0.041666666666666664</t>
  </si>
  <si>
    <t>0.5077720207253886</t>
  </si>
  <si>
    <t>14.76923076923077</t>
  </si>
  <si>
    <t>2.6153846153846154</t>
  </si>
  <si>
    <t xml:space="preserve"> 14. letná se mě narodila vnučka malvína. A protože je maminka a nás toho byla trochu vyděšena, tak jsem musela hodně pomáhat. Chodila jsem na noční služby, to znamená, že jsem spala v pokojíčku s malvínou. Pak jsem ji krmila v noci z láhvičky mlyčkem, nutrilonem. A přes den jsem vařila, běhala po nákupech a starala se, aby do mocnost více mé nefungovala. Těď už bude mít malvína brza 3 měsice, takže už vařim je na mě jednoutydně. Noční služby už mě odpadli, dítě krásně raste, je hodně ukecaná, povídá hm a gu a kopenožičkama a ručičkama a snaží se jako komunikat s celou rodinou. Tak si mi říká, že z ní možná bude hrečka, nebo moderátorka, nebo novináška, nebo někdo takový, kdo bude hodně mezi lidma a bude z lidma hodně komunikovat. A když si vykládám, tak ona vykudí oči a všechnoval mi poslouchá. A vypadáte, že všechnoval mi poslouchá. Dneska půjdeme spolu na procházku, kvídeala vy na zalane pivo, tak už se těžím až se zase uvidíme, protože se mi tedy asi štyři dny neviděla, je likož bylo hodně práce v práci. A to by asi bylo tak o malvíně.</t>
  </si>
  <si>
    <t>COBEN_CZCOBEN026</t>
  </si>
  <si>
    <t>0.7578947368421053</t>
  </si>
  <si>
    <t>0.4105263157894737</t>
  </si>
  <si>
    <t>0.7777777777777778</t>
  </si>
  <si>
    <t>0.869530340627812</t>
  </si>
  <si>
    <t>0.631578947368421</t>
  </si>
  <si>
    <t>6.785714285714286</t>
  </si>
  <si>
    <t xml:space="preserve"> Slováky mám rád. Slověnky, oto ještě víc. Narozdíl od Pražáku. Slováci jsou upřímní. S Pražáci jsou vyhytrali vykutálení, neupřímní. A, co budu dělat? Vodpovedné mám přednášku. Vělice zajímavou na farmaceutické fakultě. A bude koněšně přednášet přednášejci, který má tituli. Magister, magister farmácie. Doktor teologie, teolog. Doktor farmácie a doktorát s farmácie a doktorát s teologie. Takže to bude moc zajímavý. A ten člověk ty tituli nepoužívá na rozdíl různých titulama vplzní, kteří je udělali přes prázniny. Takovým člověkovým by to měli zebrat a ten, kdo mu ten titul dál, tak toho by měli teraz zavřít.</t>
  </si>
  <si>
    <t>COBEN_CZCOBEN027</t>
  </si>
  <si>
    <t>0.8165137614678899</t>
  </si>
  <si>
    <t>0.28440366972477066</t>
  </si>
  <si>
    <t>0.8764044943820225</t>
  </si>
  <si>
    <t>0.9066419377207071</t>
  </si>
  <si>
    <t>0.027522935779816515</t>
  </si>
  <si>
    <t>0.5405405405405406</t>
  </si>
  <si>
    <t>36.333333333333336</t>
  </si>
  <si>
    <t>4.666666666666667</t>
  </si>
  <si>
    <t xml:space="preserve"> mimo raní špičku. Takže se to zravo celkem pohodě zvládout a proto také že tady tu to cestou kusím a celovat asi podřetí takže jen je trasa veľmi dobro známal. Pojďši by to bylo v třípadě, kdyby se objevila po naší trase nějaká uzavírka pozorky a my jsme museli jeť o výštěkou mohli by jsme třeba zabloudit alebo by se nám nepodatilo do stanovného terminu přijet na určené místo můžeme mohl dovidnul započit tady toto pránované nebo dlouho pránované výšetření opakované pochuditelně protože vrty ní už jsme absolvovali asi já nemým před třeba rokama a teď když ještě chtěli aby majřelka se zúčestnila ale už toho by asi nezapravili</t>
  </si>
  <si>
    <t>COBEN_CZCOBEN029</t>
  </si>
  <si>
    <t>0.7252747252747253</t>
  </si>
  <si>
    <t>0.4010989010989011</t>
  </si>
  <si>
    <t>0.8257575757575758</t>
  </si>
  <si>
    <t>0.8950104441347229</t>
  </si>
  <si>
    <t>0.02197802197802198</t>
  </si>
  <si>
    <t>0.546448087431694</t>
  </si>
  <si>
    <t>11.375</t>
  </si>
  <si>
    <t>1.6875</t>
  </si>
  <si>
    <t xml:space="preserve"> Před rokem dneska je to přesně rok. Jsem si pořídila z útulku pejska. Byla odebraná z exekuce, byla chudera nenapapaná, bála se, bojí se do dneška velkých starých chlapů. Nevím co jí kdy dělali, ale je zatížená na píškoty. Je to takový malý píškot, tak. Už jem na mě zvyklá, už se tolik nebojí. Doma je celkem v pohodě, i když hygienické návíky nejsou úplně nejlepší. Ale chodíme spolu ven, už byla se mnou i na zahrátce, tam si mě hlídá. Je velice ostražitá, ale pořád se bojí chlapů. Když kni přijde chlap a chce jú pohladit, tak dokáže i zavrčet. Což je například u mího syna, který už ji viděl několikrát, ale prostě bojí se ho. Ženský tý tak nevadí, ostatní psi na tý je tak strašně zvědavá, že by jim vlezla do hůby. A musí mý už vedat před psama, aby ji neublížili, protože má špatnou páteř. Takže mě veterinář varoval, tady s tím lec tím. No miluju, protože je to moje mala miš. A nevím ešte, jak dlouho mám o ní vykládat, protože nevím, počem jinak bych vykládala teda.</t>
  </si>
  <si>
    <t>COBEN_CZCOBEN030</t>
  </si>
  <si>
    <t>0.7674418604651163</t>
  </si>
  <si>
    <t>0.3643410852713178</t>
  </si>
  <si>
    <t>0.8282828282828283</t>
  </si>
  <si>
    <t>0.8979625330263943</t>
  </si>
  <si>
    <t>0.023255813953488372</t>
  </si>
  <si>
    <t>9.214285714285714</t>
  </si>
  <si>
    <t>0.7142857142857143</t>
  </si>
  <si>
    <t xml:space="preserve"> V pátek 8.6. pojedeme ze Seniory na Víle do Města Tustevíče, pojedeme tam osobním blakem v 7.45. z Brněnského hlavního nádraží. Máme tam domluvenou na zámku výstavu, která se jmenuje stará zbemesla, pak máme domluveného průvodce do Bazíliki svatého prokopa a končíme. Po plítkou máme zaplacený druhý okruch židovské město a židovský hřbytov. Toto je program na celý den odpoledné po 16.00 hodině. Nám zase odýždí vlak Dobrna, kde by jsme měli byt po 18.00 hodině. Doufám, že nám bude počasí a že se to Seniorů bude líbit. Nedávno jsme běli vlito mišli, to se nám moc vyvedlo. Všichni byli nadmíru spokojení, jen jsme měli problém, protože jsme cestovali autobusem, že na zpátleční cestě do Brna byla zácema, že jsme dojeli od dvě hodiny pozdějí.</t>
  </si>
  <si>
    <t>COBEN_CZCOBEN032</t>
  </si>
  <si>
    <t>0.7108433734939759</t>
  </si>
  <si>
    <t>0.4397590361445783</t>
  </si>
  <si>
    <t>0.788135593220339</t>
  </si>
  <si>
    <t>0.8835733088407449</t>
  </si>
  <si>
    <t>0.012048192771084338</t>
  </si>
  <si>
    <t>0.018072289156626505</t>
  </si>
  <si>
    <t>0.5748502994011976</t>
  </si>
  <si>
    <t>18.444444444444443</t>
  </si>
  <si>
    <t>2.5555555555555554</t>
  </si>
  <si>
    <t xml:space="preserve"> Dali jsme se do opravy hotelu, které jsme si koupili na půjčku v 90. letech, kde můj mančel stále pracoval a pracoval. Potom, když dal ten hotel trochu dohromady, tak museli přít i naše oba dva si nové pracovat, protože zaměstná se si těžko dá spoléha, když to rodina tam musí poslouchat toho svýho šefa. Vybudovali jsme celkem tak jako vklidný malý hotílek, který si hosté chválí, máme tam stále zákazníky. Mančel teda už dva roky už tam nechodí, protože už na to zdravotně nemá. Já chodím tak jednou sobotu odpoledné, abych se potkala s těmi našimi takzvonými štamgasty, protože se rádi vidíme. A nebyt manželový práce, tak by jsme docela rádi, teda práce nebyt manželový nemoc, tak by jsme docela rádi cestovali, což bylo našim velikánským končkem. A moj úplně nejoblíbenější konček je šnorklování v rudím moři. A celkem se bojím vody, ale pokud šnorklujou a vidím ty rybíčky a ten podmořsky život dole, tak mě to vůbec se nepríjde, že bych se měla bá.</t>
  </si>
  <si>
    <t>COBEN_CZCOBEN033</t>
  </si>
  <si>
    <t>0.6067415730337079</t>
  </si>
  <si>
    <t>0.5393258426966292</t>
  </si>
  <si>
    <t>0.7592592592592593</t>
  </si>
  <si>
    <t>0.8111859497418533</t>
  </si>
  <si>
    <t>0.011235955056179775</t>
  </si>
  <si>
    <t>22.25</t>
  </si>
  <si>
    <t>2.375</t>
  </si>
  <si>
    <t xml:space="preserve"> Dobrý den. Podržilo se mě vidět takovou obrovskou spoustu mrtvej hryb, že město bylo až na blití. V pátek jsem jel na kole, kolem řekli svita v komárovi a plavalo tam tisíce tisíce mrtvej hryb. Volel jsem na policijí městskou a tam ten chytrak mě řekl, vývo tom víme, nic se neděje, tak jsem jel dál. V zakulku jsem viděl většinost tvěj hryb, tak už jsem se nedála, zauvrala jsem na policijí České republiky a tam se řekl, vývo tom víme, už se to řeší, tak jsem byl v klidu. V sobotu jsem tam jel znova tou cestou a viděl jsem, že už jsou tam rybáři, kteří provádí výlo v hrůzi, toho semradu rozklající se hryb. A když jsem se jim ptal, co to je, jak v odčebu, s čo to zniklo, tak mělo řečeno, to je běžná věc, to se tady opakuje každé rok a spomň dvakrát při nějakých deštích, kdy vyplaví kanalyzaci deštěvou v místím závode u technoplínu v komárovi a to se všechno dostáva do toho vodního toku. Takže říkal, to je naprosto běžná věc.</t>
  </si>
  <si>
    <t>COBEN_CZCOBEN034</t>
  </si>
  <si>
    <t>0.8058252427184466</t>
  </si>
  <si>
    <t>0.2815533980582524</t>
  </si>
  <si>
    <t>0.891566265060241</t>
  </si>
  <si>
    <t>0.8792044721660927</t>
  </si>
  <si>
    <t>0.009708737864077669</t>
  </si>
  <si>
    <t>0.6039603960396039</t>
  </si>
  <si>
    <t>103</t>
  </si>
  <si>
    <t>12.0</t>
  </si>
  <si>
    <t xml:space="preserve"> takže poradním probuzení cesta dlouhá přesbrenou ucpávky malé šaliny, cesta vyhloužení přitelkně do práce pokračování na zdejší a real šedivých budov který jsou šedivé, šedivé bez jakého kodiv označení identifikace rozborníště na balkonech střeubitovny vysíprádla vytváři takovou zvláštní atmosferu a komunitu oprati supermoderním budovám, které jsou v duchu moderny a všem nejsou pro lidi jsou pro nějaké stroje, které jsou naučené na klimatizaci a potom výdou ven a jsou skrátka obětí lekarského systému protože budovách se klimatizuje na 18-20°C, venku je 30°C a pak obyvatelé nebo pobivající v místnostech dou napratí, fasují kapky na kašel, angínu, chřibku a podobné věci</t>
  </si>
  <si>
    <t>COBEN_CZCOBEN035</t>
  </si>
  <si>
    <t>0.7272727272727273</t>
  </si>
  <si>
    <t>0.41818181818181815</t>
  </si>
  <si>
    <t>0.8</t>
  </si>
  <si>
    <t>0.8547971038619595</t>
  </si>
  <si>
    <t>0.00909090909090909</t>
  </si>
  <si>
    <t>0.5909090909090909</t>
  </si>
  <si>
    <t>27.5</t>
  </si>
  <si>
    <t xml:space="preserve"> ménuji se Olga Saletová, bydliště Moravském Krumlově, mám 3 děti, prvního si na nejstaršího mám z prvního manželství, pak jsem ovdověla a seznámila jsem se poučité době zase s druhým můžem a to byl nynější můj manžel. Z prvního manželství mám syna a z druhého manželství mám dvě cerky. Syn už je dospěli, už je jako žena ty, má svoji rodinu a dvě holky ty jsou ešte doma, nejmlačší chodí ešte do školy a Eliška ta už se učí. Ráda važíme, už jsme obá v duchodě, tak ráda važíme, vymejšlíme i jídla a hlavně se těším když se všichni vrátí domů, děláme takovou menší hostinku, protože jsme za všichni pohromadě.</t>
  </si>
  <si>
    <t>COBEN_CZCOBEN036</t>
  </si>
  <si>
    <t>0.6756756756756757</t>
  </si>
  <si>
    <t>0.5067567567567568</t>
  </si>
  <si>
    <t>0.73</t>
  </si>
  <si>
    <t>0.8644224452417074</t>
  </si>
  <si>
    <t>0.02027027027027027</t>
  </si>
  <si>
    <t>0.506578947368421</t>
  </si>
  <si>
    <t>14.8</t>
  </si>
  <si>
    <t>2.9</t>
  </si>
  <si>
    <t xml:space="preserve"> Dnešní débil nároční, ale lidé kolem byli velmi příjemný, ochotný a vstřídcný. Takže člověk nabil jistoty a klidu. Nevím, co bych ještě k tomu dodala. Je tady příjemné prostředí a jsou velmi hodní. Vždy dál. Co mohou k tomu dodá? Tedy doufám, že ta budoucnost bude dobrá, bude spokojená, že všichni budou šťastní. Jednak, že doufám, že lidé budou rozumní a nebudou vyvádit hlouposti, který teď nastupují, nebudou se hádat, nebudou závidet a budou velmi příjemný k sobě. Mladí, mladí ať stále, stále se jim darí, protože mají před sebou dost, dost jako složitou budoucnost, tak aby to vyhráli, aby to budoucnost bylo dobré. Znát všechno jim výjde a rozumí lidé s nad zvítězí nad tím, co prostě mají ty strašné mišky v hlavě a neustále se hádají a hádají. Aby rodiny byli spokojení, aby se rodili děti a hlavně zdravé, protože to zdraví je nejduležitější dnešní den.</t>
  </si>
  <si>
    <t>COBEN_CZCOBEN038</t>
  </si>
  <si>
    <t>0.8045977011494253</t>
  </si>
  <si>
    <t>0.3103448275862069</t>
  </si>
  <si>
    <t>0.8571428571428571</t>
  </si>
  <si>
    <t>0.878479299662784</t>
  </si>
  <si>
    <t>0.011494252873563218</t>
  </si>
  <si>
    <t>0.6206896551724138</t>
  </si>
  <si>
    <t>9.666666666666666</t>
  </si>
  <si>
    <t>1.0</t>
  </si>
  <si>
    <t xml:space="preserve"> 4 letého syna a sedmi letou ceru. Mám rada sport, rada sportuju, s dětma chodím rada ven. Rada je s tím na kole. Celkem se dá říct, že můj život je klidnej, nekonfliktní. A baví mě se hýbat, pomáhat dětem. A zcházat se z prápele, mít různé sportovní aktivity, protože bydlím v hrát nebo v podhůří krkonož, rada chodím do horna turistické tury, výlety. Rada ližuju, i když mám věku už velmi opatrně. Po úrazech, které jsem si spůsobila, při sve sportovní činnosti. Těším, že se chýbat.</t>
  </si>
  <si>
    <t>COBEN_CZCOBEN039</t>
  </si>
  <si>
    <t>0.7807017543859649</t>
  </si>
  <si>
    <t>0.3333333333333333</t>
  </si>
  <si>
    <t>0.8539325842696629</t>
  </si>
  <si>
    <t>0.8854505862780699</t>
  </si>
  <si>
    <t>0.03508771929824561</t>
  </si>
  <si>
    <t>0.5175438596491229</t>
  </si>
  <si>
    <t>22.8</t>
  </si>
  <si>
    <t xml:space="preserve"> Ráno se mě nechtělo stávat, v běly jsme později, proto pak jsme se zřežili v záce. Naštěstí se podařilo to zvládnout na stanovený čas, takže všechno na konec dobře dopadl. Inak dá se říct, že je pěkný den v celku, takže pokud se nám bude dážit a skončíme brzí, tak si ho ještě budeme moc užívat, řekněme a spon celé odpoledne nebo na večer. Inak co bych dál k tomu mohl říct, nevím v podstatě, už mění zvelice ne napadá, ale doufám, že to všechno do vřed opadne, budíš, že se co nejde dížíš s tadym dostanem príč. To byl žert, jinak nic takového závažného, co by mě mě mělo hodit se tu neděje.</t>
  </si>
  <si>
    <t>COBEN_CZCOBEN040</t>
  </si>
  <si>
    <t>NF</t>
  </si>
  <si>
    <t>COBEN_CZCOBEN042</t>
  </si>
  <si>
    <t>0.8387096774193549</t>
  </si>
  <si>
    <t>0.2661290322580645</t>
  </si>
  <si>
    <t>0.875</t>
  </si>
  <si>
    <t>0.9279445335524367</t>
  </si>
  <si>
    <t>0.016129032258064516</t>
  </si>
  <si>
    <t>0.03225806451612903</t>
  </si>
  <si>
    <t>0.56</t>
  </si>
  <si>
    <t>9.538461538461538</t>
  </si>
  <si>
    <t>1.1538461538461537</t>
  </si>
  <si>
    <t xml:space="preserve"> V dneskě snídaní jsem neměl chleba ze sírem a čaj. V kobědu si dám zřejmě lýzoto sopurkou a nějakou poévku. Kvečeři potom asi nějaké oce nebo nějaký zelý salát. Zítra za mnou přijde výčka a přijde se mě pochlubit, jak dopadla na přijimačkách. Strašně by chybřála, aby se dostala na tu školou, kterou si vybrala. Druhá výčka ta zase bude dělat teď. Závělíš neskoušky na vysoké škole, tak tež i vůlu přát všechno lejlepší. Obleklu se při tom, jak slavnost měli, až pudl na její promoce. A vůdu ní dávat nějaký věci dar. Požtě pořád. Do mamám kotíčku, není se Berina. Je taková dlouho srsta, hodna, až na to, že všechno poškraby mám zničený nábytek. No ale mám ji prostě rád, tak bych neublížila.</t>
  </si>
  <si>
    <t>COBEN_CZCOBEN044</t>
  </si>
  <si>
    <t>0.7345132743362832</t>
  </si>
  <si>
    <t>0.415929203539823</t>
  </si>
  <si>
    <t>0.7951807228915663</t>
  </si>
  <si>
    <t>0.8627598588363428</t>
  </si>
  <si>
    <t>0.5929203539823009</t>
  </si>
  <si>
    <t>9.416666666666666</t>
  </si>
  <si>
    <t xml:space="preserve"> v městečku Velké Bílovice, až do svých 19 let. Studovala jsem na gimnáziu a potom jsem se přihlásila na ekonomické hnádstavbu hodoníně. Podkava jsem vždycky moc správné spolužáky a spolužačky. Do dneska se scházíme, máme roční srazi a je to moc hezké. Všichni vždycky přijdou. Po ekonomické jsem ještě začala studovat vysokou ekonomickou v Praze. Byly tam vyníkající spolužáky, tak si s nimi se scházíme taky. Do dneska mám hodně bráce dát dohromady všetské srazi. K mým koníčkům patří příroda. Takže s kamarády a kamarádkami máme takovou skupinu, která chodí po všechny kopcích, horách. Takže jsme na vysočině prošli už moc a moc různých prohlídek zámku a všeho možného. A co se tíče?</t>
  </si>
  <si>
    <t>COBEN_CZCOBEN046</t>
  </si>
  <si>
    <t>0.6634146341463415</t>
  </si>
  <si>
    <t>0.5073170731707317</t>
  </si>
  <si>
    <t>0.7426470588235294</t>
  </si>
  <si>
    <t>0.8731688886167988</t>
  </si>
  <si>
    <t>0.02926829268292683</t>
  </si>
  <si>
    <t>0.01951219512195122</t>
  </si>
  <si>
    <t>0.5365853658536586</t>
  </si>
  <si>
    <t>11.38888888888889</t>
  </si>
  <si>
    <t>1.6111111111111112</t>
  </si>
  <si>
    <t>0.6166875655230538</t>
  </si>
  <si>
    <t xml:space="preserve"> No tak dobrý den, já jsem už 45 roku zaměstnana a stávám každý den ránovo půlpate, chodím na 6 hodinu. Každý den mě vzbudí štyří ptáčci, mám doma štyry anulky. Jejich historii vám teďka asi trochu povykládám. Cerká ještě když byla trochu mlačší, chtěla furt nějaké zvýrátko, protože se mi nechtěla pořídit psa, tak jsme se dohodli, že pořídíme anulky. Chcela modrou anulku samce. Tak se taky stalo. Taťka její, taťka ji pořídil modrou anulku samce. Pod nějaké době zjistila, že se jí zdá, že ten jeden ptáček si je tam smutné, že by chtěla ještě jednoho. Tak si uzmystila, že by to chtělo samičku. Tak jsme pořídili žlutou samičku. No, cerká furt čekala, že teda je to samec a samička, že jednou dojde k tomu, že budou mít mladěátka. No, jak je bylo pro nás všecky překvapení, když modrý samec nám snesli štyri vejce. Ach, ejhle, zistili jsme, že máme dvě samice. Taťka mi zničil cerých hov. Tak potom jí jeden den volal, že nějaký souset mu volal, že tam u nich přiletil nějaký papoušek, že to bude asi anulka a má to modre ozoby, že to bude asi samec. Tak vzala bedinku a šla pro něho. A skutečně byl to samec. Do měsíce...</t>
  </si>
  <si>
    <t>COBEN_CZCOBEN047</t>
  </si>
  <si>
    <t>0.6763005780346821</t>
  </si>
  <si>
    <t>0.4508670520231214</t>
  </si>
  <si>
    <t>0.811965811965812</t>
  </si>
  <si>
    <t>0.8463668666521202</t>
  </si>
  <si>
    <t>0.04046242774566474</t>
  </si>
  <si>
    <t>0.011560693641618497</t>
  </si>
  <si>
    <t>0.5433526011560693</t>
  </si>
  <si>
    <t>12.357142857142858</t>
  </si>
  <si>
    <t>1.3571428571428572</t>
  </si>
  <si>
    <t xml:space="preserve"> Rád bych řekla něco o svých koničcích. V současné době se věnují Józe. K čemuž jsem se rozhodla, protože mám problémy z páteří. Dále jsem se zapsala na univerzitu 3. věku, protože mě velmi zajímá historie. A v minulosti mým největším koničkem bylo moje povolání. Pracuvala jsem jako očitelka na základní škole. Protože jsem učila na vesnici, tak jsem učila celou radu předmětu. Myslím si, že jsem měla velmi dobré vztahy ze svými žáky, protože mě navrhli do ankety o zlatého ámose, což mě samozřejmě velmi potěšilo. Vyučovala jsem hlavně biologii, těloci, vykchemii, potom i dějepis a končila jsem na prvním stupni, kde jsem zistila, že práce s těmi nejmenšími mě vyhovvala naprosto dokonale. Takže do důchodu jsem odcházela velmi těžce. Odcházela se mi skutečně velmi těžce, protože moje povoláni byl mým koníčkem a velmi se mě milvala. Samozřejmě, že mezíme koníčky patří i moje rodina, s kterou se pravidelně scházíme, máme velmi dobré. Vztahy jen mě vždycky mrzelo, že žádný z mých synů se nedál na učitelskou dráhu, že se vidali jiným.</t>
  </si>
  <si>
    <t>COBEN_CZCOBEN048</t>
  </si>
  <si>
    <t>0.7596899224806202</t>
  </si>
  <si>
    <t>0.8367346938775511</t>
  </si>
  <si>
    <t>0.8847956582204229</t>
  </si>
  <si>
    <t>0.03875968992248062</t>
  </si>
  <si>
    <t>0.5193798449612403</t>
  </si>
  <si>
    <t>18.428571428571427</t>
  </si>
  <si>
    <t xml:space="preserve"> Dneska v noci jsem se moc nevyspala, protože mě čekala cesta dobrna do výzkumného ústavu na vyšetření. Před každou cestou jsem nervozní, tak tomu spaní jsem mu nedala. Cestu jsme zvládli dobře, protože nám počasí přálo, ani nepřešelo, dálnice byla suchá, dojeli jsme se na čas. Zajeli jsme až před budovu, kde mě manžel zanechal, a budovu už jsem šla navštívit sama. Na recepci jsem se ohlásila, pani recepční o mě věděla, řekla, že věrozumí pani magistru, která si pro mě v 9 hodin přijde. Tak se taky stalo a pak začal kolotoč vyšetřování, který je skoro půl třetí odpoledné a budeme za chvíličku končit. Jsem ráda, že už to mám za sebou, i když to nebylo nepříjemné, ale už se těším domů, takže v úterí jsem jedu znovu.</t>
  </si>
  <si>
    <t>COBEN_CZCOBEN049</t>
  </si>
  <si>
    <t>0.610738255033557</t>
  </si>
  <si>
    <t>0.5637583892617449</t>
  </si>
  <si>
    <t>0.8072713812572723</t>
  </si>
  <si>
    <t>0.006711409395973154</t>
  </si>
  <si>
    <t>0.5838926174496645</t>
  </si>
  <si>
    <t>12.416666666666666</t>
  </si>
  <si>
    <t>1.4166666666666667</t>
  </si>
  <si>
    <t xml:space="preserve"> Dobrý den, menuj se Eva Kourová a mám 3 děti, dvě cery a jednoho syna. O cina mám dvě děti, dvě dnou čata, chlapce a děvče. Od cer mám, od cery mám jedné, mám dvě děvčatá a od druhé cery mám dva kluky. Ten nejstårší už má 20, ostatní mají 10, 3 a 4 roky. Menuj se Dorotka, Rozárka, Honza, Štěpán a Kryštov. Kluci chodí do 4. třídy, starší holčička chodí do 2. třídy a ta nejmlačí chodí do školky. Mají záliby takové, že chodí tancovat, jeden bnuk chodí lesd na skálu, na takuto lezeckou. Ten nejmlačí chodí na vysokou školu, rád šarmuje, chodí do šarmíšského kroušku. Také se mušila nějaké oblečení, tak myslím si, že jsem to líbí a také chodí do kroušku, kde chodí do skautu a dělá tam vedoucího. Jezí na tábory a kluci než si jezdí s ním, takže myslím si, že jsem to líbí.</t>
  </si>
  <si>
    <t>COBEN_CZCOBEN050</t>
  </si>
  <si>
    <t>0.6542056074766355</t>
  </si>
  <si>
    <t>0.45794392523364486</t>
  </si>
  <si>
    <t>0.8285714285714286</t>
  </si>
  <si>
    <t>0.770457135615402</t>
  </si>
  <si>
    <t>0.009345794392523364</t>
  </si>
  <si>
    <t>0.48598130841121495</t>
  </si>
  <si>
    <t>11.88888888888889</t>
  </si>
  <si>
    <t>1.8888888888888888</t>
  </si>
  <si>
    <t xml:space="preserve"> Jsem správoval jedné dveře a pak jsem odešel za sýnem do obchodu. Tam jsem zal auto. Naložil jsem palety do auto a odvezli dom. Doma jsem to vytřídil, odvezl nahoru a poskládal na kopu. Ty, co jsou na spalení a ty ostatní jsem naložil, poskládal na sebe a opětově naložil na auto dodávku, které budou dneska odvážet k prodeji. Na dovolenou pojdeme asi příští měsic do Horovácka a doufám, že se trošku odpočineme a zapomeneme na všechny starostícou so kolem nás. Pak se vrátíme a život pokračuje, bude pokračovat pomalodál. Opakuje se to a je to na nic. A jinak to, den co denu, dejde, a pak.</t>
  </si>
  <si>
    <t>COBEN_CZCOBEN052</t>
  </si>
  <si>
    <t>0.7365269461077845</t>
  </si>
  <si>
    <t>0.40119760479041916</t>
  </si>
  <si>
    <t>0.8130081300813008</t>
  </si>
  <si>
    <t>0.9016461798179752</t>
  </si>
  <si>
    <t>0.005988023952095809</t>
  </si>
  <si>
    <t>0.023952095808383235</t>
  </si>
  <si>
    <t>0.6287425149700598</t>
  </si>
  <si>
    <t>13.916666666666666</t>
  </si>
  <si>
    <t>2.1666666666666665</t>
  </si>
  <si>
    <t xml:space="preserve"> Tak mým dlouholetím koničkem je chvání psu. Máme doma psa kněrača malého černostří vžitého. Měli jsme jich i víc, ale v této době už potom jako přistády a pomalo odcházli, tak nám teďka zbyl už potom tedy jeden poslední. Svoutop si velice hraví. Manželka chodila na tvíčení, na aglity, na závody, kde jsme jezdili pod celé cestské republice po závodech a získávali nebo nezískávali nějaké místa na umístění nabedně. To znamená do třetího místa. Dovezli jsme si spoustu diplomů a medaili. Soužití se s těmi dobří je velice milé, jsou hrozně hraví, jsou vděční za každou radozd. Samozřejmě, člověk, když stárne, tak je už o mozené tím, že nemůže tak často chodit vjen jako drív. I tak se psi jsme pořád jako velice dobrí přátelé. Dá se říct, že soužití se psi přináší, jak tomu psou i tím chovatelům spoustu hradosti. V naše děti mají taky psi, znamená vzalistí z útru kupca, které je podstatně většiněště náš, ale je už vychovaný chodil noc věčák a velice poslušné.</t>
  </si>
  <si>
    <t>COBEN_CZCOBEN053</t>
  </si>
  <si>
    <t>0.6968085106382979</t>
  </si>
  <si>
    <t>0.44148936170212766</t>
  </si>
  <si>
    <t>0.8015267175572519</t>
  </si>
  <si>
    <t>0.8757520776428601</t>
  </si>
  <si>
    <t>0.015957446808510637</t>
  </si>
  <si>
    <t>0.5561497326203209</t>
  </si>
  <si>
    <t>14.461538461538462</t>
  </si>
  <si>
    <t>1.2307692307692308</t>
  </si>
  <si>
    <t xml:space="preserve"> Znávěl jsem všem z těch dnes to pohovořit o formale a úspějších našeho národního týmu. V roce 34. jiveli ve finále Mistrovský svět a v Itálii, bo už a prohráli po volice neserieľ s ním způsobu v soucování. Po druhé se jim to podařilo v roce 62. v Čile, kdy postoupili do finále. Tam prohráli z Brasilii 3.1. Bylo to nešťastné úzkání, protože v Bershladecí znali ty místní poměry, věděl jak svítí slunce a kdy bude svítit do očí našeho brantáři, což se tady naplnilo a takhle pustilo 3 do haly. Potom další takové slavné výročí v našich formalistů, bylo v roce 76. Kdy se probojivali do finále Mistrovské Evropy, Vyduoslávy, to intérát vytrát zali remizovat s Německém a rozhodlící, potom byli penálty. Na penálti naši zvítězali 1-0, tam padla slavna penálta, když si vysřelvalo do prostředbrány a měl s ty brantář, kto nečekal, hnul se na jednu stranu. O té robí už na té vlate slavné úspěchy nástavy, s natěžtě v Portugalskou, to byl náš tým optimální formě. Tam hrali takový hráči, a totohle, baroš, podobně, a nedvět a takové hvězdí už jeď si neváme.</t>
  </si>
  <si>
    <t>COBEN_CZCOBEN054</t>
  </si>
  <si>
    <t>0.7573529411764706</t>
  </si>
  <si>
    <t>0.36764705882352944</t>
  </si>
  <si>
    <t>0.8349514563106796</t>
  </si>
  <si>
    <t>0.8791669148104492</t>
  </si>
  <si>
    <t>0.04411764705882353</t>
  </si>
  <si>
    <t>0.014705882352941176</t>
  </si>
  <si>
    <t>0.5401459854014599</t>
  </si>
  <si>
    <t>13.6</t>
  </si>
  <si>
    <t>1.9</t>
  </si>
  <si>
    <t xml:space="preserve"> Minulou neděli nás pozvali přátle do valče na prohlídku zámku. Zámek je pěkný, byl zcela zdevastován, ale velkou píli mají celé pana Vali a jeho manželky. Byl zámek opraven a přistaveno k němu, ještě další křídlo. To je hotel a velnes. Byl hezky den, přijeli jsme a o tej manželka mě dovezla až do areálu vádečského zámku. Všetíli jsme se z námí, kteří nás zali na procházku parkem, abychom si celý a real mohli prohlédnou. A pak jsme posedili v družném hovoru. Po obědě z nám i a manželka šli na prohlídku zámku. Já jsem tohle dmítle, protože to pro mě bylo přilišná ročné. A tak jsem seděl v takové klité věrandě a tam pozoroval, jak lidé hosté kolem do kolá chodí a věnují se v plavání v teplé vodě, ve vyřivce a nebo jen chvůzi.</t>
  </si>
  <si>
    <t>COBEN_CZCOBEN055</t>
  </si>
  <si>
    <t>0.6808510638297872</t>
  </si>
  <si>
    <t>0.48404255319148937</t>
  </si>
  <si>
    <t>0.7578125</t>
  </si>
  <si>
    <t>0.8819830340542403</t>
  </si>
  <si>
    <t>0.010638297872340425</t>
  </si>
  <si>
    <t>0.026595744680851064</t>
  </si>
  <si>
    <t>0.4789473684210526</t>
  </si>
  <si>
    <t>18.8</t>
  </si>
  <si>
    <t>2.5</t>
  </si>
  <si>
    <t xml:space="preserve"> Takže dnes kanáno jsem všet z hodin vezala manžela do práce, protože jsem potřeba auto a jela jsem k synový hlída do mnučky, protože měl nějaké potřeba něco vyhrídit. Asi v jeden áz hodin jsem přijela domu a zjistila jsem, že máme mravence, takže jsem musela jít na 14-13 na vyšitření, takže jsem si říkala, že třeba v druhé ryj si koupím ty domečky pro tím ravencem. Což jsem udělala, vyšlo mě to tak jako rád, abych přišla tady na čas, hvěličku jsem čekala, nejvíc pro mě přišla paník se, ktorou bych měla teď spou pracovat. Ovidíme, jak to bude všechno dá po kračovat, se dozvím, co a jak, doufám, že to nebudem žádnou pro planove. Ještě bych můj hrít něco, takže čekám, co bude dál. Dnes je to poslední vyšetření, měl bych to by dási dvě hodiny. Potom, kdyby budu vědění nějaké vysledky a budu k planí profesorce, až na to, kdy mám dálší návštěvoutoznam, na včervnu, která by mimožná řeká něco dál. Ještě něco. Už mětě nic nenapadá, takže svedím tady v nějaké misnosti, kde jsou zálene skřínky. Je tady mikrofon, na které se náhravat.</t>
  </si>
  <si>
    <t>COBEN_CZCOBEN057</t>
  </si>
  <si>
    <t>0.7484662576687117</t>
  </si>
  <si>
    <t>0.3987730061349693</t>
  </si>
  <si>
    <t>0.8032786885245902</t>
  </si>
  <si>
    <t>0.906171661388369</t>
  </si>
  <si>
    <t>0.018404907975460124</t>
  </si>
  <si>
    <t>0.6463414634146342</t>
  </si>
  <si>
    <t>8.578947368421053</t>
  </si>
  <si>
    <t>0.6842105263157895</t>
  </si>
  <si>
    <t xml:space="preserve"> Ménuj se Eva Palátová, máman řela Jaroslava a dvě děti. Alež má dvě vnučky. Martu máme do mama invalidní důchod. Děti často hlídám. Adelka chodí do první třídí. Elinka má čtěři roky a teď byla dlouhodobě nemocná, takže se mý pořád měla u nás doma. Často hrajeme různé hry. Má nejradějí pohádky, takže jí čtu. Adelka zase je víc založena sportovně, takže by nejradějí běhala, skákala, cvičila. Do cvičení chodím i s manželem pro starší generaci. Zučastnili jsme se i v Praze na sletu. Inak chodíme každý čtvrtek. Máme takový pěkný kolektív, kde si posedíme, pobavíme se. Když má někdo narození, něco dobrého přinese. Zasmějeme se. Manžel si teď našel brigádu na čtěři hodiny, takže chodí dělá správce na DPSC u nás tam ve středicích. Inak máme dvorek za hradu, takže už se těšíme teď na jaro, až přijde pěkné počasí, aby jsme mohli vyrazit do zahrátky. Pěstujeme veškerou zeleninu pro sebe, ovocné stromky tam máme. To malé množství nás to prostě baví.</t>
  </si>
  <si>
    <t>COBEN_CZCOBEN058</t>
  </si>
  <si>
    <t>0.7552447552447552</t>
  </si>
  <si>
    <t>0.34265734265734266</t>
  </si>
  <si>
    <t>0.8703703703703703</t>
  </si>
  <si>
    <t>0.8737492600705055</t>
  </si>
  <si>
    <t>0.006993006993006993</t>
  </si>
  <si>
    <t>0.5874125874125874</t>
  </si>
  <si>
    <t>6.809523809523809</t>
  </si>
  <si>
    <t>0.6190476190476191</t>
  </si>
  <si>
    <t xml:space="preserve"> Tak jsem po včerejšku přišla znovu na procičování. Tentokrat je to procičování řečí. Musím mluvit minutu a půl. Potom budu zastavena věnku prší. Je tam chladnou fouká vítr. Ale snad se to zase správí to počasí. Na ježdějní moraví je trochu teplej a větná zlinsku. Tam hlásili až 5 stupnů, že by je eventuálně mohlo být. Tady je chladně i velně neprší. Skoro vůbec na Pohrlicku. Tam se to můžíkla nějaká stepale. Nevím přeště, jak se to mluje. S eným kamerátky si stěžují, že jim tam na zahrodách strášně málo prší. Pořadají tam také hodí, koncerty. A mají druhstvo žen, které hraje petank, holky jsou natřené. A strášně moc to mluvěnují. Třeba se někam dostanou na nějakou soutěž. Pokud to nebude zase zručeno, jak teď kvůli té nemocí. Snat se to nějak zastaví někde. Nebude jde. Lidě se toho boje, některý až panikaří.</t>
  </si>
  <si>
    <t>COBEN_CZCOBEN059</t>
  </si>
  <si>
    <t>147</t>
  </si>
  <si>
    <t>96</t>
  </si>
  <si>
    <t>0.6530612244897959</t>
  </si>
  <si>
    <t>0.48299319727891155</t>
  </si>
  <si>
    <t>0.7916666666666666</t>
  </si>
  <si>
    <t>0.8036094015795524</t>
  </si>
  <si>
    <t>0.02040816326530612</t>
  </si>
  <si>
    <t>0.006802721088435374</t>
  </si>
  <si>
    <t>3</t>
  </si>
  <si>
    <t>1</t>
  </si>
  <si>
    <t>0.5234899328859061</t>
  </si>
  <si>
    <t>78</t>
  </si>
  <si>
    <t>149</t>
  </si>
  <si>
    <t>4</t>
  </si>
  <si>
    <t>36.75</t>
  </si>
  <si>
    <t>5.75</t>
  </si>
  <si>
    <t>23</t>
  </si>
  <si>
    <t>0</t>
  </si>
  <si>
    <t xml:space="preserve"> Ano už teď jako dnes ráno jsem stál a podíval jsem se z okna a říkal jsem si tam je hanusně a představte si to že běheb dnes se krásně rozvítilo sluníčko a je příjemně. Samozřejmě jsem okam jsem zase dneska zapoměl že pojedu outen předstv nepríjemnou silnici u zimního stadionu a že tam budou fronty a že mě to zdrží nejméně o 20 minut déle než jsem chtěl. Tak jsem přijel jsem do bohu nic nachistal jsem si napřed navigaci samozřejmě bez čísla bezšeho a věl jsem autem zapoměl jsem že tam jsou světla a věl jsem s autem do uzavřené silnice. Na jednou stál proti mě autobus a začálně tlačit na spátky tak jsem vydcoval a uvědomil jsem si že musím najít ty světla tak abych mohl toho ulici projedal protože mě navigace říkala abych pokračoval ešte 200 metrů a potom teprve zabočil do prava.</t>
  </si>
  <si>
    <t>COBEN_CZCOBEN060</t>
  </si>
  <si>
    <t>0.7246376811594203</t>
  </si>
  <si>
    <t>0.41304347826086957</t>
  </si>
  <si>
    <t>0.81</t>
  </si>
  <si>
    <t>0.8609054495674135</t>
  </si>
  <si>
    <t>0.014492753623188406</t>
  </si>
  <si>
    <t>0.5467625899280576</t>
  </si>
  <si>
    <t>10.615384615384615</t>
  </si>
  <si>
    <t>1.3076923076923077</t>
  </si>
  <si>
    <t xml:space="preserve"> Už to je doblívě den ménu se Luba Cerožíčkova. A jsem tady pro projď celice i teku, který by měl sporo nad Nemoc, Parkinsona, v Evropě a v Americe. To se vymešlím, já to nevím, to jenom se dohaduju. Tak jsem zvědavala, jak jen spůsobem, já nebo co, co můžu, jak tomu přinezt. Moje zaměstnání teď je bunkru na Husové ulici, kde dělám počitám hodiny zaměstnanců pod kady promzdy. Je to zajímavý bunkru. Doporočuju to naštivit, protože to je historická pamatka. To se stavila za dob Hitlera. Mělo to soužit pro papalaše dneske, jako ukryt před bombováním před utoky. 22 let jsem pracovala na dneskem výstavěště jako ekonom. Mám dvě děti, dřív nuky. Teď jsem proběl karantény, bohužel jsem je nemohl naštivit, a ještě stále totola, protože jsem by se vzoršel. Nechci, nechci, je riskovat, aby ho nevosněli.</t>
  </si>
  <si>
    <t>COBEN_CZCOBEN061</t>
  </si>
  <si>
    <t>0.6089743589743589</t>
  </si>
  <si>
    <t>0.5512820512820513</t>
  </si>
  <si>
    <t>0.7368421052631579</t>
  </si>
  <si>
    <t>0.8223112496522563</t>
  </si>
  <si>
    <t>0.5384615384615384</t>
  </si>
  <si>
    <t>3.4285714285714284</t>
  </si>
  <si>
    <t xml:space="preserve"> Tak vpátek jsem moc těším na Oslavu, kdy se bude me loučit s mojí koleginí, kteřou jsem pracovala sedm let. A protože odchází do důchodu, byly jsme i vybírat dárek, takže jsme šli do City Parku výhlavě, kde jsme jí s koleginí koupili krásné zlaté naučnice a doufám, že se jí budou moc líbit. Oslava se bude konat určitě v práci, objednaly se chlebíčky, zákusky, takže se už moc těším. Na víkensi plánuju, že budu dělat na zahradě, určitě budu plety a hody a trhá ty chody. Určitě něco dobrého uvahrím, pozuji děti na obět, takže přijede i sestra, určitě s dětma, druhá sestra a rodiče, takže si uděláme krásný víkent a užijeme si ho s krásným počasím. A v pondělí už v práci budu mít novou kolegini, takže se na ní taky moc těším. Doufám, že si budeme rozumět, že budeme v pohodě v práci, že jí určitě dobře zaučím a budeme spolů dobře vycházet.</t>
  </si>
  <si>
    <t>COBEN_CZCOBEN062</t>
  </si>
  <si>
    <t>0.7197452229299363</t>
  </si>
  <si>
    <t>0.43312101910828027</t>
  </si>
  <si>
    <t>0.7876106194690266</t>
  </si>
  <si>
    <t>0.8847673903638602</t>
  </si>
  <si>
    <t>0.4779874213836478</t>
  </si>
  <si>
    <t>17.444444444444443</t>
  </si>
  <si>
    <t>2.111111111111111</t>
  </si>
  <si>
    <t xml:space="preserve"> V roce 2012, 4. března, se můj syn, ve věku 28 let, zabil, když putoval z děmbíru na chopok, tak na samém začátku v krupovém sedle se zřítil, tak nešťastně, že dole byl mrdvý. Od toho roku jezdím 3x až 4x, počínaj je jarem až do hlubokého podzimu, podívat se na místa, na kterých jeho kamarádi umístili křížek nebo tabulku. Takovýchto míst v nízkých tatarách máme 5. Tuto sobotu právě proto o tom mluvím, jsme se vydali na ta místa celá rodina, to znamená moje cera, její manžel a dvě vnučky. Málo kdy se stane, že stihneme obejt všechno 5 pětních míst, ale s vnučkami, kterým je 10 a 11 let, všechno 5 míst obejt. Možná je to proto, že když jdu sama musím jedit autobusem a mám na tuto celou trasu terminovaný čas. Čas je daný příjezdem autobusu na trangošku a odjezdem autobusu z trangošky. Příjezd je o půl 9 a odjezd je o půl 4.</t>
  </si>
  <si>
    <t>COBEN_CZCOBEN063</t>
  </si>
  <si>
    <t>0.7018633540372671</t>
  </si>
  <si>
    <t>0.4409937888198758</t>
  </si>
  <si>
    <t>0.7964601769911505</t>
  </si>
  <si>
    <t>0.8729157988898156</t>
  </si>
  <si>
    <t>0.012422360248447204</t>
  </si>
  <si>
    <t>0.037267080745341616</t>
  </si>
  <si>
    <t>0.6024844720496895</t>
  </si>
  <si>
    <t>3.7142857142857144</t>
  </si>
  <si>
    <t xml:space="preserve"> Vždyť se vělázně kousek o tam bydlém věseníku, mi tam nádherná příroda a zdoje vody nesmírně a vzduch nádherný pro něký sliku a vlastně se tam spojili dvě teptonické desky, a který tím nárazem vytváří do ho vzuší vitaminy, takže když jste na lejčení, tak nesmítte brádu vitaminde, jelikož a b, protože byste to pře, no, už to nevím. Mám ještě blubit dál, jo? Děkuji za pozornost a dneslapte se, že jako k tam. Můžu? Ještě minutu, no tak to nezvládnu. Mám ceru, která je zaměstnana v Praze, která bydlí v Praze, je zaměstnana v zahraničním obchodě, zná několik řečí, velice dobře, pro má na starosti německým luvící státy, a to v této práci jako nachází smysl života. Mám je ráda, je hezka, ale má smůlu na chlapy, jako obyčejně, protože se chlapy bojí hezkých a vzděladných žen, dovedes ji dokonce přišerubovat nábytek, vývrtať do stěny díru. Vždyť je to šikovné děvče, má mi moc ráda. A ještě mám nějaké možnosti.</t>
  </si>
  <si>
    <t>COBEN_CZCOBEN064</t>
  </si>
  <si>
    <t>0.4649122807017544</t>
  </si>
  <si>
    <t>0.8429491221056085</t>
  </si>
  <si>
    <t>0.039473684210526314</t>
  </si>
  <si>
    <t>0.02631578947368421</t>
  </si>
  <si>
    <t>0.5350877192982456</t>
  </si>
  <si>
    <t>17.53846153846154</t>
  </si>
  <si>
    <t>3.230769230769231</t>
  </si>
  <si>
    <t xml:space="preserve"> Dneska ráno jsem se moc nevyspala. Hrýdám pejska, mý kamaráce a je to takový malej lumpy, který mě budí už ráno v opu pátí. Výži, že nesmí do postele a přesto mi tam v leze čení chá a plíží se, když můžem řeknu, že musí dolu. No a pak jsme se, pak jsem teda stala a vydali jsme se ve naprocházku, protože první je na řadě on, pak teprve já. Takže chodíme ráno do výběhu, který máme kousek pod domem, potkáváme tam různí pejsky a protože to je pejse, který má dlouhý nožky. Rád běhá, tak ho vždycky pustím na volno a on mě potvórka někdy uteče. Neská mě taky uteka, tak jsem ho potom musela doběhnout, dát mohho vodítko a jít s ním pěšky, zpátky. Pak jsme přišli domů, nejdřív se napapal pejsek, dostal ledvinky a srdíčka, pak jsem se najedla já. No a já jsem to šla chvílku do spad, protože mě scházel čas a pejsek si hrál s hračkama a niafál, pak zalehl a spokojně spal. No a pak jsem se připravovala na odpolední program, na vyšedření, které mě zajímá, které nevím co od toho mám očekávat. Takže jsem nad tím přemýšlela, chystela jsem se, zeldvala jsem cestu kdy pojedu. No a vyjela jsem, myslím si, že zbytečně brzo, asi o hodinu drív. Takže jsem přijela na místo a teď stary sedím a spovídám se.</t>
  </si>
  <si>
    <t>COBEN_CZCOBEN065</t>
  </si>
  <si>
    <t>0.7124183006535948</t>
  </si>
  <si>
    <t>0.4444444444444444</t>
  </si>
  <si>
    <t>0.7798165137614679</t>
  </si>
  <si>
    <t>0.8771441033060408</t>
  </si>
  <si>
    <t>0.032679738562091505</t>
  </si>
  <si>
    <t>0.013071895424836602</t>
  </si>
  <si>
    <t>0.47058823529411764</t>
  </si>
  <si>
    <t>13.909090909090908</t>
  </si>
  <si>
    <t>2.5454545454545454</t>
  </si>
  <si>
    <t xml:space="preserve"> V neděli budeme oslavovat 6. narozeněny naší vnočky. Tak to se hrozně moc těší, protože se všichni sejdeme. Hlavně holčička bude šťastná, že se všichni sejdeme a že nás zase všechny uvidí. Samozřejmě se taky těší na spoustu dárku, které dostané, ale ty dárky jsou problém, protože člověk ani neví co už má a co nemá. Takže se do toho těžko strefuje. Já se mě koupila hru dlouhý, široky a bystro zraký. Tak doufám, že to bude mít úspěch i uní, ale taky u rodičů a další dospělých, které si s ním budou hrát. Doufám, že nebude přijelíš velké vedro, protože dorty by se roztékalí a z toho by byli všechny kucharky velmi nervozní. Já sama žádnou dortu nedělám, protože takové věci neumím, ale ráda je jim, což je na mě vidět. A jinak doufám, že pojedeme z holčičkou na macochu, protože jsem jísnil, že jestli ještě nejela lanovkou, takže to musí dohnat.</t>
  </si>
  <si>
    <t>HIDI LONG_100</t>
  </si>
  <si>
    <t>0.6294642857142857</t>
  </si>
  <si>
    <t>0.5267857142857143</t>
  </si>
  <si>
    <t>0.75177304964539</t>
  </si>
  <si>
    <t>0.8555475627370629</t>
  </si>
  <si>
    <t>0.017857142857142856</t>
  </si>
  <si>
    <t>0.004464285714285714</t>
  </si>
  <si>
    <t>0.5089285714285714</t>
  </si>
  <si>
    <t>12.444444444444445</t>
  </si>
  <si>
    <t>1.5555555555555556</t>
  </si>
  <si>
    <t xml:space="preserve"> Tak s sedím pod mikrofonem, je tady sem mnou v místnosti pan Brabenec a zadal mi instrukci, jak vám hovořit, minimálně minuto. Tak dobrá. Je 4. září, 2017. Počasí se změnilo, měli jsme nádherné léto. Téměr tropické, ale před dvěmanou o 3 dny se ochledilo a už ješka redě. My máme s manželem před sebou nádherný čas. A to jen zítra a ve středu, protože jedeme do Prahy z vnoučátkami je hlídat. To je činos, kterou děláme velmi ráni, ale bohužel, tím, že máme jedny děti v Praze a jedny děti v Americe, tak se nám to nedáří příliš často. Ale tak o to víc si toho považujeme a radujeme se, když se s nimi můžeme vidět. Celke máme těch vnoučátek, 5 musím se pochlubit. 2 v Americe a 3 máme v Praze. Ale to už bude asi konečná. Stěně bychom asi toho víc nezvládli. Byly jsme taky nadovolené, předtím, než se udělalo to špatné počas, ještě jsme si zažili počasí pěkné, byly jsme v Luháčovicích, tam byli jsme po několikáte, dopřáli jsme si nějaké procedury a dopřáli jsme si taky toho, že jsme chodili. Po okoli tak tam to bylo velmi pěkné. Původně byly pozvaní do Ameriky za dětma, ale na to jsme se nějak necítili, tak jsme zůstali tady. Takže kromě Luháčovic jsme ještě zvládli letoznojmo a hodují vždycky na krátké pobity.</t>
  </si>
  <si>
    <t>HIDI LONG_1000</t>
  </si>
  <si>
    <t>0.46</t>
  </si>
  <si>
    <t>0.7066666666666667</t>
  </si>
  <si>
    <t>0.6376811594202898</t>
  </si>
  <si>
    <t>0.693482967937579</t>
  </si>
  <si>
    <t>0.07333333333333333</t>
  </si>
  <si>
    <t>0.6241610738255033</t>
  </si>
  <si>
    <t>9.375</t>
  </si>
  <si>
    <t>1.75</t>
  </si>
  <si>
    <t xml:space="preserve"> Takže až přindo, tak si to dám do troby a nechám to pěct. Při ty dělám šneky, to je zrozvalím često, dám tam salám, sír a zamotám to a dám to. Až si dopeče svíčkové, tak tu dám to svíčkové. Co ještě mám dělat, co ještě mám v něco vykládat. No tak nemím, no to už nemím co by mu brál vykládat. Ještě něco. No tak, tak že zítra pojdem na chatu, budem tam uklízet, už se tam těším. A co ještě, no, budu tam na zahráce se bově se něco roste neskýho. Možná tam budou sněženky, možná tam budou krokusy. A tak to nevím, co ještě tam, co ještě mám výkládat. Ještě mám vykládat, ještě něco. Tak co, takže si, no tak hodně uklízení tam bude. Už se, nevezeme tam, co tam vezeme. Židle, židle tam vezeme. Jo, aště budu vlastně dělat podinkáče. No tak co, už, už, už.</t>
  </si>
  <si>
    <t>HIDI LONG_1100</t>
  </si>
  <si>
    <t>0.7290322580645161</t>
  </si>
  <si>
    <t>0.43870967741935485</t>
  </si>
  <si>
    <t>0.7699115044247787</t>
  </si>
  <si>
    <t>0.8959590423813397</t>
  </si>
  <si>
    <t>0.0064516129032258064</t>
  </si>
  <si>
    <t>0.012903225806451613</t>
  </si>
  <si>
    <t>0.5414012738853503</t>
  </si>
  <si>
    <t>25.833333333333332</t>
  </si>
  <si>
    <t>3.6666666666666665</t>
  </si>
  <si>
    <t xml:space="preserve"> Zatříná jaro, s luníčkou už se načiná probouzec rozlinky a zahrátkách ryspěchají, protože myslí si, že na všechno pozdě nebude pozdě, ale je potřeba jako si do těch poli vyrazit a dokud neprští takhle, co jsou dělat postříka s tromní jarným postříkem. Máme také vynohra, takže ve vynohradě jsme vystřiávali šlavouny, které se těď pozbírají a vzpálnice to nebo se to podretí, dretí čema. Začneme jako pracovaná zahradě, protože by je podřeba vysázec sazenice, máme tam nějaký skleníček, takže taky by jen o toho sázec, nějaké ty rozlinky to se o to se zajímá moje žena. Já dělalme také ty manunení práce, připadně technické práce, takže zajistějeme vodu, aby se měli na zalévání, takže chytáme vodu v deštěvou. Když jsme k tomu učili, takhle dvě kubíkové krichle plastové, které na plnými vodou, aby se odrazila, tak zvanějá. Bude to vždy sloužit zalévání zahrady a máme tam také studnu, tamá všem vody méně, jak je těď.</t>
  </si>
  <si>
    <t>HIDI LONG_1200</t>
  </si>
  <si>
    <t>0.5888324873096447</t>
  </si>
  <si>
    <t>0.5989847715736041</t>
  </si>
  <si>
    <t>0.6810344827586207</t>
  </si>
  <si>
    <t>0.8404661336102986</t>
  </si>
  <si>
    <t>0.04568527918781726</t>
  </si>
  <si>
    <t>0.03553299492385787</t>
  </si>
  <si>
    <t>0.45685279187817257</t>
  </si>
  <si>
    <t>32.833333333333336</t>
  </si>
  <si>
    <t xml:space="preserve"> tak mě na parkinzone nejvíc vadí to, že současně nebo nemůžu cestovat, protože cestováně můj koníček, který vlastně mě to znemožuje, ten můj stav to znemožuje, protože padám, padám často a padám každý den a zhoršuje se to. Já už nemám žádnou možnost, nemám žádnou ideu nebo nemám žádný svět, ale v tunelu, který by mě z toho pomohlo a který by mě bytálo. Já už jsem by zkoušel všechno možný metodi, který se prezentou na parkinzone včetně pobytu v peru ušamanaf Amazonii, včetně implantece kvěnu i kvůně k včíni a nic toho nefunguje. Já jsem vždycky mě drhilo těch 15 let, co to mám, to ono moci jení, tak vlastně tyhle 10 let bylo dobrý, to vůbec nikdo skoro nepoznal, že parkinzone mám, když jsem to neřekal, pak se to nějak zvrtlo. Já jsem myslím, že se to teda zvrtlo v ušamanaf tom peru, protože tam ně, tam se poslední byla taková divna, a myslím si, že tam řekl problém, ale zase rodina tvrdí, že ne, že jsem se tam očučová těch, jako kliníši, tak nevím, jak to. No a takže ještě Hromada, Hromada, takže cestování bylo a je můj koniček, ale to teď je nějaký.</t>
  </si>
  <si>
    <t>HIDI LONG_1300</t>
  </si>
  <si>
    <t>0.775</t>
  </si>
  <si>
    <t>0.3625</t>
  </si>
  <si>
    <t>0.8225806451612904</t>
  </si>
  <si>
    <t>0.8580669857568582</t>
  </si>
  <si>
    <t>0.0125</t>
  </si>
  <si>
    <t>0.0625</t>
  </si>
  <si>
    <t>0.55</t>
  </si>
  <si>
    <t>10</t>
  </si>
  <si>
    <t xml:space="preserve"> Leta jsem rával jako čvěnka pelí na kláve si a nyní už si hravo jenom doma. Je to nebo vejšky, jak jsem zpívával, takže je to horší. Ale pokud jako hrajo třeba některý den, tak druhý den je to právě nejlepší. Prvědla si výsob vlastně na kví svá, který se musí trenovat. Takže jako se mě mluví, zpívá mluvěm lulíb. No potom velice rád pracuj na počítači. Kde si dělám také různe skladby a tak dá. C'e je nejpíšu.</t>
  </si>
  <si>
    <t>HIDI LONG_1500</t>
  </si>
  <si>
    <t>0.6742857142857143</t>
  </si>
  <si>
    <t>0.4857142857142857</t>
  </si>
  <si>
    <t>0.7627118644067796</t>
  </si>
  <si>
    <t>0.8697918799297607</t>
  </si>
  <si>
    <t>0.005714285714285714</t>
  </si>
  <si>
    <t>0.480225988700565</t>
  </si>
  <si>
    <t>9.210526315789474</t>
  </si>
  <si>
    <t>0.8421052631578947</t>
  </si>
  <si>
    <t xml:space="preserve"> Čerýši dnes jsem zakončil pivo až. Zastaně jsem se podlohou hroje na jedno pivo. Dneska ráno jsem stával půl šesté, vysprchoval jsem se na chyznání. Ujel jsem káfe. Káve jsem je buktičky. Přijel sera, která mi odvězal jsem do bojnic. Na ten výzku. To je mi si ještě něco bych byl v tom udat. Chodím do zaměstnání, na fakultu pedagogickou. Dělám navrátnicy. Je to zájemné, že zaměstnání vzpoustaří kolen sebe a čas utíka. Mám tady posledný době problém s tím, že vyhrazní některé slova mi nezumílo. Musím sakradovat bacha a opartrně aby mi bylo rozumět. Ale k proto bych byl rád, aby se s tím tato dně so podníknout, která se to zlepšílo. To není ještě minutáře. Pará si chodíme na ranný smen, která trvá od rána od 6 do 1 hodiny. A pak chodíme na odpolný smen, která trvá od 1 hodiny, jak se rika do 0,5-0,9. Na fakultě sezóná, mení v nám okna, mení v dneře, v návitek. U sečeká jen na studenty a přído příšitý den a zájí studium.</t>
  </si>
  <si>
    <t>HIDI LONG_1600</t>
  </si>
  <si>
    <t>0.42483660130718953</t>
  </si>
  <si>
    <t>0.822429906542056</t>
  </si>
  <si>
    <t>0.8568707147119806</t>
  </si>
  <si>
    <t>0.006535947712418301</t>
  </si>
  <si>
    <t>0.0457516339869281</t>
  </si>
  <si>
    <t>0.5562913907284768</t>
  </si>
  <si>
    <t>153</t>
  </si>
  <si>
    <t>19.0</t>
  </si>
  <si>
    <t xml:space="preserve"> tak ráno vstáva na chystám snidaní prvnuka Potom se omleču, umiju důzlepsem na procházku potom přídu no a potom bude chystám jídlo nebo sělejhnu a čtou no a na zahradě, na zahradě učas seču trávu plejů nepěstuju žádnou zeleninu protože stejnějí vzeře rovohristci no a byla jsem mechanicka, operovala jsem psa cístroje 30 leta na konec podnik skončil rozpadl se a šla jsem do důchudu že byla bědvá 50 letech no a potom jsem byla doma dlouho a požád to samý doma, kole domácnosti na zahradě zipsama měli jsme Greenhounda 5 let ten nám umozel před 3 měsící tak jsme si poříděli dalšího teď v enu a ta je taková prostě jak by se to dalo říct nesnáší okolo sebe přtím měli jsme ještě objednanýho dalšího Greenhounda no a kdy jsme ho dovezli jsme zjistěli, že ho dost odstrkuje oni byli obá dvá bázly ta nolyterá, ta tím asi trpěla tak jsme umuseli</t>
  </si>
  <si>
    <t>HIDI LONG_1700</t>
  </si>
  <si>
    <t>0.6684782608695652</t>
  </si>
  <si>
    <t>0.4945652173913043</t>
  </si>
  <si>
    <t>0.7560975609756098</t>
  </si>
  <si>
    <t>0.8703932522458541</t>
  </si>
  <si>
    <t>0.016304347826086956</t>
  </si>
  <si>
    <t>0.021739130434782608</t>
  </si>
  <si>
    <t>0.532608695652174</t>
  </si>
  <si>
    <t>26.285714285714285</t>
  </si>
  <si>
    <t xml:space="preserve"> Také jako můj koniček je chodení na houby v posledných letech, ale je to z houpa mít čím dále horsí, protože většinou bývá velmi sucho. Takže se musí jezdit stále dál a dál, nejlep nekam do vysých poloch na vysocinu, ale je to opravdu stále horsí a horsí. My jezdíme do letovice, což je v směrem na svítovi, kde máme teda výlydnutí svojej místa, kde většinou v nějaké houpi najdeme, ale leto se nám to ještě nepovedlo, protože smutečně velmi sucho. Teď si chystáme právě, že by jsme jeli v sobotu nebo v neděli, chce tam podívat, ten tak nakontroluje, si tam něco návdo nebude. Inak tam máme jedno z námich, který tam bydlí, který nám podává zprávy, když jou bys rozstou, ale leto se ještě se neozval, takže jsme v nejistotě. Jou by máme rádi, ale i když teda víc to vlastní hození a zbí ráni, než potom jejich konzumaci. Je to prvná sají dost daleko, protože naše oby dliště je to skoro 80 km, takže se to s finančního lidiska moc nevypláci, ale pro tu zábavu a potěšení to za to stojí.</t>
  </si>
  <si>
    <t>HIDI LONG_1800</t>
  </si>
  <si>
    <t>0.6456310679611651</t>
  </si>
  <si>
    <t>0.5339805825242718</t>
  </si>
  <si>
    <t>0.7218045112781954</t>
  </si>
  <si>
    <t>0.871512079097984</t>
  </si>
  <si>
    <t>0.5853658536585366</t>
  </si>
  <si>
    <t>12.875</t>
  </si>
  <si>
    <t>1.4375</t>
  </si>
  <si>
    <t xml:space="preserve"> Povídání o dálnici jde jedna. Je to už mnoho roku, co bavá postavena dálnici jde jedna. Ještě jsem študoval v té době v Praze a ten krádošlo ke její muspojení, tuším, že v roce osnesal. O té době se mnoho změnilo. Je tady hromadů neupravených úseků, které začínají být nesýzné. Ty se spravují s velkou korupční aktivitou fěrem okolaní. Do Prahy jezdí mnohrat, protože není, kdy je snajajíste, v kterou dení dobu a hodinu se dostaná čeje kdo Prahy. To už raději, čeje kde je do Maďarska, kde mají dálnicé celkem perfektním stavu a v Polsku, kde se začínají dálnicé dostavovat, tak je v perfektním stavu. Tak někde to, nejde to. Do běhle, kterou jsem přišli z poustu hostů, ale vládá nebyla schopná nic, tak je tímto stavem býdním dálnicé, kde je jedna udělat. Jednom stále tvrdí, že spravuje a spravuje rychlej, a měny stříd do Pravy se střídají jako hůzky nakrámně. Tak nevím, se ještě dál povídat, něco budeme povídat nebo už je doku konca. Dobrá. Práce na zahradě. Koncem toho roku, listopadů v prosnici budeme ukončovat práce na zahradě, musí se celá vyhrabat, musí se na vejs potřebné hnojiva, zase ti potřebné kvítí a také kře, které jsou z náši zimu. Už je to.</t>
  </si>
  <si>
    <t>HIDI LONG_1900</t>
  </si>
  <si>
    <t>0.6094674556213018</t>
  </si>
  <si>
    <t>0.5621301775147929</t>
  </si>
  <si>
    <t>0.7184466019417476</t>
  </si>
  <si>
    <t>0.8298833743967106</t>
  </si>
  <si>
    <t>0.04142011834319527</t>
  </si>
  <si>
    <t>0.005917159763313609</t>
  </si>
  <si>
    <t>0.4619883040935672</t>
  </si>
  <si>
    <t>24.142857142857142</t>
  </si>
  <si>
    <t xml:space="preserve"> A no, takže jsem rudolfružička, moje speciálizace je elektroakustická a komputerová údba. To jsem učil i na universitě, tady na Maserikové universitě, na fakultě informatiky. Studoval jsem to na jamu, byla to moje speciálizace i na jamu. Moje absolenská práce se týkal a právě toho toho ovoru. Mě to vyneslo hodně vysoko, co se týče výsledku třeba i skaratelských, které vydávají mě cede i zahraničí. Abych to řekl jenom třeba jednodushe, když jsem tady skončil výjuku na jamu, tak mě by to požádali tady na fakultě informatik, jestli bych prostudenty, které bych toho výjuku nejdelala nějakou obdomnou přednášnou, která by se počítačové hudbě věnovala. Tak jak oni mají výtvarné úmění počítačové, tak i v té oblasti počítačové hudby, oni se dozvěděli v New Yorku, že jsem tam byl v jedné součeři, a když se zářádali, aby to přednášel nějaký tamtý expert, tak řekli, když máte Růžičku, to je náš odborník, specialistatery, který ho já z nám máte to hodně dobře, takže mě ten krád na to umluvili, když já.</t>
  </si>
  <si>
    <t>HIDI LONG_200</t>
  </si>
  <si>
    <t>0.657608695652174</t>
  </si>
  <si>
    <t>0.4782608695652174</t>
  </si>
  <si>
    <t>0.7933884297520661</t>
  </si>
  <si>
    <t>0.8522707145488113</t>
  </si>
  <si>
    <t>0.02717391304347826</t>
  </si>
  <si>
    <t>0.010869565217391304</t>
  </si>
  <si>
    <t>46</t>
  </si>
  <si>
    <t>5.5</t>
  </si>
  <si>
    <t xml:space="preserve"> Můžu. Včera jsem byl na zahradě, pou několika dnech, když bylo špatné počasy, práce tam bylo strašně moc, nesti hly jsme to, byl jsem tam s manželkou, připravuje zahradu už na podzím a na zímu, pomalyčku, no problém je tam obrovský s vodou, protože firma, která nám dodávala vodu, tak nám dodáva teď vodu nepravidelně a dostávám se do takové situace, že zápasíme ze suchem, který letoz bylo velíké. Napřeď na jar je byl mrás, v letě nebyla voda, takže celkově úrda byla slabá a je to na želkej koniček, a tím nás to deprimuje, dělá nám to problém s tím věrovnat a navíce bojíme, až budeme ještě starší, že na to nebudeme stačit. Inak jsme tam strašně rádí, máme to už přes 30 roku, vyhovuje nám to, ale ty problémy, které teď začne, nemůžuš jezdit auto, musíme jezdit měskov dopravou, a to jsou problémy, protože doprava je kousech zabrnem, musíme ve všední den, jakž takž to je zdív, v sobotu vneděli velice špatně, když jsme tam spávali, teď už ne, protože ta problém s to vodou, s to výkienou a s tím vším.</t>
  </si>
  <si>
    <t>HIDI LONG_2000</t>
  </si>
  <si>
    <t>0.7253521126760564</t>
  </si>
  <si>
    <t>0.4295774647887324</t>
  </si>
  <si>
    <t>0.7864077669902912</t>
  </si>
  <si>
    <t>0.8829314294407802</t>
  </si>
  <si>
    <t>0.014084507042253521</t>
  </si>
  <si>
    <t>0.5454545454545454</t>
  </si>
  <si>
    <t>11.833333333333334</t>
  </si>
  <si>
    <t xml:space="preserve"> To bylo hrozný horoko. Doma to nesnesení 6-6, že máme v některých místach se chlázení. V velký problém je to z vodou, protože tě máme už málo i v rviniku. A rybíčky už má jich dost málo. To čistit. Máme v rybíčku amory, který má zaukolový čistit vodu, tak aby bya tam nerosli rasy a to dělají perfektně. Tuto akt se jsme zkoušeli moc chrát a nikdy se nám to nepodářilo dotáhnout do konce. Až ryba nám podál děl, že nepo muže žádný savo, žádný výčištění rybníku při rybníky jenom kamení. A že musíme zásadit rybíčky a doveznáme je a ty fungujou perfektně. S vodou už hospodáříme velmi špatně, protože už třeba má jen jen z horvory. Dění vás přečerpáváme rovnce vodu do rybníka ze studných, která sloužák zásobováni domů na vodou před 50 lety. Než byl za veden vodovot městský.</t>
  </si>
  <si>
    <t>HIDI LONG_2100</t>
  </si>
  <si>
    <t>0.7037037037037037</t>
  </si>
  <si>
    <t>0.42592592592592593</t>
  </si>
  <si>
    <t>0.8157894736842105</t>
  </si>
  <si>
    <t>0.8910628246799771</t>
  </si>
  <si>
    <t>0.004629629629629629</t>
  </si>
  <si>
    <t>0.013888888888888888</t>
  </si>
  <si>
    <t>0.5348837209302325</t>
  </si>
  <si>
    <t>14.4</t>
  </si>
  <si>
    <t>1.8</t>
  </si>
  <si>
    <t xml:space="preserve"> Dneska ráno přel Pani Ževocký v 8.00 a přesně takhle byl do mulvenu. Ráno je přesný. Horsí je to odpole dne a na večer. Jako obýkrasí do mulvenu večerní termí, když jsem se zeptal, v kolik přijde, tak řekl, že přijde v 20.30. Zdál jsem mi to na montovaní nábytku trošku pozdní doba, ale už jsem na to zvyklý, proto jsem neřekl, ale ani půsloba, aby jsem návěl, že je ochotný přijet. Přijel o konce o 12.00 a montoval harníř. To je člověk, který pracuje neustále a sám se sebo těší, jak trápi odbělatelé svými termí. Je to takový drobný mužik, který vypadla, kdyby měl do pěti napočítat, má jednu vysokou školu a spoustu náředích, kterým vypadlával nábytek. Měli většině o zakázka, když dělal pro menzinovou firmu Shell, kdy v to cvět české repúriky dodával nějaké krabičky, které době si koupilo konci do vody auto. Ale neskoušel se na tom hormáni, musel propustit za městance a není schopen uživit u věry, které si závna střej. Je to takový čromik, kte by rád pomoval, trošku si ten problém dělal sám se sebo, protože rád spí, to práci jsem bozdne chcí. Je oblíbené, oblíbené na diskuse je o haktusech, příjel oblastní haktusář, mak, který by v velikosti dvou až tří metru a také pěstej kočky.</t>
  </si>
  <si>
    <t>HIDI LONG_2200</t>
  </si>
  <si>
    <t>0.75</t>
  </si>
  <si>
    <t>0.3974358974358974</t>
  </si>
  <si>
    <t>0.8034188034188035</t>
  </si>
  <si>
    <t>0.9004438487972075</t>
  </si>
  <si>
    <t>0.6858974358974359</t>
  </si>
  <si>
    <t>15.6</t>
  </si>
  <si>
    <t>0.9</t>
  </si>
  <si>
    <t xml:space="preserve"> Můj profesní život byl rozmanitý. Po vystavdování střední průmyslavej školitek střelní v Vrně jsem nastoupil do dnes už neexistující ostatního podniku Vrno. Tam jsem začal jako serizováč, poslěji jako směnový mister a součínal s vyvrněním jsem končil na pozici vědoucího prádelným výkalné příze. Zruba po 20 letech činnosti v tomto podniku jsem přešel do firmy Moravská Ustrědna Vrno. Tam jsem dělal na pozici technickou organizacího rozvoje. Tadto operace byla velmi zajímáva, protože Moravská Ustrědna jako drůstvo umělecké výroby Mělá spoustu výrobních činností počíná je výrobou hraček, odjevů, vroušení skla, výrobů ze drva, pletáže a dalších komodit. Z Moravské Ustrědní jsem potom odešel do firmy Itonk. Firma Itonk se zabírová výrobou porobetonových kvárnic. Tam jsem začal na pozici obchodního zástupce, což spočívá v tom, kde jsem obježděl stavebniny a nabízel v té době novinku z kvárnice sporo betonu. Zásadní změná vlastně těchto kvárnic, proti normálně dostupnému zdivu byla v tom, že se kvárnice nezděli klasicky na maltu,</t>
  </si>
  <si>
    <t>HIDI LONG_2400</t>
  </si>
  <si>
    <t>0.602510460251046</t>
  </si>
  <si>
    <t>0.5564853556485355</t>
  </si>
  <si>
    <t>0.7361111111111112</t>
  </si>
  <si>
    <t>0.8459975748073315</t>
  </si>
  <si>
    <t>0.0041841004184100415</t>
  </si>
  <si>
    <t>0.012552301255230125</t>
  </si>
  <si>
    <t>0.5481171548117155</t>
  </si>
  <si>
    <t>21.727272727272727</t>
  </si>
  <si>
    <t>2.727272727272727</t>
  </si>
  <si>
    <t xml:space="preserve"> Když mám začít o něčem luvit, tak si nejdříve musím vymyslet, o čem to bude. Může to být o rodině, může to být o dětych, může to být o přátelích, tak je to může být o koničcích, o způsobu měho života, o způsobu měho stravování. Prostě vybrat se dá hodně, řekněme, začneme s tím stravováním, protože to bylo až na konci. Tak, moje stravování se jedná, je vsočasně to bět takové, že už nedrží určité upravidelnost. V dřivějších letech, když jsem byl podnikaté, a lámil jsem svou jí firmu, tak jsem ráno začává třeba o 7 hodinách pracovat, vypil jsem kávu, jídu jsem se dostal, jak to šlo, eventuálně nemil bylo to nešlo, a pak jsem se zkusil doma na večeři, což se trvalo hodinu, pou druhé hodiny a prácala jsem do sebe všecko. Až jsem se najedl. Teď na konci už vlastně jsem v duchodě, takže už si dávám na všechno pozor, a stravojí se celkem pravidelně a zdravě, to znamená více zeleněny, méně tu stého masa. Alkohol ten už mě tak nechudná, jak to bývalo dřív, takže ho snesu daleko méně, taky ho vypil méně. I když mám rád s třeba výborné víno, a taky mám rád s libovičným nebo meroňkoviční. Ale říkám už to moc do sebe nedostanu. V ladších dobách to byly daleko zajímavější, protože byly různé večerky, byly různé společnické záležitosti, takže jsem se k tomu alkoholu dostal celkem snadno a rýchle a často.</t>
  </si>
  <si>
    <t>HIDI LONG_2500</t>
  </si>
  <si>
    <t>0.6265060240963856</t>
  </si>
  <si>
    <t>0.5301204819277109</t>
  </si>
  <si>
    <t>0.8224391414607811</t>
  </si>
  <si>
    <t>0.030120481927710843</t>
  </si>
  <si>
    <t>0.04216867469879518</t>
  </si>
  <si>
    <t>0.5060240963855421</t>
  </si>
  <si>
    <t>16.6</t>
  </si>
  <si>
    <t xml:space="preserve"> Tak neská se měl na nemocnici jako na výskum a bylo to docela v prýma spojení. Když jsem přišel na zastavku, tak měla akorát padesátka, přijel jsem sní až k nemocnici zastavce. Tam jsem následl na štějcítku a dostal jsem se až přímo před budovu, kde jsem vystoupil a šel jsem do nemocnice na výskum. Tady se mě dnesky příjali a já jsem tady tady domluvím. Včera jsem prožil taky pěkně, byl jsem v nedělí jako na sezení na boženským, kde jsme probírali vůčité věci, které mě nás z teda oba dva zajímali, protože jsem tam byl s manželou. Byl jsem dost překvapené nektere věci, které se objevili, že mě překvapili a můžu muset asi se pole toho sam zažítit. Potom jsme odpoledné jako jelí do Morav, se to meneje mokrá Morav. Je tam v Bežkolce, tam byla naše vnuty, měla tam vesídku, byla voblečena jako na zázní hulku. Bylo to tam docela pěkný, začalo to ve dvě hodiny. Byly tam dva moderátorzy, kteří to dojde.</t>
  </si>
  <si>
    <t>HIDI LONG_2600</t>
  </si>
  <si>
    <t>0.7430555555555556</t>
  </si>
  <si>
    <t>0.3819444444444444</t>
  </si>
  <si>
    <t>0.8317757009345794</t>
  </si>
  <si>
    <t>0.8872200778267324</t>
  </si>
  <si>
    <t>0.006944444444444444</t>
  </si>
  <si>
    <t>0.6041666666666666</t>
  </si>
  <si>
    <t>1.7</t>
  </si>
  <si>
    <t xml:space="preserve"> Dneska je la cera do práce autem v tom Marastu, tak jsem měla strach, ale dojela dobré. Ona nášto stane do práce jenom autem nebo bydla lekomusáji pěšky. Ráno jsem nesnídala, mandželový chcem na chystě, ale že se radilo auto, už je pět let, na posteli. Tak jsem ona chystala snídání a šla jsem. Chvala bohu, nevím co, už to mám vykládat. Už zase začalo sněžit, jsem stal kdyra tady uváře štěricický z autobusu, ale inak byla cesta plinulá, a kampun. Dneska budu voličovit, se otáč, vlastřihá jistá, neby je moc zlídí, když je marast, ale hodí se mě to, že je to dneska při cestě. To ještě nestačí tak jo, tak ještě nejaký budu. Polámál se maraméneček výto celá obora, opulnost zavoláli mravěnšího doktora. Doktor klep je na sadíčko, potom píše a recepis, s týkrá deně prášek z cukru bude pachlapík jako lýz.</t>
  </si>
  <si>
    <t>HIDI LONG_2700</t>
  </si>
  <si>
    <t>0.5588235294117647</t>
  </si>
  <si>
    <t>0.7205882352941176</t>
  </si>
  <si>
    <t>0.5</t>
  </si>
  <si>
    <t>0.6818264958629312</t>
  </si>
  <si>
    <t>0.5882352941176471</t>
  </si>
  <si>
    <t>7.555555555555555</t>
  </si>
  <si>
    <t>0.2222222222222222</t>
  </si>
  <si>
    <t xml:space="preserve"> V roce 47 se začal chodit do Základní osvěté cřední školy. Tři roky byla věžově. Potom jsem všechno učil na železní čáře. V roce trvalo 3 roky. Potom jsem všechno učil na Základní vojenskou. V roce trvalo v roku 1962. Potom jsem udečel do Brna, kde jsem šel pracovat do Královo Polské strojirny. Kde jsem pracovat z roku 1999. V roce 47 se začal chodit do Základního věžově.</t>
  </si>
  <si>
    <t>HIDI LONG_2800</t>
  </si>
  <si>
    <t>0.6490384615384616</t>
  </si>
  <si>
    <t>0.5432692307692307</t>
  </si>
  <si>
    <t>0.8852548005979225</t>
  </si>
  <si>
    <t>0.019230769230769232</t>
  </si>
  <si>
    <t>0.0673076923076923</t>
  </si>
  <si>
    <t>0.5119617224880383</t>
  </si>
  <si>
    <t>26</t>
  </si>
  <si>
    <t>4.25</t>
  </si>
  <si>
    <t xml:space="preserve"> Tak já mám teď tady asi 1,5 minut, je nebok, jak dlouho hovořit, o něčem nespíše kecat asi, protože si musím vymýšlet různé věci, které nemám tak vyučené, ale přijeli jsme sem do toho střediska, tady byl se v magnetické rezonanci, tam to do zloho trvalo, a ještě takové hluki různé se ozývali. A teď jsem byl u paň lokopetky, to po mě chtěla různé věci, které jsem nevěděl, že se teraz skouší u lokopeda, protože moje cera teraz studovala lokopedy. A teď zase tady vykládám nějaké nezmyslí z 5. přes 9. Jenom, aby se zistilo, co vlastně vykládám, nebo vlastně jaký mám hlas, nebo jste jich uhnám, nebo jste něco jiného, nevím, co všechno po mě budou chcít. No tak je to tady takový trošku temný, někde jsou sloupy z pohledového betonu, jsou taky trochu děrkovany, tak jsem měl pocit, že vypadaj, jakoby měli než čovice, ale brito tak má být, no tak budíš. Já teda vím, že pohledový beton to byla moda v osumášt, nebo v 60. letech, to jsme taky všechno navrhovali, že se dokonce se navrhoval i hotel s pohledovým betonem, no ale jsem si myslil, že dneska už jsme trochu dál, no ale tak dělá se pohledový beton tak proč ne, no.</t>
  </si>
  <si>
    <t>HIDI LONG_2900</t>
  </si>
  <si>
    <t>0.6914285714285714</t>
  </si>
  <si>
    <t>0.4685714285714286</t>
  </si>
  <si>
    <t>0.768595041322314</t>
  </si>
  <si>
    <t>0.8801143913643052</t>
  </si>
  <si>
    <t>0.4742857142857143</t>
  </si>
  <si>
    <t>21.875</t>
  </si>
  <si>
    <t>3.125</t>
  </si>
  <si>
    <t xml:space="preserve"> Takže, když mám mnou v minuto a polu mnouvit, o čemkoliv stejně si nedokážu vybrat, co člověk za minuto a pol dokáže říct třeba, já nevím, o svém povolání. Studovala jsem školou měcky hřemesel a poté jsem se celý život zabývala zařitománím interjérů ať už interjery. Vždyť, či jsou krome, práce to byla velice pěkná a potatě se nemůžu říct, že jsem v životě dělala nebo dělala práci, kterou bych dělala nera. Samozřejmě člověk se sedká a pté dom je z mnoha lidmi, některí jsou vstřítnější, některí jsou takový trošičku, jako uzavření, ale v někomu zařizovat vlastně soukromí. To je velice intimní záležitost a vždycky na to musí být dva. Jeden, kdo vám to chce, sprostředkovat, drugý, který to příjímá a tam je velice záležit na tom, s kým se člověk v tom momentě sedká. Takže není na to nějaké pravidlo, není nedobedu říct, co je najdoležitější snad důvěr a toho klienta, který se vám svěřuje s tím, kde bude jít, spát, kde by by byl mít položky. Vlastně je to taková hodně intimní záležitost.</t>
  </si>
  <si>
    <t>HIDI LONG_300</t>
  </si>
  <si>
    <t>0.6959459459459459</t>
  </si>
  <si>
    <t>0.4391891891891892</t>
  </si>
  <si>
    <t>0.8600237039122582</t>
  </si>
  <si>
    <t>16.444444444444443</t>
  </si>
  <si>
    <t>2.2222222222222223</t>
  </si>
  <si>
    <t xml:space="preserve"> Ménuju se Josef Rabenda, pokázím v Břeclavii, v Bidlím v Chávacské Nové Vsi, kde máme postaveny nový dom. Byl jsem zaměstnán u firmy Moravské naftové doli, pak jsem přešel soukromé firmy, kde jsem společníkem, to firma EDC. Mojím koníčkem je cestování a cestování hlavně. To znamená, že každý rok cestují tak asi na 10 až 12 dovolených v postatě každým měsíc. A nejdál co jsem byl nebo nejzajma věšší dovolená byla letos na Tahiti, kde jsme přeřili ostrovy Bora Bora, Moraja a tak dále. V minulý rok jsme byli na Hawaii, kdybylo taky hezky, ale Tahiti je větší příroda. Další můj koníček je cestování obytným autem. Dovolené se rozděleme na několik částí, to znamená, že je dovolená po hotelech, dovolená v kempech a dovolená v normálním osobním autem kde zjime. Je to všechno z důvodu, že jezdí s cerou, když je lítá, protože manželka se je bojí lítat.</t>
  </si>
  <si>
    <t>HIDI LONG_3000</t>
  </si>
  <si>
    <t>0.6502463054187192</t>
  </si>
  <si>
    <t>0.5073891625615764</t>
  </si>
  <si>
    <t>0.7575757575757576</t>
  </si>
  <si>
    <t>0.860315792259455</t>
  </si>
  <si>
    <t>0.029556650246305417</t>
  </si>
  <si>
    <t>0.0049261083743842365</t>
  </si>
  <si>
    <t>0.5436893203883495</t>
  </si>
  <si>
    <t>29</t>
  </si>
  <si>
    <t>3.857142857142857</t>
  </si>
  <si>
    <t xml:space="preserve"> Takže teď si připadám, jak Karol Godway v studiu. Sám jsem rád, když si spíval, bavil jsem se dobře hudbou, kde jsem kytarysta amater a spíval jsem u taboraku a podobně, a všem choroba, která mi zaskočila, mi trochu vzela možnost hrad na kytarou a spívat, protože si nedovědl dostatečně dobře vybavovat slabiky, zapomínal jsem texty a straktiv jsem schopnout udržovat rytmu na kytarou, kde jsem hral. Nic měne si to, co se tročinku zlepšila, teď jak ta choroba přišlačí, ta se změna radikálně horsimu, ale to cestlo o to, že jsem se dostal opetě paní pěrmářky rektorové. Ona mě trošičku zběnia měle, jaký častečně. A přitom se, při těch sezeních se unii změnila situace trošičku, že se mi zlepšila motoryka, zlepšilo se mi pohybování, zlepšilo se mi hůze, řečnění všechno. Takže znovastný zaczel učit hrad na kytaru, nebo se učím hrad na kytaru, znovastný zaczel učit texty, znovastný zaczel zpomínal texty, píšu si zpěvník, abych věděl co? Vlastně, nejdá. Dělal jsem to z toho důvodu, abych trošku si vylepšil tu situaci, aby byl znovu použitelný do nějaké společnosti, nenom se je jak pecka, protože s tou parkincnou chorobou to není dledu, že ve knení v úplne kondici a není tak úplně rád.</t>
  </si>
  <si>
    <t>HIDI LONG_3100</t>
  </si>
  <si>
    <t>0.6376146788990825</t>
  </si>
  <si>
    <t>0.5045871559633027</t>
  </si>
  <si>
    <t>0.7769784172661871</t>
  </si>
  <si>
    <t>0.846740771454707</t>
  </si>
  <si>
    <t>0.009174311926605505</t>
  </si>
  <si>
    <t>0.013761467889908258</t>
  </si>
  <si>
    <t>0.5642201834862385</t>
  </si>
  <si>
    <t>7.785714285714286</t>
  </si>
  <si>
    <t>0.6428571428571429</t>
  </si>
  <si>
    <t xml:space="preserve"> Tato je to znamená, že už teda semil do spokojčí lévěku. Narodil jsem se rok po válce 46. roce. A v rodině zemědělské na dědín ve navesnici. Z tím byl spojený můj život. Hrátky s klukama na hloučkách, na plácku, v fotbal. To byl můj živel jako kluka. Můj dělal můj živel a pláseří traží do teď. Fandim Pražské slávy. Takže nemám rád žádný rozpartiana. Ale v Fandim slávy je to vždyč vod, kde jsem poznal jednoho fotbalistí. Mělo se Przádam. Byl to věníkavící fotbalista slávy. To je asi fotbal. Ještě jsem se měl hrál fotbal závodně. V Zamoravské budělice to byl okrejstní přebor. Nebo první třídak, a jeský přebor, co jsme hrál. Takže nic moc jsem v úuspěchu v tam, kde dosáhl. Proste to byl, byl to s mnou získált fotbalem hodně kamarádu. Hodně známých. Inak jsem celý život pracoval zimědělství, pracoval jsem jako technik, vystudeval jsem vysokou školu zimědělskou v Černých Polích Brně. V roce 77. Byl odpromoval. Rok jsem byl na bojně, to je če byla bojina samozřejmě. Už jen díky fotbalu jsem byl v dukle jemice, takže jsem víc vypřižival. Hovod po fotbalu než bojančiny. V zimědělským závode jsem vykonával funkci techniká, měl jsem na starosti život čišnou výrobu, krávy a prasátka. Je hlavně krávy, takhle prasáts mi měli omezeně, dojnice samozřejmě a výkrma.</t>
  </si>
  <si>
    <t>HIDI LONG_3200</t>
  </si>
  <si>
    <t>0.5681818181818182</t>
  </si>
  <si>
    <t>0.72</t>
  </si>
  <si>
    <t>0.7967835267522825</t>
  </si>
  <si>
    <t>0.03409090909090909</t>
  </si>
  <si>
    <t>0.03977272727272727</t>
  </si>
  <si>
    <t>0.4715909090909091</t>
  </si>
  <si>
    <t>22</t>
  </si>
  <si>
    <t xml:space="preserve"> Tak bohužel, nejsou žádný řečnik, ale pokusím se vzplnit ten ukol, který jste mě dál. A ráda bych věděla, kolik lidi se, nebo, jestli se vůbec přihlašujou lidi tady na tento vyskum. A já jsem si teda přihlásila z, vicemeně na nálehání moji, jedné moji kamarádky. A tak jsem nesráno, když tomu musela toří vztávat, musela jsem dospospíchat, těžko jsem si uvědomovala, jak se jsem dostanu, i když jsem to dostala předtím vysvětle, nejastě mě to moc nebo mohlo. No tak jsem přijela tím autobusem, který teda tady má konečnou, musela jsem se zeptat na cestu dál, no a tak jsem tady a teď teda horko těžkou něco vykládám. Ale spomínám na to, když chodíme s kamarádkami a na turistiku, že mě to velice baví, i když už špatně chodím a dělá mě to velký potiže. A doufám, že mě to ještě vydržit, chystám se na operaci, doufám, že dobře dopadne, když jednu operaci už mám za sebova, a ta nedopadla moc dobře. No ale přesto se na to chystám a doufám, že to dobře dopadne.</t>
  </si>
  <si>
    <t>HIDI LONG_3300</t>
  </si>
  <si>
    <t>0.6858407079646017</t>
  </si>
  <si>
    <t>0.43805309734513276</t>
  </si>
  <si>
    <t>0.8193548387096774</t>
  </si>
  <si>
    <t>0.8910790891425284</t>
  </si>
  <si>
    <t>0.017699115044247787</t>
  </si>
  <si>
    <t>0.035398230088495575</t>
  </si>
  <si>
    <t>0.5550660792951542</t>
  </si>
  <si>
    <t>16.142857142857142</t>
  </si>
  <si>
    <t>2.857142857142857</t>
  </si>
  <si>
    <t xml:space="preserve"> Jeden tak doufám, že jsem příšla jako obykle v čas, málo kde chodím pozdě. Já si myslím, že díky té komunikace jsem jezlepší celý můj zdravotný stav. Výra taky hodně pomáhá, je to vlastně lék. A kdybych ještě chtěl hovozit o tom celem tady programu, tak bych se chtěl zdiplnit ten sejtek. Sejte jako cene, jako eš, jako v angličně by se ono normálně četlo. Před pokladám, takže počítám, že po těch záznamech od různých, od různých lidí uděláte tabulku vyslenu a vyhodnotité, co a jak, jak se dá to léči, nebo ne léči, nebo a spoň utržet v dlepším stavu. Tam je to dneskutečně dlouha. Takže co vyhodnotit, takže s dneska zase bude kolendráce třetí stupňu. Já si myslím, že bude teplo neovikle, a že zase překročí se limitní hodnoty, které byli naměřili nejmeně v uplynulých třícetí letech. Když se podíváte na večeřní správy, na počasí tam vždy vidíte, že je jasna obloha sluníčko, jako kdybyl úprostřed léta, ne jako korec řína. Možná, že je to vlivem od celkové oteplování. Jindak, co ji mám chtěl říct, dneska bylo krášně dobře se mě vstávalo do prava jakž takš. No, vynišle si stačila koupit, a já si myslím, že už by měl z koto tam minut a půlby, když ne, tak budu pokračovat dál. Takže když se podíváme spátky na průběch celé témé nemocí, tak si myslím.</t>
  </si>
  <si>
    <t>HIDI LONG_400</t>
  </si>
  <si>
    <t>0.7244897959183674</t>
  </si>
  <si>
    <t>0.3979591836734694</t>
  </si>
  <si>
    <t>0.8309859154929577</t>
  </si>
  <si>
    <t>0.8899519933664324</t>
  </si>
  <si>
    <t>0.030612244897959183</t>
  </si>
  <si>
    <t>0.5532994923857868</t>
  </si>
  <si>
    <t>15.076923076923077</t>
  </si>
  <si>
    <t>1.6923076923076923</t>
  </si>
  <si>
    <t xml:space="preserve"> Tak to zkusíme raz dva, tři, my jsme bra tři. A včera bylo hrozný počasí. Výtr neustále fókal. My máme soustále, který tam předůstá borovice na naš plot tlačín na desky plotu a na sloupek. Ještě dobře je, že máme to znovicírovany, úplně nový. Je to de facto betonem a armovanem. Takže by to mělo vydržet, ale přesto budeme můžete se stůle spromluvit, aby nám nechal věté vůřezat. Včera byli, no předestě byli u nás sín. Byli někde s mnou a jí manželem, byli kde je v šantánu. Tam se povávili a druh nec, včera měl přede včílem vlastně to bylo. Včera ráno odižděl do Prahy a poslala nám z cesty v nučce asi si šes nebo osum SMS-ek nebo MMS-ek, kde je ukazoval, jak to bylo nadál níc před Prahou. Byla ta spouš hrozná, vůbec se nedivím, že tam někde řádil ten tyfuno vychřice na České poměry hodně a že to padalo různě trhalo z třechy, padalo to na auta. Do konce dva lidé byli zabití, jeho podlet jedna mladá divka na Třebickém okresě a jeden starší pán, myslím někde na Liberetskou spadlené přímostrom, byl nakupovat a bouh dělal teda nákupiv, teda přestali.</t>
  </si>
  <si>
    <t>HIDI LONG_500</t>
  </si>
  <si>
    <t>0.5296296296296297</t>
  </si>
  <si>
    <t>0.5962962962962963</t>
  </si>
  <si>
    <t>0.7622377622377622</t>
  </si>
  <si>
    <t>0.7869095552336499</t>
  </si>
  <si>
    <t>0.022222222222222223</t>
  </si>
  <si>
    <t>0.07037037037037037</t>
  </si>
  <si>
    <t>0.45925925925925926</t>
  </si>
  <si>
    <t>22.5</t>
  </si>
  <si>
    <t>0.5456774671016171</t>
  </si>
  <si>
    <t xml:space="preserve"> Tak je ono, nevím o čem bych náho považný, táhle mě bych se traktala o mnovi, že jsem zase přišla pozdějá, ale není tím, že bych byla nedochvělná, ale je to tím, že v prostě jsem nájá bolastí, a by je se mě celou nocem nespala. Jsem prochodila, prolitala prostě v bolastích pobitěm. Uznala jsem, že zoděhrával, kdy mě ty bolasti trošku polavili. Jsem si zálení kolik prášku prostě, pro ti bolastí tak mě to trošku se polavilo. A spala jsem ty třešti žihodiny, a to potom jsem taková, že jsem nejsem snad v sezbudit, takže prostě sezbudit, jak to půjde nejdřív, v děcky, a jak nejště se vypráví, mám ještě mnou problém s pravou hrukou, takže než se boblečou a to tak prostě, takže to nesťěnu, no, tak jsem ráda, že jsem vás půjď tak to nějak stihla, jak to, jak to šlo, no. Nenak v sobotu jsem byla večeru divadle na druhé premié, že v hdí divadle meneval se to E.O.L.F. a bylo to od Henrika Ipsená, jako nějaké drama. Já jsem, jako mělá, mělá jsem vědět, že prostě to je norský autora, dramatik, a že prostě to bude nějaká tragedie, ale nedokázala jsem se nějak, jako by dal dohromady, takže jsem si to koupil, to líste, jak by se byl ten, že ta režie byla tak od šesná, že půlku to představení prostě ti hrci odehráli za sklem v takovém malém mísnůce. A vůbec nevylezliven, takže to byla, přerášalo se to videoprojektci na plátno, takže to bylo ještě, kdyby byl v Kýně a viděl prostě film nějaký v dálce a ještě prostě, jako rád...</t>
  </si>
  <si>
    <t>HIDI LONG_600</t>
  </si>
  <si>
    <t>0.8407079646017699</t>
  </si>
  <si>
    <t>0.25663716814159293</t>
  </si>
  <si>
    <t>0.8842105263157894</t>
  </si>
  <si>
    <t>0.922391958556405</t>
  </si>
  <si>
    <t>0.02654867256637168</t>
  </si>
  <si>
    <t>0.6460176991150443</t>
  </si>
  <si>
    <t>6.647058823529412</t>
  </si>
  <si>
    <t>0.35294117647058826</t>
  </si>
  <si>
    <t xml:space="preserve"> Můžu mluvit o čemkoliv, přemišlím, jestli mluvit o koníčkách nebo zálibách sportu. Ale mým problémem, proč jsem zde je vyskům. U mě problém parkejzonová choroba. Mám ji už 9. rok. Slažím se s tím nějakým způsobem vyronávat. Lečba neexistuje. Lek mi pomáhá využívat zbytkového dopamina. Nejvíc mi pomáhá pohyb, cvičení, sport. Nejradějí jerejů tennis. Když poslední dobou jsem byl zraněný na trhle sensí šlachy. Po dělal sem operaci kotníkových vazu. Teď jsem se dostal dostlepe uličky, nevím o čem mám mluvit. Moje další záliby jsou sportovní ližování. Těším se, že si tu zimu zaližujem. Minulou zimu jsem nemohl, protože jsem ležel po operaci. Samozřejmě si zabývám zajímám o nové metody lečby parkejzonových chorobí.</t>
  </si>
  <si>
    <t>HIDI LONG_700</t>
  </si>
  <si>
    <t>0.6846153846153846</t>
  </si>
  <si>
    <t>0.47692307692307695</t>
  </si>
  <si>
    <t>0.7640449438202247</t>
  </si>
  <si>
    <t>0.8456470426986344</t>
  </si>
  <si>
    <t>0.023076923076923078</t>
  </si>
  <si>
    <t>0.015384615384615385</t>
  </si>
  <si>
    <t>0.5461538461538461</t>
  </si>
  <si>
    <t>32.5</t>
  </si>
  <si>
    <t xml:space="preserve"> Máme doma zýřadko, nevolí pec, jak se ovoří, je to hovat, Ainka, čili domací pece jako, zřívec my chodíme v lozké každý děláno a večer, ale teď už jako už je chodím, takže je to hmeně a takže mi vysílel moželka. Ainka je v níhova, má osm let, hrokej zuby a osm 40 kg, pozouhá dobře, byl vycíčená dobře, dobře více má dělat, takže když chodíme s nočkem na plcházku, tak ho vrani proti ozadním psun, a vy se má nelepe, jak se vám chovat. Patříme do její směčky, všichni, takže se nás sta, připrká se, když názim je nepsi, tak se dostaví a zvední si, až čeká napojala, co bude dělat. Když má dovoleno si polvýnout ty oslední psi, tak není agresivní, ale chovat se, uměrně, je vycíčená dobře.</t>
  </si>
  <si>
    <t>HIDI LONG_800</t>
  </si>
  <si>
    <t>0.6538461538461539</t>
  </si>
  <si>
    <t>0.46794871794871795</t>
  </si>
  <si>
    <t>0.8137254901960784</t>
  </si>
  <si>
    <t>0.8151570429095629</t>
  </si>
  <si>
    <t>0.01282051282051282</t>
  </si>
  <si>
    <t>0.46153846153846156</t>
  </si>
  <si>
    <t>2.6</t>
  </si>
  <si>
    <t xml:space="preserve"> Takže dneska jsem nemohl dospat, takže jsem stával už kolem 5 hodiny a šel jsem se umít nasnidat a šel jsem odhrbata utot sněhu. Jel jsem do práce, v práci to bylo trošku action, takže bylo co dělat. A kolem 12 hodiny jsem odžděl domů, bych si vzal věci sebou a dojel do Brna. Tady jsem to měl trošinku před přípravený, takže jsem viděl kam asi kterým směrem pojedu. Parkuju teďka uteska, protože tady jsem nenašel žádné místo. A díval jsem se, že jsou všude závory, takže nevím, jestli je to na kartu nebo na co. A budu se těšit na další setkání, co mě bude čekat. A to čekávám o to, že třeba si zustanu v nějaké kondici dobré a že to potvora nemoc se mi podaří nějak položit na lopatky. A že budu se trošku líp. Tedy něčekášte cesta domů, jsem tady s manželkou na poprvé, takže se pojdem ještě podívat někam po Brně.</t>
  </si>
  <si>
    <t>HIDI LONG_900</t>
  </si>
  <si>
    <t>0.5695652173913044</t>
  </si>
  <si>
    <t>0.5782608695652174</t>
  </si>
  <si>
    <t>0.7404580152671756</t>
  </si>
  <si>
    <t>0.8140068971548815</t>
  </si>
  <si>
    <t>0.013043478260869565</t>
  </si>
  <si>
    <t>0.5281385281385281</t>
  </si>
  <si>
    <t>115</t>
  </si>
  <si>
    <t>16.0</t>
  </si>
  <si>
    <t xml:space="preserve"> Zkusíme to s toho zahrátkou, jsme si obstaravili, jsme si zahrátkou v lani na jár a já jsem zjistilku podívu, že je ma to docela zaujalo a baví ma to, lebo tam je furt co robiť. Furty práca člověk nesedí u televizi doma, nekuká sa do stropu a využívá ten čas praktickým sposovom, takže jsme začali v lani a to si manželka rozmyslala, že si obstara tu zahrátkou, vždycky potom tu že já při tom něco můžu žiadný záhradník, mě to nebaví v podstate sadyť na sliny a vypestojte to ma nebaví, ale zase baví ma ten tam je taká halůbka obývatelná baví mají roširovat, upravovat a robí také věci okolo to a tento rok už se rozhodli jsme se, že si tam urobíme pěkný trávnik tak tento rok už se připravujeme na to je docela suchá zima tak důfam že nebude dlázima ale bo kdyby bola dlázima tak bude neskoro na trávnik nedá se to robiť mrazoh jako důfam že už to marci by sa trošku mohlo oteplit a čaká nás potom ta práca že si tam urobíme ten trávnik a máme to kusok odbrna je to taká krásný relaxačný městočí že nasa může bavit ze svojimi kvetinkami a koreninkami a mrkvičkami a já zase se možem tam vyblbnuť ten dělní a je to na takovém zájvěvám městě že je to vysoko úplněn hore na kopci a je tam</t>
  </si>
  <si>
    <t>Kardiovize_1087</t>
  </si>
  <si>
    <t>0.66875</t>
  </si>
  <si>
    <t>0.45</t>
  </si>
  <si>
    <t>0.8217940961492468</t>
  </si>
  <si>
    <t>0.00625</t>
  </si>
  <si>
    <t>0.4625</t>
  </si>
  <si>
    <t>0.6675103255503483</t>
  </si>
  <si>
    <t xml:space="preserve"> Včera hranu jsem stála, musel jsem se rychle nasnidat, protože jsem musel jít na náku, který manželka potřebovala. Trochu mě to trvala, nejsem si myslel, ale přece jenom jsem vyrazil v čas, všel jsem postupně po obchodě a vybíral jsem podle svého lístečku věci, které mám nakoupit. Pak jsem došel k pokladně, ale byla tam strašná fronta, tak jsem se přesunul na pokladny, které jsou sam obsružné a pomaluj jsem se do sáhl toho, že jsem všechny ty v svoje položky odklikl a zaplatil na té samostatné. Byl jsem z to spokojený, protože vždycky mi to dělá problémy, ale už jsem se to naučil, se tu dobu co na ty nákupi chodím a pomaluj jsem se vydal domů, s radości, že mám všechno splněno a že všechno nesu v kabelé domů. Přišel jsem a řekl, kdo se zlepšil, všetne zapoměl si nic koupit, tak to je velmi dobrý, děkuju ti a tak jsem si sedl potom testov, kde byl a...</t>
  </si>
  <si>
    <t>Kardiovize_1091</t>
  </si>
  <si>
    <t>0.7456140350877193</t>
  </si>
  <si>
    <t>0.38596491228070173</t>
  </si>
  <si>
    <t>0.8235294117647058</t>
  </si>
  <si>
    <t>0.8630357044081343</t>
  </si>
  <si>
    <t>0.008771929824561403</t>
  </si>
  <si>
    <t>0.017543859649122806</t>
  </si>
  <si>
    <t>0.5263157894736842</t>
  </si>
  <si>
    <t>11.4</t>
  </si>
  <si>
    <t>1.1</t>
  </si>
  <si>
    <t xml:space="preserve"> V sobotu a v neděli jsem měl krásné dny, protože jsem je starávil s príma kamarádama, s rodinou. Měli jsme takový zážitek, že jsem vystupoval na portě, kde jsem si po první v životě zahrál. Právě s kamarádama, kterým mám rád, bylo to úžasné. Jeli jsme na vysočinu, kde v celku byla zímá, ale když vysvítlo sluníčko, tam bylo krásně. Byly jsme v kamenici nad Lípou, ve vlasenicích. Jako kapela jsme se zúčasnili po prvé, skončili jsme na 4. krásné místě. Dokázali jsme vyhrát portu, diváckou. Všichni byli docela nadčení, kde jsme si zahráli, udělali zábavu, udělali muziku. Kdo tam se mnou byl? Jak jsem řekal rodina, moje dvě cery, moje manželka, kamarádi, zrobek.</t>
  </si>
  <si>
    <t>Kardiovize_1096</t>
  </si>
  <si>
    <t>0.4198473282442748</t>
  </si>
  <si>
    <t>0.7835051546391752</t>
  </si>
  <si>
    <t>0.8839978727233705</t>
  </si>
  <si>
    <t>0.022900763358778626</t>
  </si>
  <si>
    <t>0.03816793893129771</t>
  </si>
  <si>
    <t>0.549618320610687</t>
  </si>
  <si>
    <t>26.2</t>
  </si>
  <si>
    <t>2.8</t>
  </si>
  <si>
    <t xml:space="preserve"> partner narozeniny, šli jsme je oslavit do restaurace EFI na hnámě zki 28. října, byly jsme tam po prvé v té restauraci a vypadalo to tam hodně, hodně hezky, nechci říct luxusně, ale moce nám tam líbilo, jidlo bylo taky skvělý. Primo jsme viděli, jak kocháři připravují jídlo, my jsme si dali řízky, který se předem v nějakých, jako misnostech, jak bych to se vyjádřila, jako se tam, jako uloží, tak asi po 30 dnech se z toho připravuju jídlo, takže ty byly skutečně velice kréhočky, někdy jsem takový dobrý řízky nejedla. Na zdárovení tam mají vlastní výrobu piva, takže jsme si dali malé pivo, a bylo to tam velice příjemný. No nevíme si tam pojdem ještě příště, protože ty, ta cenová hladina je trochu víš, než li pro nás duchodce.</t>
  </si>
  <si>
    <t>Kardiovize_111</t>
  </si>
  <si>
    <t>0.7329192546583851</t>
  </si>
  <si>
    <t>0.9032346725607289</t>
  </si>
  <si>
    <t>0.006211180124223602</t>
  </si>
  <si>
    <t>17.88888888888889</t>
  </si>
  <si>
    <t xml:space="preserve"> Takže můžu začít. Můj den vstávám tak v opul štvrté, nachystám svačinu, snídání a ve štyři odcházíme do práce. V práci jsou ve štvrt na pět, pracují do půl druhé a po práci běžná činoz nakoupit, uvařit něco se poklití. Včer se však vyděláváme bez ospát, je tak 8 hodin a u televize usínáme. O víkendu je změna, vpátek vyrážíme nachatu, bědeme od mladých psa, labradorku Daphinu a jedeme. Nachatu se těší taky, přijedeme většinou kolem 5, zatopíme, jádu se psem ven, tak hodinová a půl vycházku a manžel topí. A po víkendu sobota neděla většinou jezdíme na víkend, pracujeme kolem zárádky, děláme drvo, kácíme strom, manžel teda, já ne. Ale pak to rozřezáváme, štípeme, uklízíme. Někdy si vejme na víkend vnoučata, máme celkem 5 vnoučá, takže bude bědeme dvě berna, ty bydli o bosonohách, ale nebo když přijedou další vnoučata máme v rakovníku, to je za prahou, směr berou, na rakovník, tam jsou 3 vnoučata, tak někdy si berem je.</t>
  </si>
  <si>
    <t>Kardiovize_1120</t>
  </si>
  <si>
    <t>0.7243589743589743</t>
  </si>
  <si>
    <t>0.8941991066782145</t>
  </si>
  <si>
    <t>0.04487179487179487</t>
  </si>
  <si>
    <t>0.6217948717948718</t>
  </si>
  <si>
    <t>1.6</t>
  </si>
  <si>
    <t xml:space="preserve"> Jezíme na koní ve svém věku s mlučkama. Jezíme do přírody, jezdíme po vysočině, berem sebou psy, kteří nás doprovází úžasná příroda krásný kraj. Všichni si to užíváme. Jak štvernož si tak i mě jesti, je tam krásná příroda, takže se nám tam moc líbí. Malá vnučka má 4 roky, má svého velkého koně, starší má 10 let, já jim dělám do provoc, chodíme tam často jezdíme na vysočinu a máme to tam moc rádi. Já ještě toho využívám ze svým psém, takže děláme velké vycházky, ktury známe už tam i lidi, takže nás poznávají. Mazlise s mým psém je to 3 lety křížanác velky, ale milovník. Jak zvýhrat, tak lidí. Taky zavítáme do restaurace, kde se nám všem líbí, chováme se tam slušně i to zvýhře, štyřnohéme, je společenský pes a umí se v restauraci chovat. Budou zečínají prázdný, tak už se těšíme na společná setkání, na společné výlety a budem si užívat krásné pohody.</t>
  </si>
  <si>
    <t>Kardiovize_1121</t>
  </si>
  <si>
    <t>0.7016574585635359</t>
  </si>
  <si>
    <t>0.425414364640884</t>
  </si>
  <si>
    <t>0.8188976377952756</t>
  </si>
  <si>
    <t>0.8768231052705262</t>
  </si>
  <si>
    <t>0.016574585635359115</t>
  </si>
  <si>
    <t>0.5737704918032787</t>
  </si>
  <si>
    <t>20.11111111111111</t>
  </si>
  <si>
    <t>2.888888888888889</t>
  </si>
  <si>
    <t xml:space="preserve"> Takže na záhráce nejčastěji pěstují rajčata. Tysi předpěstovám sám, to znamená, že někdy koncem března si zasadím semínka na okno a pak jak začnou klíčit, tak je přesadím. A sazeničky předpěstovám asi do konc nebo do poloviny tohle květná, kdy je, jak se říká, pozmrzlejch a po těch zmrzlejch už se sazeničky dávají ven. Mám na to takovou speciálitu, že dávám do třsu po štyřech, ten má vykopu si menší díru, do prostředka dám flášku od limonády, asi budlitrovou nebo litra půl. A do ní udělám pár dírek a kolen do kola vzadím do čtvrce týž štyři sazeničky. Výhoda je v tom, že když je hodně sucho, tak se dotelá venaleje voda a ona po maličku proliná do ludopudii a je zabrání se tomu, aby ti rajčata nějak usíchali. Samozřejmě když hodně prší, tak se tam nic takhle nalívá. Ještě k dnešku sazeničku vzadím, tak se tam snažím vždyčky na spodek, nastříhám pár kopří, vdám tam nějaké kopří, aby to bylo takový dosíkatý hnojivo, můžu tam dát pár granulí nějakého čeba chlebského hnoje nebo slepitince. Sazenička se zasadí většinou ze šikma.</t>
  </si>
  <si>
    <t>Kardiovize_1127</t>
  </si>
  <si>
    <t>0.5721153846153846</t>
  </si>
  <si>
    <t>0.5865384615384616</t>
  </si>
  <si>
    <t>0.7226890756302521</t>
  </si>
  <si>
    <t>0.8145293909917054</t>
  </si>
  <si>
    <t>0.014423076923076924</t>
  </si>
  <si>
    <t>0.5406698564593302</t>
  </si>
  <si>
    <t>34.666666666666664</t>
  </si>
  <si>
    <t>3.5</t>
  </si>
  <si>
    <t xml:space="preserve"> V tomisnost mě inspirala zelená barvák, báznice nebo v říkalu v zeleném háičku na dřeku umetují, našel jsem pájíčku, teď do maletují. Což je inspirat tý zelená barvá ty skríníky, které jsou tady tady pod stropem uměstěný. Po stropem máme zásuvky na 230 V, jsou tady aji zásuvky pro počítače, pak je tady stůl, který vidím, který má taky, si je inspirovan zelenou barvu, k tomu tomisnosti, která se mě vstupem zdála, jako by jsem vstupovat proti atomovýho krytu. Je to zvláštní tady to oddělení. Pak tedy máme na vrchu odsávání, záhryvky, to bude tak, jsou tam vidím, že tady vy měnili diodovi, že tady dřív byli na, to bylo na tak, konu 20 V, 18 V, 4 kusi, teďka tam jsou 4 kusi záhryvek, který jsou na diodovým principu. Dále tady máme, když se podíváváme do zladov, tak mám za sebou zástěnu černou kuli zvuku, která je tady umístěná, aby bylo tady lepě slyšet, pak to je máme kufříky, které jsou mě neznámí, pak tady máme býhled, no to je taky taky, jako k tomu krytu zajímaví, že místo okna je zde umístěná takový, takový nevětěný, takový nevětěný, takový nevětěný, takový nevětěný, takový nevětěný, takový nevětěný, takový nevětěný, takový nevětěn Vím, jak to popřed, ale je to</t>
  </si>
  <si>
    <t>Kardiovize_1141</t>
  </si>
  <si>
    <t>0.7058823529411765</t>
  </si>
  <si>
    <t>0.43315508021390375</t>
  </si>
  <si>
    <t>0.803030303030303</t>
  </si>
  <si>
    <t>0.8779598966145707</t>
  </si>
  <si>
    <t>0.0106951871657754</t>
  </si>
  <si>
    <t>0.5585106382978723</t>
  </si>
  <si>
    <t>23.375</t>
  </si>
  <si>
    <t>4.375</t>
  </si>
  <si>
    <t xml:space="preserve"> Já jsem taková hlídací babička. Mám dvě děti, syna a ceru. Cerá má dvě děti, takže často hlidám vnučky, beruje ze školy tu mlačí, protože cerata jezdí i mimo Brno a syn ten zase mýval asi čtyři kočičky, s Fynxi. Ty jsem taky chodila hlída, když je li na dovolenou nebo tak. A to bylo docela složité, protože tam se musela chodit ráno a večer. Oni nechodí ven, to jsou kočky, které jsou jenom doma. A taky mají štyři slepičky, takže i teď dneska třeba jsou skoro štnázní na dovolené, na motorce, jeli kolem balatonu a do chorvácka, jestli se ještě vykoupou a tak, takže já zase chodím jednou deně nakrmit slepice, chvilku je vypustit do zahrady, protože oni jsou jinak zaplotem v malém prostoru, tak aby se trošku nazobali i trávy, až a vhrabali v hlíně a tak akorat, že oni jsou strašně rády, když jsou vypustěný ven a vyskočí do třeba vyvýšeného záhonu tam všechno rozhrabou, hledají brouky a žižali a nevím co všechno. No a jinak, úsina taky mám kout, kde si pěstují hlavně kitíčky a bilinky, jinak se tam nic jiného vypěstovat nedá.</t>
  </si>
  <si>
    <t>Kardiovize_1148</t>
  </si>
  <si>
    <t>0.5413533834586466</t>
  </si>
  <si>
    <t>0.7261904761904762</t>
  </si>
  <si>
    <t>0.8078687969628684</t>
  </si>
  <si>
    <t>0.6240601503759399</t>
  </si>
  <si>
    <t>26.6</t>
  </si>
  <si>
    <t>2.4</t>
  </si>
  <si>
    <t xml:space="preserve"> Tak jsem ženatý, 52 roku, mají manželka semínové, ale naště pánová. Mám pět děti, nejstarší semínové dita, má 52 roku, potom je syn, marcel, ten má 53 roku, ten je ženatý, má 8 děti, potom je cera Petra, která má 48 roku, to je svobodná. Má mě dáší cera Monika, která je vdaná, má 6 dětí, že v Irsku má zamánžila Inda a poslední páte děti mojej syn Viktor, který bude mít letos 40 roku, je ženatý a má 3 děti. Bydlíme v rodiném domě sami, tá první cera, tá je rozvedená, tá prostřední cera je svobodná. Bydlíme ve velkém rodiném domě, máme záradu, jsou svobodnými stromy a okrasnými, tedy nám květla krásně magnolí, ale je to takový strom, že květ jen ho chvíl a potom je kolem něho nepořádek, který musím uklízet.</t>
  </si>
  <si>
    <t>Kardiovize_1152</t>
  </si>
  <si>
    <t>0.7222222222222222</t>
  </si>
  <si>
    <t>0.42777777777777776</t>
  </si>
  <si>
    <t>0.7923076923076923</t>
  </si>
  <si>
    <t>0.8960301758151065</t>
  </si>
  <si>
    <t>0.016666666666666666</t>
  </si>
  <si>
    <t>0.03333333333333333</t>
  </si>
  <si>
    <t>0.5055555555555555</t>
  </si>
  <si>
    <t>36</t>
  </si>
  <si>
    <t>5.6</t>
  </si>
  <si>
    <t xml:space="preserve"> O výkendu jsme měli takové naše výročí svatby a dostala jsem nějaké dárky, kromě jiného i květinu hortenzí, což mě udělalo starost, protože nevím kam je vám zasadit. Musí to mít polostin a tak teď chodím vždruhý den po zahradě a hledám, kam bych to květinu zasadila. Kromě toho jsem vykopala i nějaké kere, které se tam už nehodili a tím jsem si udělala trošku pořádek na zahradě. Takže se věnuju víc tady této činnosti, než co jsem měla v plánu, že jsem chtěla umívat okna, což jsem odkládala pořád, protože jsem mě zdále zima, ale teď už se do toho musím pustit, protože nás čekají zase ještě další rodiné oslavy, kdy teda můj vnuk bude mít dvá, dvacet roku, zeď bude mít 51 roku, takže bude další oslava a to už musím mít všechno nachistané a oklýzené včetně těch okén. Potom jim budu dělat takový jahodový dord, který si všichni oblíbili v naší rodině, až ti nějaké slané občerstvení a to se domlouváme, protože mám dvě cery, tak každá něco donese, něco k zakousnutí a samozřejmě něco k pítí.</t>
  </si>
  <si>
    <t>Kardiovize_1160</t>
  </si>
  <si>
    <t>0.6911764705882353</t>
  </si>
  <si>
    <t>0.41911764705882354</t>
  </si>
  <si>
    <t>0.8404255319148937</t>
  </si>
  <si>
    <t>0.8293162920087679</t>
  </si>
  <si>
    <t>0.007352941176470588</t>
  </si>
  <si>
    <t>0.6176470588235294</t>
  </si>
  <si>
    <t>17</t>
  </si>
  <si>
    <t>1.5</t>
  </si>
  <si>
    <t xml:space="preserve"> Mám rád futbál, venoval jsem se mě dlhé roky futbalu, radco chodil na terení a na terení byla první na zabáva s pouhračmi. A bylo to pevně vždyčně úžasné nastupit na mesterský zápas, za hračmi, který jsou malo rád a by se s tím spoupatcoval na zápase. Bylo ideálné sa sustvrdit na prvých výst rozhodců a začalač akciou futbavou. Bylo perfektně dostať príhravku od spouhrača, daj mu spátky a hlavyčko davať gole. Po víčasném zápase povádel KF oria vždycky a všatní v posprchami se už sačal oslavit. Po zápase vlastně, a po sprche jsme jichli vždycky s cava skupina hráčov, do reštrace na obet, na večeru a byla vždycky príjavna zábava. Potom vlastně jsem vždycky odcházal rád domů za rodínou po zápase a ráco s větkým se u rodínou s dětmi vždycky stretou. Takhle tak všechno.</t>
  </si>
  <si>
    <t>Kardiovize_1175</t>
  </si>
  <si>
    <t>0.7181208053691275</t>
  </si>
  <si>
    <t>0.436241610738255</t>
  </si>
  <si>
    <t>0.7850467289719626</t>
  </si>
  <si>
    <t>0.8705531167963854</t>
  </si>
  <si>
    <t>0.013422818791946308</t>
  </si>
  <si>
    <t>0.026845637583892617</t>
  </si>
  <si>
    <t>0.5436241610738255</t>
  </si>
  <si>
    <t>37.25</t>
  </si>
  <si>
    <t>3.25</t>
  </si>
  <si>
    <t xml:space="preserve"> Včera jsme byli na výlete, byli jsme v žebou v seskách u rozledního ledna, vycházeli jsme cesto od prasátek, všli jsme tam a spátky, vzdálenost asi 7,5 km, po to jsme vyštovou plin na rozledno, asi 209 schodu, krásná procházka, bylo krásné počasí, v lese bylo krásně, viděli jsme nevérky, dokonce i jednoho daňka, ležela si 10 m od nás, náš pesku po dívu neštěkal, ale jiné bylo všechno v pohodě. Prasátka jsme viděli taky, bylo tam, jak ukázali v televizí, jedno takové dívné bílé, taková srandovní barva, vůbec to jako nebylo prasátko, výlec se zdravíl a ani nás moc nohy neboleli, ale to všechno v pohodě, tak jsme potom jeli domů. Ještě něco, může? Dobre? Jo. Jak jsme se vlátili domů, tak jsme si juli dobrý objet, odpočvíli jsme pod lohem výlece, alež pes taky ulegli, ale se jel asi 5 hodin beznutí, uvece nehybála, byl unavený.</t>
  </si>
  <si>
    <t>Kardiovize_1186</t>
  </si>
  <si>
    <t>0.7423312883435583</t>
  </si>
  <si>
    <t>0.3803680981595092</t>
  </si>
  <si>
    <t>0.8856990028078998</t>
  </si>
  <si>
    <t>0.006134969325153374</t>
  </si>
  <si>
    <t>0.012269938650306749</t>
  </si>
  <si>
    <t>0.5644171779141104</t>
  </si>
  <si>
    <t>20.375</t>
  </si>
  <si>
    <t xml:space="preserve"> Každý den začínám tím, že stanu. Nasnídám se, umí se, vymůří své leky, popovídám si svojou ženou. Potom se seberu a jdu na zahradu, kde dělám něco, koupu, sázim, nebo jenom tak posedám a koukám, co kde lítá nebo sedí. Je to docela zajímavé, protože tam je to zelené, někdy je to i červené, když je moc slunka a pálí a je sucho jako ten rok, kdy nepršelo pořádně. Bylo zapotřeby hodně zalévat stromy, které měli v zemi málo zvláhy a vypadalo to, že uschnou, ale nyní místo toho zmrzli v době, kdy kvetli a kdy měli mít násadu plodu. A kupodivu i kdy jsem stříkal postříkama prti větopasu a kvůli kadeřelvosti, tak stromy dostali kadeřelvost a takže letos s velkými potížemi bojeme zhaněn. Merojníky, broskle, švestky, ale snad japka, která teď po květou budou na tom dobře a bdají úrodu, jak byla vloní, která byla rekordní, ale to se neví, co z japka má. Prdávají se kupodivu u nás i dvozová japka.</t>
  </si>
  <si>
    <t>Kardiovize_1202</t>
  </si>
  <si>
    <t>0.8333333333333334</t>
  </si>
  <si>
    <t>0.2777777777777778</t>
  </si>
  <si>
    <t>0.8666666666666667</t>
  </si>
  <si>
    <t>0.9054377788499226</t>
  </si>
  <si>
    <t>0.550561797752809</t>
  </si>
  <si>
    <t>11.25</t>
  </si>
  <si>
    <t>1.375</t>
  </si>
  <si>
    <t xml:space="preserve"> kusím asi tím, že jsem se narodil 11.04.1949 v Modricích. Jsem ženatý, mám dvě děti a 4 vnoučata. Zájem spíš tak technicky věci, protože jsem studoval strojní průmyslovku, pak jsem 40 let pracoval ale ve stavebnictví, ale byla to zase jednalo se o železo, protože jsem byl teda zaměstnanej v Zámečnícké dílně, kde se vyráběli různé teda železné předměty pro stavby. Mám 4 velké rozmezi od 8 let do 21 let. Takže tam je velký rossach, nejstarší, teď začala studovat na vysoké škole. Nejmlačší chodí do druhé tríny.</t>
  </si>
  <si>
    <t>Kardiovize_1210</t>
  </si>
  <si>
    <t>0.6431718061674009</t>
  </si>
  <si>
    <t>0.5066079295154186</t>
  </si>
  <si>
    <t>0.7671232876712328</t>
  </si>
  <si>
    <t>0.8579304143550471</t>
  </si>
  <si>
    <t>0.02643171806167401</t>
  </si>
  <si>
    <t>0.04405286343612335</t>
  </si>
  <si>
    <t>0.5283842794759825</t>
  </si>
  <si>
    <t>28.375</t>
  </si>
  <si>
    <t>5.0</t>
  </si>
  <si>
    <t xml:space="preserve"> Tak já jsem jen Peter Turek a řeknu vám něco o sobě. Já mám plno koničku a myslím si, že docela aktivní život, takoro mě sportu a podobných záležitosti pořád něco dělám. Nezůstanu ani chvíličku v klidu, takže třeba teďka jsem si rozmyslil, že budu doma vyrávět, nebo nejvyrávět, ale opravovat celé jedno podlaží. Sundal jsem kachličky, zboural jsem zeď, vykopal jsem ze zdi vodovodní potruby a teďka už to vodovodní potruby já nahrazeno novým potrubim a teďka právě řeším situaci omítání. Takže to je docela zajímavá činnost, protože je to dom, který už má za sebou nejvím jakých 50 let. A při těch 50 lety se stavilo úplně jiná knavice, to bylo své pomoc tě stavěný, takže jsem řešil situaci, jak vyrovna 4 cm. Takže to je pro zkušeného zedníka složití, nicmeně bojuju s tím, stojím je to spoustu usílě, ale samozřejmě kromě to usílě, to pro mě taky jako kladná zpětná vás, protože když potom něco uděláte, tak tam máte za sebou práci, která je vidět, tak to mě jako hrozně baví takovéhle věci dělat. A kromě toho máme chatu, máme za hradku, takže pořád něco kutím, pořád něco dělám, no a když něco chci kutit a dělat, tak to musím vymýšlet, takže to pořád taky vymýšlím, jak to udělat, jak to líb dělat, tak aby to fungovalo, aby to mělo nějaké smysle a podobně.</t>
  </si>
  <si>
    <t>Kardiovize_1222</t>
  </si>
  <si>
    <t>0.6342857142857142</t>
  </si>
  <si>
    <t>0.6936936936936937</t>
  </si>
  <si>
    <t>0.8496152456045646</t>
  </si>
  <si>
    <t>0.022857142857142857</t>
  </si>
  <si>
    <t>0.4858757062146893</t>
  </si>
  <si>
    <t>2.230769230769231</t>
  </si>
  <si>
    <t xml:space="preserve"> Mám velkou zahradu a sou milovnice květin. A o tento víkendu jsem sázela sami květiny. Manžel už mi nedával, že sázím jenom květiny. A o zeleninu, že se nestarám, ale to je jeho práce. A já sou milovnice kvítek a já se starám jenom o květinki. A aby byl to krásné, protože když jsou květiny a začne to k víc od brzkého jara až do podzímku, tak je to nádhera. Takže dá to opravdu hodně práce, ale očí potom jsou blahodárné k tomu, aby se na to dívali. A v čeličky mají pastu taky pro svého je pro sebe. A jinak se starám o zahradu, o domácnost ráda peču, takže pořád vardím peču. A jinak pořád o něco mám prácu, co jsou v duchodě, vůbec měš 40-20 hodin nestačí. Máme velký dum, takže to dá taky prácu. Sera nera da vaří, takže dělá jenom studeny věci, já vařím pro všechny. A jdeš dělám palačinky nebo bramboráky, tak se jíždíou dvá synové, přidou si s kastrůlkami, protože nemají na to opravdu čas vaří takové věci.</t>
  </si>
  <si>
    <t>Kardiovize_1234</t>
  </si>
  <si>
    <t>0.6298076923076923</t>
  </si>
  <si>
    <t>0.5336538461538461</t>
  </si>
  <si>
    <t>0.8551606972723097</t>
  </si>
  <si>
    <t>0.04326923076923077</t>
  </si>
  <si>
    <t>0.5480769230769231</t>
  </si>
  <si>
    <t>52</t>
  </si>
  <si>
    <t>10.25</t>
  </si>
  <si>
    <t xml:space="preserve"> hoľčičky, takže mám pět vnoučat, pět holek máme, tak vám malá pohroma. Ale zase na druhý straně má to svý výhody, a spojně nemusíme mít chlapecký věci máme jenom dívčí, všecko růžový, všecko, ale je zváštní, že i když si člověk myslí, že přistupuje, ke všem stejně tak nepristupuje, pořád má někoho, jakože oblíbenějšího víc a někoho míň, takže ta moje prostřední mnoučka, ta je taková, že mě trošku připomíná mně, tak že jím mám asi ráči, protože jsem byla taky takový nešikovný dítě, a taková jako zakříklá trošku, tak mám pocit, že si nevěří a chtěla bychí trošku pomoc v jednou sebu vědomí. Teď se mít, třeba přihlásila v televizi, byla taková upoutávka, že jsi má té holčičku 11 až 15 let, tak jako do filmu. Tak ešte na mě se odpověděli, že zájbyl velikej, a tak si mít tam přihlásila, ono je takový trošku komediant a má rada spívání, takže chodí do kampanely a byly jsme na koncertě, a ona tam spívala solo, tak bylo to tak výheský předván, co má tak vydojemný, jenom mě trošku překvapuje, že tyhle organizace prostě tahají prachy, kde se dá, tak jednak platí za to, že chodí do tý kampanely, jednak jezdí na nějaký školení, tak tam se taky platí.</t>
  </si>
  <si>
    <t>Kardiovize_1254</t>
  </si>
  <si>
    <t>0.7317073170731707</t>
  </si>
  <si>
    <t>0.4065040650406504</t>
  </si>
  <si>
    <t>0.8111111111111111</t>
  </si>
  <si>
    <t>0.8728560384999408</t>
  </si>
  <si>
    <t>0.016260162601626018</t>
  </si>
  <si>
    <t>0.6097560975609756</t>
  </si>
  <si>
    <t>13.666666666666666</t>
  </si>
  <si>
    <t>0.6666666666666666</t>
  </si>
  <si>
    <t xml:space="preserve"> Tento pátyk se konala v Brně a v naší české republice Noc Kostelu. Naše Farnose teďto akce taky zúčastnila. Připravili jsme pro naše návštěvníky bohatý program. Výsledkem bylo to, že všichni učným návštěvníci byli maximálně spokojení s tým návštěvním programem. Měli jsme připravené několik prohlídek Kostela a kapitulní síne byly to komentované prohlídky, které se konají každoročně u nás Kostele. Dále jsme měli připravené varhání koncerty a vyspulupráci s círila metodějským gymnázjem byl koncert jejich školy. Na závěr se konala v závěrečnej varhání koncer našeho varháníka Pana Hatiny. Akce se nám maximálně podařila, bylo krásné počasí a pro návštěvníky jsme měli připravené farný kavádnu. To je akce, kterou provádíme už drugým rokem a ta farný kavádna se stala velmi oblíbená pro naše návštěvníky.</t>
  </si>
  <si>
    <t>Kardiovize_1268</t>
  </si>
  <si>
    <t>0.6933333333333334</t>
  </si>
  <si>
    <t>0.44666666666666666</t>
  </si>
  <si>
    <t>0.7980769230769231</t>
  </si>
  <si>
    <t>0.8482558870368447</t>
  </si>
  <si>
    <t>0.013333333333333334</t>
  </si>
  <si>
    <t>0.006666666666666667</t>
  </si>
  <si>
    <t>0.5167785234899329</t>
  </si>
  <si>
    <t>13.636363636363637</t>
  </si>
  <si>
    <t>1.1818181818181819</t>
  </si>
  <si>
    <t xml:space="preserve"> Dneska jsem přišel do práce na 6 hodinu a bylo nutné zajistit některé kooperace, které máme s našimi dodavately. Tak jsem vyrazil směrem do Výškova, kde jsem naštějil firmu Las Metal. Tato firma pro nás vypaluje některé díly, které potřebujeme přimontáži. Potem jsem se vracil do Brna, zažil jsem nejprve bouřku. Za Výškovém potem jsem přijel do slatiny a siž dělal jsem ze slatiny až na špitalku hodinu a 8 minut. Užasná doba, neznamu k tomu, že jsou to 2 km. Potem jsem vyložil věci, které jsem přivézel a vysil jsem, že je potřeba naštějit další kooperatní firmu. Tak jsem se vydal na cestu do Kouřimi. Cestu do Kouřimi jsem si zažil zase jednu zácpu, protože Brno je jedno velké parkoviště. Cestami trvala hodinu 120 min. V Kouřimi jsem v naštějivě firmu, která pro nás vyrabí nějakou atypické dlouho hřidel, kterou si nedokážeme udělat sami a potřebojeme i pro dodovatelé.</t>
  </si>
  <si>
    <t>Kardiovize_127</t>
  </si>
  <si>
    <t>0.7816901408450704</t>
  </si>
  <si>
    <t>0.3591549295774648</t>
  </si>
  <si>
    <t>0.8198198198198198</t>
  </si>
  <si>
    <t>0.909691282084613</t>
  </si>
  <si>
    <t>0.02112676056338028</t>
  </si>
  <si>
    <t>0.5694444444444444</t>
  </si>
  <si>
    <t>20.285714285714285</t>
  </si>
  <si>
    <t>2.7142857142857144</t>
  </si>
  <si>
    <t xml:space="preserve"> Dala jsem souhlas jako dobrovojník zapojice do klinické studie, která by mohl odhádyt s dám, či bych měla nebo mohla mít alzájmrvů chorobu a další psychiatrické problémy. Kde jsem absolvoval EEG byla jsem na tom poprvé, netušíla jsem o čem to je a další vyšetření mě čeká za týden. Doufám, že takhle absolvoji něco jako prevenci, kdyby náhodou mě alzájmrvá choroba měla postihnout, protože mojej maminka alzájmrvu chorobu měla velké problémy a ten konec života byl sní velice těžký, takže bych nerajda, aby se podobných problémů dočkali moje děti. Ještě tak, co mám povídat. Nacházím se v Arálu Campusu Bohunice, Arálu Patří Masarykově Univerzitě. Podílela jsem se na jeho vystabitím, že jsem zajíšťovala financování, protože jsem dělal hlavního ekonoma na Masarykově Univerzitě. Takže je mi to tu blízké, není to jsem daleko, bydlím od tuť 2 km pěšky, nebo tramvají pár minut.</t>
  </si>
  <si>
    <t>Kardiovize_1289</t>
  </si>
  <si>
    <t>0.7183098591549296</t>
  </si>
  <si>
    <t>0.7941176470588235</t>
  </si>
  <si>
    <t>0.8667371893047454</t>
  </si>
  <si>
    <t>0.581081081081081</t>
  </si>
  <si>
    <t xml:space="preserve"> na Úznojma, kde jsem se i narodila, že žijí tam s manžolem. Měli jsme tam i pejska, ten už nám po 19 letech umřel, takže jsme tam teď jak robinzoni na velikým pozemku. Máme tam ovocné stromy z kleník, rybníček a je nám tam strašně dobré. Domek je nízky, není napatro, takže moje jibnost je tam dobrá, ale je to veliký pozemek, takže někdy tam nachodím i 15 km. Przemíšlím někdy, když pro něco jdu, co ještě bych si mohla vzít po cestě, abych se tolik nenaběhala. Ráda zalévám kitky, trhám ovoce a uklízím dům tak, aby byl pěkný, abych na něho mohla byt pšná. Máme tam garáž, kde teda máme auta, mají tam synové auta, jeden z nich zbírá, má rad už auta, které budou investiční, takže když otevřem, tak tam má c6, c4, c3, my tam máme Volvo a Vlečku.</t>
  </si>
  <si>
    <t>Kardiovize_1294</t>
  </si>
  <si>
    <t>0.8076923076923077</t>
  </si>
  <si>
    <t>0.3076923076923077</t>
  </si>
  <si>
    <t>0.9034331413855698</t>
  </si>
  <si>
    <t>0.028846153846153848</t>
  </si>
  <si>
    <t>0.625</t>
  </si>
  <si>
    <t>11.555555555555555</t>
  </si>
  <si>
    <t>1.2222222222222223</t>
  </si>
  <si>
    <t xml:space="preserve"> Hrát pracují v kuchyni, protože dělám zjídlem, který máme všichni rádi. Máme jídel druhu miliony a musíme si umět vybrat. Vyběreme si různé jídla, které jsou letní, zimní, zdravý, nezdravý. Vářím já velice rád. Teď máme co nám rozste na zahráce, čerství, cukety, mraké vzeleninka, různé druhé. A z toho se dá udělat velice, velice chutné obědy. Receptu je hrozně hodně, to jsem říkal. Nebudu říkat, tady je recept, ale vyrábíme, nebo děláme různé, sladké pokrmi, slané pokrmi, kyselé pokrmi. Já je rád, protože mám radost, když někomu dám ten oběd a chutnám, to je moje oceňení, když někdo řekne, byla to dobré pochutnáci.</t>
  </si>
  <si>
    <t>Kardiovize_1300</t>
  </si>
  <si>
    <t>0.7363636363636363</t>
  </si>
  <si>
    <t>0.42727272727272725</t>
  </si>
  <si>
    <t>0.8709186599814771</t>
  </si>
  <si>
    <t>0.06363636363636363</t>
  </si>
  <si>
    <t>6.875</t>
  </si>
  <si>
    <t>0.4375</t>
  </si>
  <si>
    <t xml:space="preserve"> Můj kojniček je vlastně zárada, chata. Vlastně tam pracují už přes 20 let. Dostal jsem chatu a pozeme k porodičích. To znamená je tam plno stromů, ovocných, rušky, jabka, meroňky. Potom tam mám svoj stuker, jako maliny ostružiny. Potom dělám na zahradě jako zeleninu, mrkv Petržel sázím. Polníček všechno možný jako zeleninu. Starám se o to vokupovám, zalívám. Potom tam mám ještě výno. Výno hrad vlastně 30 delov. Mám tam stolní hrozný, odrůdový hrozný. Dělám z toho vlastně výno, burčák. Takže loni jsem měl 50 litrů, takže jsme to všechno vypili. Dálé. Starám se také ochatů, to znamená oprava, strechy, věrandy, najatějery, všeliaký, dlažba. Co bych ještě chcou do dál.</t>
  </si>
  <si>
    <t>Kardiovize_1336</t>
  </si>
  <si>
    <t>0.6143790849673203</t>
  </si>
  <si>
    <t>0.5294117647058824</t>
  </si>
  <si>
    <t>0.7659574468085106</t>
  </si>
  <si>
    <t>0.795865695727945</t>
  </si>
  <si>
    <t>0.5751633986928104</t>
  </si>
  <si>
    <t>2.4444444444444446</t>
  </si>
  <si>
    <t xml:space="preserve"> Kdy jsem příled dobrná, to už je dávno, bylo to v roce 74, měl jsem v kapse 4 stovky a neměl jsem ani zaměstnáni, ani ubytováni. Byl zima, první noc, jen strávil v hotelu. Byl jsem lehčí o dvě stovky. Zaměstnáni, kde jsem měl nastoupit, jsem je přestalo líbit a to byl druhý den, takže jsem měl poslední dvě stovky a zase jsem neměl kde spát. Všel jsem městem a přišel jsem na ulici dvořákovou, kde byl nápis, příjmeme stoláře dostátního divadla. Tam jsou to tisí v tam i administrativa a kanceláře divadla a po prave strane Mahenovo divadlo a z druhé strany je Janáčkovo. Tak jsem šel na osobní oddělení, že budu dělat stoláře, že jsem přijat na Brněnskou uměleskou prumyslovou školu. A paní na osobním oddělině poslala do propagační oddělení, že možná tam bude zapotřeby nový pracovnik v reklamě. Tak mě tam poslala, já jsem tam přišel a byl jsem uvid.</t>
  </si>
  <si>
    <t>Kardiovize_1337</t>
  </si>
  <si>
    <t>0.7152777777777778</t>
  </si>
  <si>
    <t>0.4166666666666667</t>
  </si>
  <si>
    <t>0.8155339805825242</t>
  </si>
  <si>
    <t>0.8629974205251669</t>
  </si>
  <si>
    <t>0.5944055944055944</t>
  </si>
  <si>
    <t>28.8</t>
  </si>
  <si>
    <t>4.2</t>
  </si>
  <si>
    <t xml:space="preserve"> možná už někdy r koncem unora, ale hledněž začalo pršet zahrátky květou, příroda si oddechné a z tmatici si oddechnou, je to příjemné, je to takové ukrytnující, výtrz hazuje ze stromu ovoce, které asi stejně by nedozrálo. a tak je to velmi příjemné, venčit psa je problém, přichni jsou potom špinavý, naradí se kartáču i nechtějí si nechat sáhnout napacky, kočky se schovávají, kde se dá, hledají místa, kde mají výžlítku a kde je teplo, stejně mají mokré kožíšky, ptáčkové se schovávají, ale někteří spívají i v tom dešti. a tak třeba jak přestane pršet, tak bude se sluníčko a doufíme, že nepríde to se takové, ale je to s 40°C vidry, protože to se nedá ve místě vydržet. Už měnice napadá. Cesta jsem byla docela zajímavá, protože centrum bylo zaspane, spoustal díjí, všichni ruk saky na záde, které si nesudají a nesudají.</t>
  </si>
  <si>
    <t>Kardiovize_1361</t>
  </si>
  <si>
    <t>0.7478260869565218</t>
  </si>
  <si>
    <t>0.3652173913043478</t>
  </si>
  <si>
    <t>0.8488372093023255</t>
  </si>
  <si>
    <t>0.8586107529866966</t>
  </si>
  <si>
    <t>0.008695652173913044</t>
  </si>
  <si>
    <t xml:space="preserve"> Mennou jsou v Milakřiáčková, bydlím v Brně bystrci, je to překrásný prostředí, bydlím v paneláku, chodím na procházky, je tam hodně lesu. Začala jsem opravdu chodit hodně, třeba i deset kilometrů jsem užla, byla jsem na rychardové studánce, kolem v to okolí jsem tam prošla, uhelenčiny, studánky. Velmi se mi to líbilo, jako nechodím do žádných fitnesscenter a nita galerači do přírody. Jednak mám syna, v Danánejsu, mám rodinu, sestru v Ivančicích, další sestru mám až v uherském Brodě, pocházím z moravskou slovenského pomezi, došla jsem se za prací, tady jsem dostala byt a o té doby bydlím. Ješím se na vnoučat a syn má přítel kyní, ale nemají kde bydle, takže v bydli umě.</t>
  </si>
  <si>
    <t>Kardiovize_1390</t>
  </si>
  <si>
    <t>0.718562874251497</t>
  </si>
  <si>
    <t>0.41317365269461076</t>
  </si>
  <si>
    <t>0.8166666666666667</t>
  </si>
  <si>
    <t>0.8767109210506489</t>
  </si>
  <si>
    <t>0.017964071856287425</t>
  </si>
  <si>
    <t>0.08982035928143713</t>
  </si>
  <si>
    <t>0.5688622754491018</t>
  </si>
  <si>
    <t>41.75</t>
  </si>
  <si>
    <t>6.75</t>
  </si>
  <si>
    <t xml:space="preserve"> Tak menuj se Vladimira Smutná, i jsem již v duchodovem věku, ale stále pracují. Toto období, o kterém jsem si myslila, že už lidi jako vůbec nemají šanci, cokoliv jako podnikad dělat něco zažívat, tak naopak mi připará hrozně, jako zajímaví tejto obdoby, protože už jsem stratila, povíjno se starat o své děti. S obdobu dělal jsem, takže už ani jako nemám manžela, takže teď si můžu vlastně svým způsobem plnit svoje sní, jako jsem na světě ráda, postatě se stavím k věcem pozitívně. Sice mám někdy takové výky vynála, že někdy jsem smutná, protože už opravdu jako někoho úplně blízkýho, odledle sebe nemám, ale na druhé straně mi to vynahrazujou kamarádi a přátelé, a ráda cestuju a prostě, jsem takový zbrklý člověk, nedočkávý, musím jedna věc nejde velice zbrkle, protože nemám tu trpělý vozd, jako danou v sobě, tak nevím, si mám vždy dal hovořit, takže jako jsem znesím životem svým způsobem spokojená, jako nějakým způsobem mě naplňuje, pouštím se do, začala jsem třeba po 60.</t>
  </si>
  <si>
    <t>Kardiovize_1396</t>
  </si>
  <si>
    <t>0.558974358974359</t>
  </si>
  <si>
    <t>0.7350427350427351</t>
  </si>
  <si>
    <t>0.8269600884233773</t>
  </si>
  <si>
    <t>0.020512820512820513</t>
  </si>
  <si>
    <t>0.05128205128205128</t>
  </si>
  <si>
    <t>0.51010101010101</t>
  </si>
  <si>
    <t>24.375</t>
  </si>
  <si>
    <t>4.75</t>
  </si>
  <si>
    <t xml:space="preserve"> tak dobrý, no. Tak jsem jsem přijelá a už jsem věděla do předu, že pojedu drzív a podívám se tady po okoli. Napřed jsem si chtěla zistitku děme pojedu zpátky, aby pak nezháňela tu zastávku. No a pak jsem se teda podívala po těch stavbách, tam kolenté masary, kolé univerzity a prostě tam mě zajímala i ta tramvaj, tady bychom zastávkat, nebo jak je tam pot, že do nějakého tunelu nebo něco. Rozhodlal jsem se, že asi zpátky radši pojedu tomu tramvají, abych se teda podívala a spojí trochu pobrně. Jak to tady vypadá, že jsem člověk vůbec nezabrou si, dokonce jsem si chtěla udělat výle, že bychom o výkendu, kdyby nepršelo, tak bychom možná jsem zajeli toho elektrikou a vytrolejbu jsem nebo tak. To je to se mě teda líbí, že je v tom brně něco takového udělany, postaveného. Ani do té nemocní se jsem nikdy nechodila, jenou tam ležela mamka, tak se mi tam byla navštívit, ale oni hned druhý den odvezli, takže vlastně jsem mi měla hrůzu, že to budu hledat někde v té nemocnici nebo někde tak, že se neviznám tady vůbec, ale jako tady jsou ty stavby tak pěkně udělany.</t>
  </si>
  <si>
    <t>Kardiovize_1404</t>
  </si>
  <si>
    <t>0.7106382978723405</t>
  </si>
  <si>
    <t>0.43829787234042555</t>
  </si>
  <si>
    <t>0.7904191616766467</t>
  </si>
  <si>
    <t>0.9079351351487981</t>
  </si>
  <si>
    <t>0.02553191489361702</t>
  </si>
  <si>
    <t>0.5254237288135594</t>
  </si>
  <si>
    <t>19.583333333333332</t>
  </si>
  <si>
    <t xml:space="preserve"> Dobrý den, rád bych vám zdělil pár informaci o tom, jak jsem byl tento víkent. Ménuji jsem Rostislava Avra a jsem tratějový komisar na motocyklových zábodech. Proto jsme tenhle víkent byli motocyklových zábodech v hřících padkorkovouších, kde se jelo 300 zatáček Václavá Hábela. Počasí nám bylo docela rozvrtká, takže hodně pršelo. Mocí padali, my jsme jezvedali, naštěstí se to obešlo ve zvázdějších úrazu. Jedno přiletěl vrtulník, který se jel potom vztratil, takže to bylo docela zábavný. Nicméně za vody probíhají dvá dny, je to přírodní okruch, na kterým se jezdí pravotočivým a je to nejen v městě v hořících, ale záleven se vyždí do lesa, je tam několik zajevali, cezajímajvý zatáček. My jsme byli v takzvaném vracáku, bylo nás tam 5, nosíme kombinezy, takže když je kolik nás pozná, s tím, že organizujeme hod celéte stanice. Ta stanice je zatáčka nebo rovinka, tak aby jsme na sebe nám zájem viděli. Pokud je nějaký problém, to znamená do jde k Haváry, pokrýváme, nebo říkáme tomu pokrýváme, ten svůj úsek vlajíkami, které mají různou barvu. Žluta je nebezpečí, dvě je velké nebezpečí, to znamená, že ten jezdec zůstávala trati s motorkou, a pokud se by věsi čermná, kterou vyvyhlšou s dispečinku, tak se zestavuje celý závod. Na sledě potom ještě další, pokud veroci jezdec dojede toho posledního, co se může stát na věčnoho, až potom přes tím sermím pole, tak se to ukazuje, proto předížděného modrou vlajko.</t>
  </si>
  <si>
    <t>Kardiovize_142</t>
  </si>
  <si>
    <t>0.686046511627907</t>
  </si>
  <si>
    <t>0.4941860465116279</t>
  </si>
  <si>
    <t>0.7372881355932204</t>
  </si>
  <si>
    <t>0.8894609022110536</t>
  </si>
  <si>
    <t>0.5459770114942529</t>
  </si>
  <si>
    <t>21.5</t>
  </si>
  <si>
    <t>2.875</t>
  </si>
  <si>
    <t xml:space="preserve"> Budu hovořit o největším problému, který momentálně řeším, a to je rekonstrukce bytu meho syna. Takže největší problém byl ten byt prvně nachistat k předání firměk rekonstrukci, což obnášelo veškeré vybavení bytu, dát bridge, což bylo horsší než stěhování, protože při stěhování a zpončlověk může něco, jsem tam odvést. Ale tohle jsme museli věci, které zůstanou v bitě, nechat v bitě. Přesto ten byt musel zůstat prázdný, aby byl nachistany na tu rekonstrukci. Takže celý únor jsem pracovala na tom, aby chom to stihli, takže to bylo velice náročné. Celkem jsme to stihli, že jsme ten byt předali a momentálně, že ta rekonstrukce probíhá s věnčím či větším úspěchem, protože v domě se bolří nájemníci, že firma dělá velký hluk, a proto je to velice, velice náročná akce. Teď se bojím toho, až tu rekonstrukci skončí, že budeme muset opět uvezdbit do původního stavu, to znamená veškeré věci a vybavení vrátit na původní místa předtím udělat. Veškerý uklit, což bude obnášet mití okén, veškeré mití nábytku a všeho, což je velice náročné.</t>
  </si>
  <si>
    <t>Kardiovize_1421</t>
  </si>
  <si>
    <t>0.6956521739130435</t>
  </si>
  <si>
    <t>0.4434782608695652</t>
  </si>
  <si>
    <t>0.8270821699665556</t>
  </si>
  <si>
    <t>0.02608695652173913</t>
  </si>
  <si>
    <t>0.6086956521739131</t>
  </si>
  <si>
    <t>11.5</t>
  </si>
  <si>
    <t xml:space="preserve"> Tak dneska ten den byl docela nezajímavý, protože jenom samé starosti. Ozájme, chci dneska moc mluvit nebudu, tak až dneska přijdu domů, tak si možná vezmu knížku, ani co si přečtu. Ježi se k tomu dostanu, ještě mám nějaké malé povinnosti, tak to všechno musím nějak vykonat a pak se uvidí. Mohlo by to stačit. Tak ještě trošičku. Takže potom se těším až si dneska ještě předspaním něco, přečtu pokud mě to nevíde. Teď odpoledne, ale snad to bude tak, jak si představuju. No, zítra, zítra budu mít volný den a spojně si to tak myslím. Takže pokud dovolí počasí, tak pojdu na kole, pokud nepojdu na kole, tak půjdu. Možná oslovím ještě někoho dalšího.</t>
  </si>
  <si>
    <t>Kardiovize_1451</t>
  </si>
  <si>
    <t>0.5236486486486487</t>
  </si>
  <si>
    <t>0.6385135135135135</t>
  </si>
  <si>
    <t>0.6903225806451613</t>
  </si>
  <si>
    <t>0.8076482699650329</t>
  </si>
  <si>
    <t>0.013513513513513514</t>
  </si>
  <si>
    <t>0.02364864864864865</t>
  </si>
  <si>
    <t>0.4831081081081081</t>
  </si>
  <si>
    <t>49.333333333333336</t>
  </si>
  <si>
    <t>8.5</t>
  </si>
  <si>
    <t xml:space="preserve"> Dobrý den, chtěla bych vám popikládat, co jsem v životě dělala a čeho jsem si těčestnila. Dala jsem si závazek, že bych si udělala řidičák a naučal se spepovat. Řidičák jsem si udělal v svojich 45 letech, protože jsme se s Manželenem přestěhovali do Prahy, bydlery jsme u Provenického parku a měl jsem tři děti a s ním jsme jezdy do nemocnice a doktorů, čili vždycky jsem využivala Manžela a moji Manžela dál řiditely ale měl čas. Takže vždycky jsem ho travovala a tak dále, takže jsem si udělal řidičák, spěšně, dál jsem ho vřítčaných a pak jsem teda jezdívala i na jízní městová a do hrná a tak dále. Takže teď už teď náme jezdím, protože ta doprava je dost služita a už mám taky svoj věka tak dále, takže spišaní no. No a další věc jsem se naučila stepovat, pak jsme se s Prahy přestěhovali, my jsme teda brňáci, Manžela tam nezaměstnáni, pak jsem se přestěhovali do Bernám z Pátky a já jsem se naučila, takže jsem si 250 letech stepovat a to, že moje cera začala stepovat, iž je bylo 8 let, si to vybrala, protože, jak bych řekla, moje mamínka páncovala v divadle a geny jsou tady, takže byla šikovná a začala stepovat a my jsme vám vty provázili děti do tanišných školí Manžela Bartunković, a náš chef, ten tanišní školí jako stepařské řekl, mámky, můžu mít teda dostepovat, můžu jasné, že umíme, ale to bylo všechno jinak a jednoho zářit, jsme se domluvili a začali jsme stepovat, bylo nás 28 a vždycky jsme vytvořili nějaký taneček a s ním jsme vám jezdívali na soutěž a protože jsme byli první v repovice do spiličí slově a jsme si narikali seny a řali jsme byli do spiličí slově a vždycky jsme byli první.</t>
  </si>
  <si>
    <t>Kardiovize_1453</t>
  </si>
  <si>
    <t>0.6263157894736842</t>
  </si>
  <si>
    <t>0.7563025210084033</t>
  </si>
  <si>
    <t>0.8299935661216986</t>
  </si>
  <si>
    <t>0.005263157894736842</t>
  </si>
  <si>
    <t>0.021052631578947368</t>
  </si>
  <si>
    <t>0.5526315789473685</t>
  </si>
  <si>
    <t>23.75</t>
  </si>
  <si>
    <t>2.625</t>
  </si>
  <si>
    <t xml:space="preserve"> tak můžu jen tak povídat. V minulém týdnu jsme byli s manželkou v krkonoších, napalnovali jsme si výlet do krkonoš. Cestou tam do Špindlerová Mlíná jsme se zastavili v KUKSU, což je takový hospitál, kde jsou sochy Matiáše Browna, jsou tam sochy cností a necností, tak já už jsem tak, když si před lety byl, ale chtěl jsem to ještě manželce ukázat a využili jsme vlastně té cesty směrem do špindlerová Mlíná. Ve Špindlu jsme bydlery do celost slušném hotelu, kde byl i bazén, takže jsme si tam chodili občas zaplavat po tuře. A napalnovali jsme si takovou dlouhou tůru, jeli jsme lanovkou na medvědín a odtud jsme šli tůru na Lapskou boudu k pramenu Mlabe a potom spět jsme šli Lapským dolem. To byla opravdu dlouhá cesta, celkově to vychází asi na 20 km, tak jsme si dali do těla. Dole ve Špindlu jsme si sedli do restaurace, objednali jsme si nějaké ptí, pivečko, kolu a pici. A to už byla vlastně taková naše večeré, ale portnívač jsme bydlery mimo centrum Špindlerová Mlíná, tak jsme museli ještě přídat další asi 3 km na ten náš hotel, kde jsme bydlery.</t>
  </si>
  <si>
    <t>Kardiovize_1475</t>
  </si>
  <si>
    <t>0.7697841726618705</t>
  </si>
  <si>
    <t>0.37410071942446044</t>
  </si>
  <si>
    <t>0.8130841121495327</t>
  </si>
  <si>
    <t>0.9094857840338018</t>
  </si>
  <si>
    <t>0.02158273381294964</t>
  </si>
  <si>
    <t>0.04316546762589928</t>
  </si>
  <si>
    <t>0.5539568345323741</t>
  </si>
  <si>
    <t>13.9</t>
  </si>
  <si>
    <t>1.4</t>
  </si>
  <si>
    <t xml:space="preserve"> Můj koníček je práce, rodina a s nám jako marády. Chce li bych zubnot, nějak si mi to nedáří. Jsou jakhtar, jezdím na moru, jezdí z lodí, potom mám dvě cery, šterej v naučatá, manželku, 43 let ženat. Tady nevím co ještě dál, popisoval, popisují svůho zábavu a rodinu. Inak už jsou teda v duchodu, je mi 66 let, nemám se špatně. Takže jsou spokojné ze svým životem, i když trátatěle slázká ránka už samozřejmě není tak, a věvala dřív, jako rau tennis, zatím ještě nic nebolí. A co ještě mám vykládat, no, jsem tam si zandu napíval, mám rán výno, žený spěv. Nevím co jsme dělali v sobotu, tenhle teď kabový kendo byly svá textředa, takže překal se zahradu. A po to se byly na čarodénicích, u jedné z cer. No, už to pravdě, ještě musí dlo obrumluvit.</t>
  </si>
  <si>
    <t>Kardiovize_1478</t>
  </si>
  <si>
    <t>0.7086614173228346</t>
  </si>
  <si>
    <t>0.4015748031496063</t>
  </si>
  <si>
    <t>0.8444444444444444</t>
  </si>
  <si>
    <t>0.832420921785046</t>
  </si>
  <si>
    <t>0.007874015748031496</t>
  </si>
  <si>
    <t>0.5354330708661418</t>
  </si>
  <si>
    <t>14.11111111111111</t>
  </si>
  <si>
    <t xml:space="preserve"> Tak hláno jsem stával o 5 hodinách a vyjel jsem směrbrno. Měl jsem vaukol naštivit obvodní lékařku, kde jsem obsolil odběry. Cesta, která tráva hodinu, mě trávala dvě hodiny, jelikož stavbaří v čebíně napojili nový obchovat čebína a je tam katastrofa, jsou tam semafóry a tak jsem po hodinu postál v koloně. Po absolvání odběru jsem přijel do centra vyskumního. O svých konicích. To je rybaření velké koníček, to musel věnujeme od malička a to už je 40 let. A když se v duchodě mám na to času mnoho víc, když se kouším různé způsoby rybolovu. Někdy se dáří, ale uvěžitý je, že člověk je venku a je vodí a je v přírodě. Nereším, kolik úlovky chytnou, ale to, že si zachytám, že to je jak funguje.</t>
  </si>
  <si>
    <t>Kardiovize_1483</t>
  </si>
  <si>
    <t>0.697560975609756</t>
  </si>
  <si>
    <t>0.4146341463414634</t>
  </si>
  <si>
    <t>0.8391608391608392</t>
  </si>
  <si>
    <t>0.8598885550570964</t>
  </si>
  <si>
    <t>0.00975609756097561</t>
  </si>
  <si>
    <t>0.024390243902439025</t>
  </si>
  <si>
    <t>0.5410628019323671</t>
  </si>
  <si>
    <t>25.625</t>
  </si>
  <si>
    <t>3.75</t>
  </si>
  <si>
    <t xml:space="preserve"> tak jak tráví volný čas senior. senior má spoustu volného času. a může se rozhodnout co s tím udělá. já se snažím od to, aby tam byla nějaká rovnováha mezi fyzickým a psychickým zatížením. takže se snažím zdělávat na univerzitě 3. věku chodím tam na jazykové kurzy, chodím tam na přednášky, v tomto školní mroce do přírodo v jedného kurzu a zdravovědného kurzu a kromě toho se snažím taky trochu hýbat takže samozřejmě nechci, aby tělsná schránka úplně schátrala přečasně. takže ve štartek vyrážím do tělociční podhrat a tam hodinku úpím podvedením zorky, která mě nutí pracva v tempusy šovat s otepou frekvenci a takové podobné hlouposti, které vedou k tomu se tím líp. a kromě toho jsem otrokářem i otrokem v jednom pouhibuju se na své zahradě, na svých latifundích a tam si teda užívám práce dostla dost podzim jedno z vrcholných období zahrátkáře Šakadel Čapek o tom sval krásně a tedy zapotřebí sklídě zbyte kůrody je zapotřebí se ještě jednou pobavit se sekačku a zekidova trávu, která je přerostla ale taky už je nutný třeba něco ještě vokopat a hlavně rít a rít a rít a tohle se ne do sebe a do druhých lidí ale do země a taky se tam bavím</t>
  </si>
  <si>
    <t>Kardiovize_1537</t>
  </si>
  <si>
    <t>0.6929133858267716</t>
  </si>
  <si>
    <t>0.4251968503937008</t>
  </si>
  <si>
    <t>0.8295454545454546</t>
  </si>
  <si>
    <t>0.835242478614023</t>
  </si>
  <si>
    <t>0.6377952755905512</t>
  </si>
  <si>
    <t>9.76923076923077</t>
  </si>
  <si>
    <t xml:space="preserve"> Jejsem vášný rybař. Rybař jim už od sví děckých let zhruba 50 roku. Teď v současnosti rybař jim převážně na ježdí Moravě. Věnuji se Lovu Kaprů, Amuru, Sumcu, Štík a někdy rybař jim i v zahraničí. Rybař jim jim v Norsku, kde jsem chytel trezky a makreli na Filipínách. Na maledivách jsem rybařil, jsem chytel žeraloky, plachetníky a různé jiné ryby místní. Ale hlavně chytám ryby tady v České republice na ježdí Moravě. Teď se zrovna chystám na víkent, na ryby, kde bych chtěl chytnout nějakého Amura. V předpaku napichnu a zkusím nějakého sumca. Těch jsem tam už chytil taky několik. Můj rekord je před 2 metry, tak se budu snažit chytit ještě většího. Samozřejmě opustím, protože takové ryby už se nejí. Už to jsou starší ryby.</t>
  </si>
  <si>
    <t>Kardiovize_1548</t>
  </si>
  <si>
    <t>0.6172839506172839</t>
  </si>
  <si>
    <t>0.5432098765432098</t>
  </si>
  <si>
    <t>0.74</t>
  </si>
  <si>
    <t>0.8406939650951484</t>
  </si>
  <si>
    <t>0.024691358024691357</t>
  </si>
  <si>
    <t>0.5555555555555556</t>
  </si>
  <si>
    <t>9</t>
  </si>
  <si>
    <t xml:space="preserve"> V dno jsem byla na Velné z vletnici, bylo to super. Koncem leta pojdeme do Šturová. Je to super babky, jako jezdíme se koupat, je tam tvičení, jsou to termální lásně. Teď mám jedna pobit s naši tvičitelkou míšou. Je tam, pojedeme do Télče. Je to v jinak ráda na Procházku, okolo našeho obyvdy, je krásná příroda. Mám ráda svoje dvě vnučky. Dži byl malé, tak jsem se jim hodně věnovala, chodili jsme po různých výletech. Jezdili jsme do Luháčovic, kde jsme prošme jedili všechny prameny. Byla jsem i s tom mlačím vnučkou na jejich, byla jako na ozdravném pobitě, kde jsem se od měsíc strávila. Taky to bylo bezva. Chodíme se koupat k ním do bazénu. Mám ráda vodu, cvičení ve vodě, chodím na ponávku cvičit, chodím cvičit, jako ze sednou jrukama. A jinak už nevím, co bych povídala. Jinak už nevím, co bych povídala. Jinak už nevím, co bych povídala. Jinak už nevím, co bych povídala. Mám ráda seriální, jako</t>
  </si>
  <si>
    <t>Kardiovize_1562</t>
  </si>
  <si>
    <t>0.6918238993710691</t>
  </si>
  <si>
    <t>0.4716981132075472</t>
  </si>
  <si>
    <t>0.7636363636363637</t>
  </si>
  <si>
    <t>0.8670021341056966</t>
  </si>
  <si>
    <t>0.012578616352201259</t>
  </si>
  <si>
    <t>0.006289308176100629</t>
  </si>
  <si>
    <t>0.5493827160493827</t>
  </si>
  <si>
    <t>8.833333333333334</t>
  </si>
  <si>
    <t xml:space="preserve"> Až od sud odejdu, pojdu na autobus, kterým se musím dostat na Trolleybus 25. Trolleybusu se musím dostat na další zastávku, abych mohla doje domů. Tam na mě čekají vnoučata a pes. Musím je vzít sebou na vycházku, protože jejich maminka určitě půjde nakupovat, byly na dovolené. Takže domovu bez nic nemají. A tak to zbývá jen na mě, abych se o ně postarála. Ještě bude hezky, tak se půjdeme vykoupat, protože máme nedaleko rybník. Musíme tam dojít pěšky a to asi dva kilometry. Děti to mají velice rády. A vezmeme sebou našeho psa, ménuje se Dugi. Ten Dugi je takový jelou pežnik. Děti si s ním pohrají, má je rád. Od rybníka půjdeme zase zpátky o klikou lesem domů. Jejich maminka určitě bude mít nachystany obět. Děti se na obě dvají a pak se chystáme, že pojedeme na halupu. Pojedeme autem. Není to daleko, asi 40 km. Tam zůstaneme 4 dny, aby si maminka a tatínek trošičku odpočinuli.</t>
  </si>
  <si>
    <t>Kardiovize_1602</t>
  </si>
  <si>
    <t>0.6619718309859155</t>
  </si>
  <si>
    <t>0.7553191489361702</t>
  </si>
  <si>
    <t>0.835971165704094</t>
  </si>
  <si>
    <t>0.5734265734265734</t>
  </si>
  <si>
    <t>15.777777777777779</t>
  </si>
  <si>
    <t xml:space="preserve"> Fakt ráda, vyrím, mám ráda, když se u stolu se jde v společnost a podává se jídlo. A vlastně s večeří nebo s objedem pro přátle nebo pro rodinu se lidi velmi dobře baví. Muje oblíbený jídla jsou polívky, dělám ráda borž čamasovou polívku s knedličkama. A jiné dobré polívky kulajdu a taky moc ráda, vyrím, masy tá jídla. Dobře umím dušená jídla, mám ráda, když se vyrí guláž a lidem, když všem chutná. Moje vnoučata mají asi nejradši palačenky. Palačenky dělám hodně rychle, divím se, že někdo si na palačenky musí kupovat balení, kdo kterého se něco přimíchává a je to v pytlíku, protože je to velmi jednoduché připravit. A mám to opravdu za chvíli hotovou. Asi to není moc chytré, co povídám, ale na važení ráda myslím, často na něho myslím, a ráda nakupuju, abych važila to, co jsem naplánovala.</t>
  </si>
  <si>
    <t>Kardiovize_1609</t>
  </si>
  <si>
    <t>0.6493506493506493</t>
  </si>
  <si>
    <t>0.5064935064935064</t>
  </si>
  <si>
    <t>0.76</t>
  </si>
  <si>
    <t>0.8329848594064072</t>
  </si>
  <si>
    <t>0.03896103896103896</t>
  </si>
  <si>
    <t>0.032467532467532464</t>
  </si>
  <si>
    <t>154</t>
  </si>
  <si>
    <t>25.0</t>
  </si>
  <si>
    <t xml:space="preserve"> tak nejlepší relax pro mě je na halupě si můžu ponozit do závonku, tak to je pro mě odpočinek když zádanek, kdyby olí pak ta radost teori se neco vypěstuje, pokud mě to nezežerov od slimáci kteréch je taky odně no a potom procházka ještě, iž jdem se podívat do grbníku nebo tak lindži, hezky, vykoupace potom cestou zpátky no a nejlepší sobota nedělá, když přijede party a posedíme povýkládáme co se udělo tady, protože my jsme tam na strace nejvártě nás je tam o sumbaráku, jenom je tak to čovek hrát, když někého vidí no a jináč klíd a tak oblohou takovou ne ve městě neuvídíte ubec to je hvěz a hvěz co ta tmatakova co tam je to vám ne nahradí tady žádné ten smok ve městech světelné no a jináč ten klíd jakže tam no a tam neruší jo, protože to je koniec světa tam nevědy ani pořádná cesta k nám</t>
  </si>
  <si>
    <t>Kardiovize_1628</t>
  </si>
  <si>
    <t>0.7034883720930233</t>
  </si>
  <si>
    <t>0.42441860465116277</t>
  </si>
  <si>
    <t>0.8181818181818182</t>
  </si>
  <si>
    <t>0.8588210879269159</t>
  </si>
  <si>
    <t>0.005813953488372093</t>
  </si>
  <si>
    <t>0.011627906976744186</t>
  </si>
  <si>
    <t>0.5930232558139535</t>
  </si>
  <si>
    <t>14.333333333333334</t>
  </si>
  <si>
    <t>1.5833333333333333</t>
  </si>
  <si>
    <t xml:space="preserve"> Tak asi před 3 mý týdny jsme se vrátili zdovolené ve Větnamu. Ve Větnamu jsme byli s manželem, bez testovky, mi tak cesto jeme pořád. Doleteli jsme do Hanoje a odsuď jsme hned autobusem přejeli do Nialo. Tam jsme se ubitovali, půjčili jsme si motorku a dělali jsme na motorce krátké výlety. K vodopadu, k jezeru, ke kmenu nebo k mongu, kde jsme se setkali dokonce s některými lidmi, které jsme navštívili už před 5 lety. Potom jsme přejeli zase do dalšího místa autobusem. Testováně autobusem ve Větnamu je velmi zábavné, protože některé autobuse jezdí krokem. Hodně autobusu je spacích, takže musíte všechny batohy a všechny své věci dado spodního prostoru a lehnete si, kde mají prostě hennom prostor naležení. Dají vám deku a polštář a takhle jdete třeba 5 hodin. Tak jsme dojeli do dalšího místa, kde jsme opět pučili motorku. Jezdili jsme se podívat na krásná, rížová, terasová pole. Zase jsme navštivili několik vodopádu, jezkyníky a další naš cíl bylo jezero Babbe, kde jsme měli nádherné ubitování nad tím jezerem.</t>
  </si>
  <si>
    <t>Kardiovize_1671</t>
  </si>
  <si>
    <t>0.7464788732394366</t>
  </si>
  <si>
    <t>0.4154929577464789</t>
  </si>
  <si>
    <t>0.7830188679245284</t>
  </si>
  <si>
    <t>0.8973789641704584</t>
  </si>
  <si>
    <t>0.007042253521126761</t>
  </si>
  <si>
    <t>0.5763888888888888</t>
  </si>
  <si>
    <t xml:space="preserve"> Jak vypadá můj týden? Takže když začnou od pondělka, tak každé pondělí bývám dopoladné naprochávce s manželem. Odpoladné se snažím udělat trochu pořádek v domácnosti a večer chodím do sokola si zacvičit a vždycky tohle příjemnou chvílku skončíme někde v malého spódce s přípivem a s přáteli. Uterý to je pro mě den, kdy vyzvedávám vnuka hned po obědě, takže si je rozplánují do čeho se pustíme, protože je to hoch velmi živý a touží po velké zábavě a taky touží vždycky potom, aby ho čekala nějaká dobrá bochtíčka. Večer ho odvádím za rodiči a chvíli pobydu ještě s jeho staršími bratri. Středát to je pro mě den, kdy chodím do univerzity 3. věku. Tentokrát jsem zvolila Mandlou univerzitu, kde absolvuju všeobecný kurs a od letošního dubna se věnuji i tomu, že doučuju svého vnuka osmáka, aby jsem udarilo lepé v matematice.</t>
  </si>
  <si>
    <t>Kardiovize_1673</t>
  </si>
  <si>
    <t>0.6035502958579881</t>
  </si>
  <si>
    <t>0.7254901960784313</t>
  </si>
  <si>
    <t>0.8074101211990887</t>
  </si>
  <si>
    <t>0.01775147928994083</t>
  </si>
  <si>
    <t>0.5562130177514792</t>
  </si>
  <si>
    <t>18.77777777777778</t>
  </si>
  <si>
    <t>2.7777777777777777</t>
  </si>
  <si>
    <t xml:space="preserve"> Moj pracovní týden se skládá z dvou dnů, že chodím do zaměstnání a potom odždíme na haloupku. Tam trávím čas většinou na zahradě a nebo z přátely. Také si hrádi, zahrajeme nějaké hry, že chodíme na gol, ale je to ten gol, takový ten minigol. A u toho se z přátely velice dobře bavíme. Na haloupě se pořádají několikrát do roka i rybárské závody, kde tam chodíme a vypomáháme s činnostmi, které se týkají obsluhy zákazníků. To znamená, že lidí, kteří tam chodí a kupují si různé občerstvení. Na haloupě se ráda dělám na zahráce a potom v tomto letním období a krásném počasí tak převážně se koupu a plavu. Večer bůjtok z námi přijí do přátely a nebo si zajdeme do místní hospódky, kde se sejdeme na zahráce a tam si různě povídáme, bavíme se a prostě trávíme čas s té motopřátely. Ráda také čtu nebo si zahraju i nějaké hry, jako na příklad čeba karty, kostky z panželem si zahrajeme, nebo si povídáme, díváme se na televizi.</t>
  </si>
  <si>
    <t>Kardiovize_168</t>
  </si>
  <si>
    <t>0.39805825242718446</t>
  </si>
  <si>
    <t>0.8378378378378378</t>
  </si>
  <si>
    <t>0.8175372420445447</t>
  </si>
  <si>
    <t>14.714285714285714</t>
  </si>
  <si>
    <t xml:space="preserve"> Dnes jsem se vypadal na procházku a bych se podíval po okolí a zrovna si udělal menší výlid. A pak jsem se vypadal domů, kde jsem se na obědval a pomal všechno chystal na cijtík, na přípravu výzkumu, kde mě budou zkoušet z různých věcí. Taktejš cesta byla pohodlna, jel jsem poměrně bez problému semka po cestě, která byla podálníčním přívadečí, který se vybudoval za německa. Počasí bylo pošmorné, místami byli a meha. Potom jsem při příjezdu na cijtík, jsem zaparkoval auto, vešel jsem do budoví. To je zruba všechno. Potom na oběd jsem měl bram bodový sel, z ořiskem a polívko zelenínovou.</t>
  </si>
  <si>
    <t>Kardiovize_1705</t>
  </si>
  <si>
    <t>0.7033898305084746</t>
  </si>
  <si>
    <t>0.4661016949152542</t>
  </si>
  <si>
    <t>0.7590361445783133</t>
  </si>
  <si>
    <t>0.8524509969865373</t>
  </si>
  <si>
    <t>0.01694915254237288</t>
  </si>
  <si>
    <t>0.576271186440678</t>
  </si>
  <si>
    <t>23.6</t>
  </si>
  <si>
    <t xml:space="preserve"> jsem povolání mdětská sestra, s hali svoj pracovní život jsem strávila u Novorozencu na odělení v porodnici na obilním terhu a teď tady v Buhunicích. Práce je to zajímavá, pěkná, někdy dosť psychicky náročná, kompenizují si to doma, růčnými pracemi a nebo když je sezona, když je jároleto, tak pracují na zahradě. To mě hodně baví, tam je ten vysladek hodně vidět. Mám dva syny, dva vnuky, jsou to takové šikovní broučci, jsou teď v tom věku, když ještě důspělým věří a jistě mi zábavá. Tak ještě? No, když se na rybu na zahradě v Líně, mám ráda růčný práce, takže se doma nenudím, vysně co najdůvymyslím na ušití a u toho ráda poslouchám a hodí o knížky.</t>
  </si>
  <si>
    <t>Kardiovize_1710</t>
  </si>
  <si>
    <t>0.7076923076923077</t>
  </si>
  <si>
    <t>0.45384615384615384</t>
  </si>
  <si>
    <t>0.7717391304347826</t>
  </si>
  <si>
    <t>0.8595671279864521</t>
  </si>
  <si>
    <t>0.007692307692307693</t>
  </si>
  <si>
    <t>9.285714285714286</t>
  </si>
  <si>
    <t>1.0714285714285714</t>
  </si>
  <si>
    <t xml:space="preserve"> Včera ráno po probuzení jsme zistili, že Vengu pěkně hnusně. Ale nedá se nic dělat. Měli jsme naplánované, že budeme dělat na halopě drzewo. Takže jsme se vidali, šli jsme pro nářadí, pro pile a začli jsme pracovat. Nejdřív manžel musel nachystat nějaký. A já jsem mezi tím nakládala velký polena na kolečka. Pak jsem to přivážila a manžel rozkrajoval velká polena a dávali jsme je do dřevníku. Byla to pěkná makačka. Mezi tím jsme si museli odpočinou, tak jsme si šli dát kávu něco dobrého k tomu, abychom měli dost cíli na další práci. Teď si připadnu, jak kdybych psal slhové cvičení. Už jsem to nedělal asi 50 let. Tak je to opravdu výborné. No nicme nepokávě jsme opět začli pracovat. Šlo to stěžka, některý polena byli tak velký.</t>
  </si>
  <si>
    <t>Kardiovize_1715</t>
  </si>
  <si>
    <t>0.6811594202898551</t>
  </si>
  <si>
    <t>0.5072463768115942</t>
  </si>
  <si>
    <t>0.723404255319149</t>
  </si>
  <si>
    <t>0.8585155020789321</t>
  </si>
  <si>
    <t>0.036231884057971016</t>
  </si>
  <si>
    <t>0.5797101449275363</t>
  </si>
  <si>
    <t>1.7692307692307692</t>
  </si>
  <si>
    <t xml:space="preserve"> V noci odvezli mojí maminku na Áru. Ráno mi volala sestrás domová duchodcu a oznámila, že je maminka na Áru. Dala mi telefóní číslo, zavolala jsem tam a oznámili mi, že maminka upadla v noci. Rozpila si bradu a bohužila spadla nějak na kirk, takže si spůsobila otok, otok hrtanu a nemůže dýchat proti zaintubovali a uvedli do umělého spánku. A mě teď čeká zítra navštěva. Uní je v umělám spánku a vlastně se nejíbe nemloví. Takže nevím co s ním bude. Všecko jsem jen hlavou a uvidím, co bude zítra. Budo muset jeť autem, takže budo muset dávat veliký pozorových se někdy nebohrala. Pak to oznámit všem přívůzním nebo dětem vlastně už jenom, protože jsme už jenom já a maminka. Pak už jsou jenom moje těti a neteř. Takže nevím jak to všechno dopadne. Uvidí se zítra.</t>
  </si>
  <si>
    <t>Kardiovize_1719</t>
  </si>
  <si>
    <t>0.7225130890052356</t>
  </si>
  <si>
    <t>0.41361256544502617</t>
  </si>
  <si>
    <t>0.8115942028985508</t>
  </si>
  <si>
    <t>0.8877659109449002</t>
  </si>
  <si>
    <t>0.020942408376963352</t>
  </si>
  <si>
    <t>0.03664921465968586</t>
  </si>
  <si>
    <t>0.53125</t>
  </si>
  <si>
    <t>191</t>
  </si>
  <si>
    <t>14.0</t>
  </si>
  <si>
    <t xml:space="preserve"> takže já se pokusím poprsat svůj běžný dení režim pokud se nestáváme něco mimo rádného takže normálně vstáváme si půl osmou a osmou hodinou to je nejbyší čas, aby chyla vyvenčit se svým partnerem naše dva psy jeden pest semenuje Tobíáž je to nádherné finské plemeno menuje se Lapin Coira to plemeno semenuje Lapin Coira původně bylo určeno ke zhánení stát sobu no samozřejmě u nás žádní soby nejsou takže je to prostě naš domácí mazlík je to středně velký pest má si 17-18 kg černou chlupa tou srst no prostě je to náš milouž druhý pejsek přímo nepatří nám ale naše musinový který s námi bydlí o poschodí víš ale protože všichni odejdou ráno do práce takže vlastně pejsek menuje se o rinka je taky náš je to středně velké plemeno nikdo neví jaké protože jsme si ho vzali z utulku sopčasné době má asi rok s naším Tobíážem se zhání jste z velice dobře snáší takže vyrážíme na procházku jdeme přibližně 2 a 3 km podel Reky Svitavi to je v Černovicích v tom se pejsi proběhají vydovádí, potkáme se s ostatníma pejskařama no a vracíme se domů</t>
  </si>
  <si>
    <t>Kardiovize_173</t>
  </si>
  <si>
    <t>0.5458715596330275</t>
  </si>
  <si>
    <t>0.6192660550458715</t>
  </si>
  <si>
    <t>0.6974789915966386</t>
  </si>
  <si>
    <t>0.7998826345237345</t>
  </si>
  <si>
    <t>0.022935779816513763</t>
  </si>
  <si>
    <t>0.4930232558139535</t>
  </si>
  <si>
    <t>218</t>
  </si>
  <si>
    <t>18.0</t>
  </si>
  <si>
    <t xml:space="preserve"> dneska jsem vstál bylo 0,5-7 koukl jsem se na hodiny v 0,5-7 říkám do 7 mám čas tak jsem si vzde do postele na chvilku podležím se asi za 4 hodiny zazprobral říkám do 7 tak o 7 jsem vstál se teda vykoupat umil jsem se, podležím se voblil tam jsem se něco snedl, drobního a potom jsem se voblíkl bylo 0,5-8 říkám tak, můž to kral výde tak jsem vylezel ven hodin jsem garáž, zlel jsem si klíče hodin jsem vrata vylezel do auta vyl ven zlel jsem vránu tam mi chci si lidišli po ulici jsem musel počkali, než přelezoval no vylezel jsem jakšižovatko do horejních helspičs na kružá, tam přede mnojla spoj 10 aut pro lítlo to rychle pro del jsem kružá a kruhákem a jel jsem po sokolové senka na sokolové v půl se tam si nějaký hader byl zastavil něco tam skladal tak sa hutem takže tam stálo pro tějí hodin a už zastáli se v té půl sokolové až normálně k tomu to byl spojí kilometra, až ke pekárnám no a já jsem jel navrch se nám kolim zpitova navrch k věznicí a dojel jsem tady na kruhá, že do prava a dál jsem se do prava tady na tu sokolovné, co to je tady studenská</t>
  </si>
  <si>
    <t>Kardiovize_1730</t>
  </si>
  <si>
    <t>0.6490066225165563</t>
  </si>
  <si>
    <t>0.4900662251655629</t>
  </si>
  <si>
    <t>0.814965014793079</t>
  </si>
  <si>
    <t>0.026490066225165563</t>
  </si>
  <si>
    <t>151</t>
  </si>
  <si>
    <t>26.0</t>
  </si>
  <si>
    <t xml:space="preserve"> Sidečku pojď jsem pojď, je ráno, budeme na kafíčko, a pak budeme ven, budeme běhat, skákat, vyvenčí se, pohrají si s pejskama, a pak si budeme zase dom odpočinout, budeš mít plnou mísku, dobrotek a čerstvou, bodíš kutí dám, a vyčešu si tě, a potom dostaneš pamesky, a budeš za pánečkem, ten tě taky bude drbat na vřížku, a pak si pustíme rodina i film, třeba komisar Rex, aby se ti to taky líbilo, no, a potom budeme zase čuvrát, a budeme si hrát s pejskou, a budeme kousek dál, aby si sprotáhl nožičky, dám ti na hubek, aby zvenku nesežel něco špatnýho, a potom už půjdeme domu, a bude volný program, no, a tak co budeš ešte dělat, budeš si chtít hrát s bárou, nebo ze cárou, nebo s artem, kterém máš novou hračku doma, tak si jim můžeš v klidu roztrhát, no, pak u klidímky pelíšek vyprášíme ho pěkně.</t>
  </si>
  <si>
    <t>Kardiovize_174</t>
  </si>
  <si>
    <t>0.6838709677419355</t>
  </si>
  <si>
    <t>0.8207547169811321</t>
  </si>
  <si>
    <t>0.8473743908210281</t>
  </si>
  <si>
    <t>0.5448717948717948</t>
  </si>
  <si>
    <t>22.142857142857142</t>
  </si>
  <si>
    <t xml:space="preserve"> Každý denesy uvědomují, jaké máme štěstí, že žijeme v krásné zemi, v krásné přírodě, že žijeme v míru, v relativním bezpečí, že se máme velice dobře ve srovnání s celým světem a že si toho nikdo až tak moc nevážíme. Máme tendenci byt nespokojení, by blad nadávat. Vidět jenom to špatné a neuvědomovací, co všechno máme dobřeho krásného a většinou jsme se o to ani nijak zvlášť nemuseli přičinit. Stalo se nám to, protože jsme se neroďili tam, kde jsme se neroďili. Myslím si, že bychom se měli zastavit přiznat si to, uvědomit si to a zečít byt konečně spokojení a žít takový hradosný, příjemný život. Bělo by to krásné, kdybychom dokázali pochodovat po světě s usněvem, s jasným pohledem měli konečně tak zvanou dobrou náladu. Dokázali se usmívat, tak jak se dokáží usmívat lidé, kteří jsou na tom podstatně hůře a váží si všeho dobrého, i když je to v našich odčích naprosto minimů.</t>
  </si>
  <si>
    <t>Kardiovize_1743</t>
  </si>
  <si>
    <t>0.6958762886597938</t>
  </si>
  <si>
    <t>0.4329896907216495</t>
  </si>
  <si>
    <t>0.8148148148148148</t>
  </si>
  <si>
    <t>0.8820257182252181</t>
  </si>
  <si>
    <t>0.005154639175257732</t>
  </si>
  <si>
    <t>0.05670103092783505</t>
  </si>
  <si>
    <t>0.5333333333333333</t>
  </si>
  <si>
    <t>64.66666666666667</t>
  </si>
  <si>
    <t xml:space="preserve"> Před včerem byla sobota, byla jsem s cerou usina na navštěvě, koupili si malého pejska z Tafordku, bylo to grillovalismé, přišle zeměla iště kamarádka s jiným pejském, takže to bylo velice příjemný. Hráli si tam zpoulu rožkačili, vnuk mě povykládal, takže se mu daří v nové práci. Včera jsem šla z kamarádkou zase, jeli jsme s jejím přitelem k paní, kde ji tam pomáhal nějakou rekonstrukci, a tam je taky pejska, tak jsme vzali sebo, všli jsme do lesa na houpi, něco jsme tedy našli, pejsek už jako je starší, takže více musel nosit, výpadem jsme u hůř, procházeli lesem, po to jsme se dostali takového houšti, kde jsme nemoli vůbec ani výlest, no nějaký tých hřibečky malý jsme si našli, pak jsme si z toho prské uvařili polívku dobrou, bylo to takový velice příjemný výkend, večerně dovezli domů, no potom byla televíze, a dnec ráno vlastně jsem se výpravila se na nějaký ten výskum, což je to tady takový zvláštní všechno, vidím přecebov třeba nějaké dvěry, mám takový pocity, si to je nějaký unikový východ, kdyby se ta něco stalo, protože to je všude takový těžký dvěry, jak je do někde do krytu.</t>
  </si>
  <si>
    <t>Kardiovize_1751</t>
  </si>
  <si>
    <t>0.31313131313131315</t>
  </si>
  <si>
    <t>0.8831168831168831</t>
  </si>
  <si>
    <t>0.8593218117040701</t>
  </si>
  <si>
    <t>0.020202020202020204</t>
  </si>
  <si>
    <t>0.6161616161616161</t>
  </si>
  <si>
    <t>9.9</t>
  </si>
  <si>
    <t xml:space="preserve"> Dnes jsem byla objednána na neurologické vyšetření do Citegu. Jela jsem tramvají číslo 8 s Vojtovi ulici. Vysedla jsem na zastávce bohuníci Nemocnici a pěšky jsem došla až na příslušné stanoviště. Kde jsem se podrobila vyšetření psychologickému AEG a další psychologickému vyšetření. Personál se ke měchoval velice příjemně. Je to tady velmi krásné prostředí pro výzkumné centrum a nejsem spokojená s tím to vyšetřením. Co bych na závěr řekla, ještě měsť čeká jedno vyšetření jako jedna část a to na magnetická rezonance. Kám půjdu příští týden ve štvrtek. Absolvovala jsem už vlastně o svaté anivne mocnici. První část vyšetření.</t>
  </si>
  <si>
    <t>Kardiovize_1794</t>
  </si>
  <si>
    <t>0.6991869918699187</t>
  </si>
  <si>
    <t>0.44715447154471544</t>
  </si>
  <si>
    <t>0.7906976744186046</t>
  </si>
  <si>
    <t>0.8451479581680627</t>
  </si>
  <si>
    <t>24.6</t>
  </si>
  <si>
    <t>0.6504131139544101</t>
  </si>
  <si>
    <t xml:space="preserve"> Tak nejšťastnější jsme s manželem, když se můžeme opět těšit na nastávající dovolenou, tak zvanou. U nás už se ani nedářit s dovolenou, protože jsme výších ověku dovolenou máme stále, ale když ten čas přijde na stane a odletíme do našeho oblíbeného, krásného klidného řecka, tak jsme obadvá nejšťastnější. Tam si to naplno užíváme, relaksujeme v krásném, čistém, teplém moři, sluníme se, užíváme si veškerých výletů, který si tam naplánujeme vycházky a proskoumání celého okolí a dá se řici i daného ostrova, pokud jsme na ostrově. A nechce se nám ani odýždět, jak jsme tam s tím vším úzce zpětí a máme to proci těny až do morku kosti. Velmi rádi se tam opět vracíme a dá se řid, že přemýšli by vždy...</t>
  </si>
  <si>
    <t>Kardiovize_1797</t>
  </si>
  <si>
    <t>0.6596858638743456</t>
  </si>
  <si>
    <t>0.46596858638743455</t>
  </si>
  <si>
    <t>0.8095238095238095</t>
  </si>
  <si>
    <t>0.8489983223404065</t>
  </si>
  <si>
    <t>0.015706806282722512</t>
  </si>
  <si>
    <t>0.5235602094240838</t>
  </si>
  <si>
    <t>38.2</t>
  </si>
  <si>
    <t xml:space="preserve"> Tak ménuji se Ctira Dhanzálek, je měnštět měnštět šedeca dvět let, a chodil jsem ke svaté ani na kardiovizi, na vyšetření různa, ohledně cév, a nakonec jsem se dostal v Bohunicích kousek od svého bydlišče, nevydlím na kameném vrchu asi deset minut odsuť. Dostal jsem se do kulaté budoví, kterou jsem vždycky viděl z vrchu z dálky, pozoroval jsem tu architekturu a na jednou jsem u vnitř a zděsil jsem se, protože jsem se dostal do sklepení, do temné místnosti respektive, není ani tak temna, ale nemá okna, nevím co je to tu předemnou, to vypadá jak nějaké padací dveře, jsem to z mladou slečnou, která nám mě uvoří slovenský a do toho tvoho tvoje vkládá české hře bravurně, takže nevím co si o to má myslet. A teď nevím, jestli ještě bude 10 minut, nebo ten minuta, nebo jak jsme ještě daleko, ještě chvíli mám hovořit, tak co bych vám ještě dalé řekl, nevím co mě očekáva. Jo, ale to budu muset říct slečně, a doufám, že se se zde nebudu muset vyslékat, nebo jsem si neuzal terenírky. Po spích vladku, jak jsem se sprchoval, tak jsem se špatně oblékal.</t>
  </si>
  <si>
    <t>Kardiovize_1802</t>
  </si>
  <si>
    <t>0.6845238095238095</t>
  </si>
  <si>
    <t>0.4583333333333333</t>
  </si>
  <si>
    <t>0.7913043478260869</t>
  </si>
  <si>
    <t>0.865875191769573</t>
  </si>
  <si>
    <t>0.023809523809523808</t>
  </si>
  <si>
    <t>0.005952380952380952</t>
  </si>
  <si>
    <t>24</t>
  </si>
  <si>
    <t xml:space="preserve"> Mám střešně rád chalupy a prakticky už se těším na přezen, kdy začná takzvaná mojej sezona, kdy už odježdžím na chalupu, kdy trávím vesmězač skoro dokonce říná. A na chalupě se zabývám prací jako samozřejmě zahradničení, rádpěstvů, bonsaje, kterých mám asi kolem 50-60, jsou to venkovní a úplně bych řekl, že mě duše v něj psychicky naplňují a k samozřejmě k tomu mám aj zahradničení. Neustále vymýšlím nějaké nový kultury, neustále řeším nějaký přeměny na záradě, tím, že bych vymysel další nové kouty s kombinací z kamenem, ze drzevem. A samozřejmě k tomu aj jukám žité dávám k dispozici nějaký květiny, bonsaje, nebo řeším zase nějaký stříhání, keřů. A po postatě nemám ní z jiného, co bych na té chalupě děl, že toto mě úplně fascinuje, strašně mě bavy. A samozřejmě k tomu aj patří taky oprava nemovitosti, ukryt nemovitosti, prakticky každoročně mě začeká vyspouštění, prakticky všechny jezí, rejga na pouštění nové vody. A k tomu samozřejmě musím mají napustit vodu do centrálního oběhu chatí a podobně.</t>
  </si>
  <si>
    <t>Kardiovize_1828</t>
  </si>
  <si>
    <t>0.6609195402298851</t>
  </si>
  <si>
    <t>0.5172413793103449</t>
  </si>
  <si>
    <t>0.7304347826086957</t>
  </si>
  <si>
    <t>0.8706911760770424</t>
  </si>
  <si>
    <t>0.028735632183908046</t>
  </si>
  <si>
    <t>0.5260115606936416</t>
  </si>
  <si>
    <t>13.384615384615385</t>
  </si>
  <si>
    <t xml:space="preserve"> Mám jednoho synu a můj syn máš je těců. První nejsarší mývnok se narodil 25. týdný tělatovství jako dojčátko. Vodíčko potom umřel, ale chladeček se nám zachrání. Potom jsme v mě vydrví ho po roce a potom jsme pět let čekali, protože ten první syn má zbravojtní problém. Ale po těch pět letech se do toho postěli a měli každý rok jeden chladeček, další chladeček a potom holčíčka. Mámínka řekla, tak já už mám spleněnou, mám oj v johoku. A nechla si dat maš výtíčku. Jenom, že po třech letech měla takový veliký hán, že jim maš výtíčku dát, a tak se nám narodil ještě jeden chladeček. Takže jsme štěstní, že ho máme, protože je to naše veliké. Můj s ním ale vidí dvětě česká republiky, vidí zahraničí, takže se spoudu dví često, ale mest je internetem takovém rovný, že plastič to nevpohadky na dobrou mě, co výtíčí měl káždou hvůj výce dálí. Takže je to všichni ale bono pohladit a pochovat. Už výce kvůli čem výví, takže se měl to se strašně řeším.</t>
  </si>
  <si>
    <t>Kardiovize_1843</t>
  </si>
  <si>
    <t>0.6777251184834123</t>
  </si>
  <si>
    <t>0.46445497630331756</t>
  </si>
  <si>
    <t>0.7902097902097902</t>
  </si>
  <si>
    <t>0.8781763694190365</t>
  </si>
  <si>
    <t>0.009478672985781991</t>
  </si>
  <si>
    <t>0.02843601895734597</t>
  </si>
  <si>
    <t>0.5876777251184834</t>
  </si>
  <si>
    <t>14.066666666666666</t>
  </si>
  <si>
    <t>1.8666666666666667</t>
  </si>
  <si>
    <t xml:space="preserve"> Vám budu vyprávit o svým mlačím sinovi, který žije v Kanadě, v Vistleru, v Brické Kolumbii. Odešel tam už je to asi deset let, tehdy s kamarádem, tam rozhodli, že požádají opracovní výzum, tak tam odletěli. Oba dva začli pracovat v hotelu Hilton jako umývači nádobí. Sehnali si tam bidlení, postupně se vypracovali, že pak dělali v kavárně, v restauraci. Na konec Ondra už je tam skoro tě deset let, tak dneska už pracuje sám na sebe. Tak jak v Brne když byl, tak pracoval v kanceláři, toho střešně nebavilo. A tam pracuje, dělá rukama, dělá rekonstrukce, chat a halup. Protože ten vistler je něco takový ližařský středisku, něco jak u nás v krkonoších špindlerů v Mlyn. Takže tam většinou mají týchatých halupy, takový tě bohatší asi zřejmě. A tam těch halupy asi nejsou tak moc zvyklí, jak u nás jel, dají se udělat opravit. Takže má práce nad hlavou, dělá už sám na sebe. Koupil si dodávku, pak jo i malý auto, takže dělá různý takový sád rokartony, dvéře, obklady. Je strašně spokojenej. Je tam s ním i dnes už jeho žená, taky z Brnáterka. Na předtake dělala v Kavárně i nějaký uklydy těchat, nakonec si udělala nějaký kurs, takže fotí pro nějakou realitku, chatých halupy, kdo prodává nebo pronajíma.</t>
  </si>
  <si>
    <t>Kardiovize_1844</t>
  </si>
  <si>
    <t>0.4090909090909091</t>
  </si>
  <si>
    <t>0.78</t>
  </si>
  <si>
    <t>0.9024032888009673</t>
  </si>
  <si>
    <t>0.007575757575757576</t>
  </si>
  <si>
    <t>0.6515151515151515</t>
  </si>
  <si>
    <t>7.764705882352941</t>
  </si>
  <si>
    <t>0.7647058823529411</t>
  </si>
  <si>
    <t xml:space="preserve"> Mým koničkem jsou psy. Mám ráda plmeno psável škorgy Pembrok. Je to plmeno dokladované z desáteho století. Měla jebrycká královna. Sou tomí lípsi, který se velice mají rádi lidi. Byly vyšlechtěni původně pro práci s dobitkem. Měli dobytek z Velsu do Londýna na jadka. Je to malý kompaktní pejsek z rzavé barvy z dlouhým nebo z krátkým odsasem. Je nenáročný, jak na stravu tak nachov velice dobrý k lidem. Já sama vlastním dvá tyto psy. Už dvakrát jsem měla štěňatá. S nimi dělají člověku radozn. Sou velmi oblíbení. Nejenom kůli brycké královně, ale i proto, jak jsou přitulní k lidem a mazlivý. Dají se s nimi dělat i různé přisporty, agility, trekky, tanecepsem, poslušnost. Je to bezvhodní, jak dobytu tak do domku se zahradou. Mají rádi dlouhé procházky, ale všechno s člověkem.</t>
  </si>
  <si>
    <t>Kardiovize_185</t>
  </si>
  <si>
    <t>0.6244131455399061</t>
  </si>
  <si>
    <t>0.5258215962441315</t>
  </si>
  <si>
    <t>0.7593984962406015</t>
  </si>
  <si>
    <t>0.8558113857205906</t>
  </si>
  <si>
    <t>0.03286384976525822</t>
  </si>
  <si>
    <t>0.5117370892018779</t>
  </si>
  <si>
    <t>21.3</t>
  </si>
  <si>
    <t xml:space="preserve"> Dobrý den, ménuji se Novák, jsem z Brna a byl jsem objedná na Cétek. Stále nevím, co to je, takže doufám, že mě to někdo celé vysvětli, jak se to jmenuje. To je první věc, druhá věc. Zrovna tento termín vyšel do toho, že jsem se chystal na liže. Jedneska krásné počasí, takže jsem ho chtěl stráviť věseníkách, je to oblast, s které pocházím, tam jsem žil v mládí a do doby nech jsem se v 18 letech přesunul do Brna a začala studovat na VUT. Takže nevadí, doufám, že tady tento den strávený tady u vás bude zajímavý pro vás i pro mě a dozvím se něco o svém zdraví. Inak teda do jeseníku jezdím hrozně rád, jezdím tam na liže v zimě, jezdím tam na kolo v lete, protože hodně sportují. Už mám letos, 3 ližarské týdny na sjezdovkách v alpách, krom toho jezdíme taky na běžky v Česku podle toho, jak je kde s ních. No, co jinak říct, bydlím v Čarných polích, oblast celkem příjemná, dneska je to trošku horsší, protože se neustále zastavuje, zvědčuje zatížení, tady to je to lokality. Takže snad teda nějakým způsobem dožijeme tady, protože je mě 75 let a rád bych teda vzdraví, pokud to půjde a vklidu nějakým způsobem strávil tady zbytek života.</t>
  </si>
  <si>
    <t>Kardiovize_1858</t>
  </si>
  <si>
    <t>0.7835820895522388</t>
  </si>
  <si>
    <t>0.3283582089552239</t>
  </si>
  <si>
    <t>0.8988920610471256</t>
  </si>
  <si>
    <t>0.022388059701492536</t>
  </si>
  <si>
    <t>0.5746268656716418</t>
  </si>
  <si>
    <t>13.4</t>
  </si>
  <si>
    <t xml:space="preserve"> Jsem 9 roku v Luhodu a má jediná a velká záleba je zahradnictví. Mám dvě zahrady. Jedna je u měcích, jedna je v letovicích, ta je trošku dál, takže tam musím jezdit autem. Ale letos nás postihla rozná nehoda. Pěstují citrusy a pěstují i ižní stromky, ale to z kaký, kývy, švíky na uhel. Což mi jako chvílku vadilo, ale po vypity kávy z manželkou, jsme si řekli, že si kopíme na rinku. Teď o víkendu jsem zasadil teplomilmi roztliní, vězíme patří jako rajčatou, kurky, papriky. Správně pozmrzlých a je pravda, že i vždy říká, že i blbé sedlák sázi až do teplé půdy. Věřím, že tento kráce to povede, protože mranbory čestné k cívula mám typěstovaný na celý rok. A hodně je to hlavně pomáhá přízdraví, člověk věděl ní lenočné a prostě zabere.</t>
  </si>
  <si>
    <t>Kardiovize_1872</t>
  </si>
  <si>
    <t>0.7515923566878981</t>
  </si>
  <si>
    <t>0.39490445859872614</t>
  </si>
  <si>
    <t>0.8050847457627118</t>
  </si>
  <si>
    <t>0.9018027724900697</t>
  </si>
  <si>
    <t>0.006369426751592357</t>
  </si>
  <si>
    <t>0.012738853503184714</t>
  </si>
  <si>
    <t>0.5987261146496815</t>
  </si>
  <si>
    <t>15.7</t>
  </si>
  <si>
    <t xml:space="preserve"> Mám dvě vnoučatá vnučku, která je vybníkající ve stepování. Vnuk bude letos maturovat, učí se s vyznamenáním celý štěři roky na střední škole a chtěl být na vysokou školu. Vnučka teď pojde na mistrovství republiky ve stepu. Loní se moc dobře neumístila, protože začínala, tak doufám, že to letos bude už lepší. A co dál? Vnuk by chtěl být učitelem nebo nějakým expertem a je tělkem. Zin je hokejový trener, dělá hokej od svých pěti let, takže už ho dělá seduma tříce let. Cera vysokou vysokou, cera je magistra a syn bakalář. Před třema rokama jsem ovdověla, takže teď v současné době bydlím sama, ale jako děti se pořád o mě dobře starají a doma jsou málo, kdy přez letosu na chatě, kde mám spoustu známých, a doma se opravdu zdržuju jen minimálně. Jsou spíš taková hodně hyperaktivní. Nerajda se nudím, takže budící čtu nebo šíhu v letě zahradničím a nebo chodím někde na vycházky do divadla.</t>
  </si>
  <si>
    <t>Kardiovize_1873</t>
  </si>
  <si>
    <t>Kardiovize_1874</t>
  </si>
  <si>
    <t>0.421875</t>
  </si>
  <si>
    <t>0.8161764705882353</t>
  </si>
  <si>
    <t>0.8901750863442934</t>
  </si>
  <si>
    <t>0.03125</t>
  </si>
  <si>
    <t>21.333333333333332</t>
  </si>
  <si>
    <t>3.111111111111111</t>
  </si>
  <si>
    <t xml:space="preserve"> Který jsme se vrátili s Anglie, kde pracuje až je náš syn s manželkou a s 3 letím vnoučkem. Bylo to úžasné, krásně jsme si to užili. Chvízdili jsme po výletech, syn mezi tím pracoval, protože za mě je zaměstnani jako kuchar, vicemeně picař, za autem má takový tažný vůz, kde tu pici dělá, jezdí z jedné akce na druhou. Je tam velice oblíbený, mají ho tam všichni moc rádi, ale by jsme je s manželem viděli nejlépe u nás doma v Česku, protože už tam ží 18 let, nevím, jestli se budou chtět dvěrátit. I když malej Honříček, 3 letej vnouček, po nás hodně plakal, pořád se teď vydáme na Vacapu pořád plače babí děti, kde jsou, takže naše děti nebo syn. Včer volá a říká, vy se nám teda dali, my tady přemýšlíme, že to tady všechno prodáme a přijedeme za vámi do Česka. To by se nám moc líbilo, protože malej tam nemá ani jednu webičku, ani jednoho dědečka, ani žádný bratrance se střenice. A celkem se divím, co je tam tak drží, protože pořád tam fouka, pořád tam prší a přitom snachama tak strašně rád. Ale to sluníčko.</t>
  </si>
  <si>
    <t>Kardiovize_188</t>
  </si>
  <si>
    <t>0.6093023255813953</t>
  </si>
  <si>
    <t>0.5255813953488372</t>
  </si>
  <si>
    <t>0.7786259541984732</t>
  </si>
  <si>
    <t>0.8174210811537176</t>
  </si>
  <si>
    <t>0.009302325581395349</t>
  </si>
  <si>
    <t>0.013953488372093023</t>
  </si>
  <si>
    <t>0.5138888888888888</t>
  </si>
  <si>
    <t>16.53846153846154</t>
  </si>
  <si>
    <t>3.1538461538461537</t>
  </si>
  <si>
    <t xml:space="preserve"> Tak třeba s o tom spánku, že v podstatě spím tak všechno jak. A teď jezdívám s kamarádkou na jí zahradu, na chatičku. A ona má vezvyku si dat po obědě kafičku a pak si lehnout na chvilku. No tak tam někdy, ty si tež tak natánu na valendu, tak usnu na chvíličku, a bylo třeba z náhodinku, aby to tam je taková pohoda, klíde k ticho, tak to pně tak úspí člověka. No a teď, jak byli ty boužky ze soboty na neděli, tak zrovna zám je to Marovského Krumlova. Tak byla strašná spousta blesků, to bylo většině jak někde na červeném koberci na festivalu. A pak jsme se dočetli, že je to, že to byl rekor nějakých přes 80 tisíc blesků v ten večer. Napršelo pořádně, pozávě líbali jsme večer předtím, takže jsme skonstatové, že jsme ani nemuseli. A nevím, co by ještě říkala. Zatím to ještě není o minutá půlka, jak dlou jsme. Takže jsme v podstatě začali jezdit na tu záhradu, protože je to v její rodině. A jak jich zemřeli rodiče postupně, tak naše maminky zemřeli plůroku po sobě, tak na to zůstala sama. A zase mě to baví na zahradě pracovat, tak říkám, tak to je super, že ona má pomocníka a já si tam zase můžu taky vidovádět.</t>
  </si>
  <si>
    <t>Kardiovize_1889</t>
  </si>
  <si>
    <t>0.6735751295336787</t>
  </si>
  <si>
    <t>0.48704663212435234</t>
  </si>
  <si>
    <t>0.7615384615384615</t>
  </si>
  <si>
    <t>0.8824529534164876</t>
  </si>
  <si>
    <t>0.015544041450777202</t>
  </si>
  <si>
    <t>0.025906735751295335</t>
  </si>
  <si>
    <t>0.48484848484848486</t>
  </si>
  <si>
    <t>24.125</t>
  </si>
  <si>
    <t xml:space="preserve"> Nejvíce těžím na léto, protože jsem si řekla, že každý červen z kraje pojedu někam na dovolenou. Začíná to už na jahře, když si teda vybínám z katalogu, co by jsem je zrovna nejvíc líbilo, abych si udělal radost. Snažím se hned nějaké nové informace, novou destinaci, abych taky z toho něco měla a tam si vybrat i nějaký výled, abych se mohla podívat někam ideálne, jenom ležet u morze, což teda šíleně miluju, ale přesto je to málo. Většinou se snažím, abych to bylo zbrná, abych se moc nemusá cestou, někde zastavovat a tak, i když často to bývá i z Prahy, protože tamto mají většino větší nabídku tých výletů a tak. Takže letos jsem co zvolila tak, že jsem si už v květnu objednal nějaký last minute do tunisku, u to tuniska s odletem z Brna. Už každoročně jezdívám ze svoji sestrou a se svoji kamarádkou, kterou jezdí s náma, protože je sama a nemá žádného komplice. My se sestrou máme svůj vlastní pokoj, ona vždycky vedle nás někde má svoje vlastní, ale tak nějak to trávíme společně. Takže jsme z Brna odleteli na večer, přijeli jsme do monastiru na letiště.</t>
  </si>
  <si>
    <t>Kardiovize_1903</t>
  </si>
  <si>
    <t>0.3466666666666667</t>
  </si>
  <si>
    <t>0.8376068376068376</t>
  </si>
  <si>
    <t>0.9096768748152961</t>
  </si>
  <si>
    <t>0.6026490066225165</t>
  </si>
  <si>
    <t>8.823529411764707</t>
  </si>
  <si>
    <t xml:space="preserve"> Každou středu jezdím učit svoji hlučku Marboru do Boskovice hrát na saxofón. Ješikovna, už jsme přehráli durové i molové stupnice. Hráli jsme na vánoce koledy. Také hrajeme jazzové, etydy, akordy. A snažím se, aby hrála také z paměti. Marboru to baví, někdy se učí sama. Vymýšlí, kterou písničku bych ji měl napsa do not, což velice rád dělám. A posilám to bude to tedy mejlem, lebo jí to daročím osobně. Teď, ale tento týne jsme hodinu na saxofón neměli. Protože jsou jarní prázdniny, tak je si užívá volna. To by bylo asi všechno o dom, jak učím vnůčku Barboru, která má 14 let hru na saxofón. Ještě mám pokračovat dál, tak to zkusíme. Moskovice jsou dost daleko, takže jezdím pravidelně autem. Teď zimě je to horší. Včera napadl sníh, tak jsem rád, že tento týden nemusím do Moskovice. Přiští tyden pojedu, mám na chystané noty. Napřím se mi do not.</t>
  </si>
  <si>
    <t>Kardiovize_1936</t>
  </si>
  <si>
    <t>0.580952380952381</t>
  </si>
  <si>
    <t>0.6984126984126984</t>
  </si>
  <si>
    <t>0.8478546329225829</t>
  </si>
  <si>
    <t>0.004761904761904762</t>
  </si>
  <si>
    <t>0.5639810426540285</t>
  </si>
  <si>
    <t>11.666666666666666</t>
  </si>
  <si>
    <t>1.7222222222222223</t>
  </si>
  <si>
    <t xml:space="preserve"> Takže můžu jo. Takže mám dvě děti, syna a cero. Syn žije tady v Brně a cera žije v Anglii mimo Republiku a chybí mi. Mám třív noudčata, v nuka mám tady v Česku, to je syn meho syna. A v Anglii mám dvě vnůčky, Emičku a Dášu. To se menev je po mě. Mě udělali velkou radost, když mě zdělila cera žije tě hodná. Potom, když porodilá, tak mě řekla, že si se může vnůčka menovat po mě, tak jsem ná velkou radost. Život v Anglii není tak lehký, jak si tady přestavujeme v Česku. Hodně tvrdě tam pracují, aby se uživili i dvě vnůčky. Jedna už dělá střetní školu, a jedna chodí do základní školu. Ale s druhá, tam mladší, co dělá základní školu, tak to je právě v Puberte. Její Puberta je teda velmi náročná pro rodiče. Řekla bych, že je to až problémové dítě. Vnuk tady v Česku je můj velký miláček, protože je velmi nadaný. Dobře se učí ve školé, chodí na gymnáziu už a to na osmiletí, do třetí, třídy. A má velké nadální na jazyky, a čkoliv jsme si myslili, že to bude matematik a nejmeně nějaký Astrovědec. Tak nakonec končil u jazyku, protože má fenomenální paměť a jde mu to moc dobře.</t>
  </si>
  <si>
    <t>Kardiovize_1937</t>
  </si>
  <si>
    <t>0.7643312101910829</t>
  </si>
  <si>
    <t>0.3630573248407643</t>
  </si>
  <si>
    <t>0.9034084455958817</t>
  </si>
  <si>
    <t>0.6560509554140127</t>
  </si>
  <si>
    <t>19.625</t>
  </si>
  <si>
    <t>2.125</t>
  </si>
  <si>
    <t xml:space="preserve"> Ráda chodím do lesa, mám ráda, les je hličnatý, ale může být i listnatý nebo smíšený. Ráda zbýrám houby, jsem dosť dobrý houpař, trávím v lese velice moc času. I v zimě i v létě je jedno, v kterou roční dobudu toho lesa dů. Nejradějí chodím s rodinou, někdy dvů i sama, nebo z kamarádkama. Chodím radši dopoledné, než odpoledné, věhličnaté v lese věčnou se lépe hledají ty hřibky dopoledné. V listnatém za soupotě má listama skované ty hřibky, tak se musí vytahovat a hledat a odhrnovat listy. Beru se bou do lesa i kamarádky, jedna kamarádka si vypořidila štěňátko, tak máme teď zábavu, protože to štěně tam furt pobíhá, něco hledá, odhrabuje, vidíme tam furu zvířátek, ať už poslucháme ptáčky, hledáme, kde jsou, hledáme tam pře běhnou, přes cestům, může i ještěrka na halupě jsme měnit i mloki, což je krásná čistá příroda, jinak oni se neviskytují takhle. Moc ještci tam bývají, vidíme veverky, kuní, srnky.</t>
  </si>
  <si>
    <t>Kardiovize_1943</t>
  </si>
  <si>
    <t>0.7039106145251397</t>
  </si>
  <si>
    <t>0.45251396648044695</t>
  </si>
  <si>
    <t>0.8747185823743006</t>
  </si>
  <si>
    <t>0.0223463687150838</t>
  </si>
  <si>
    <t>0.5251396648044693</t>
  </si>
  <si>
    <t>11.933333333333334</t>
  </si>
  <si>
    <t>0.9333333333333333</t>
  </si>
  <si>
    <t xml:space="preserve"> narodila jsem se jako první dítě svých rodičů. Tatínek byl rozvedený, měl z prvního manželství Sina Karla, který byl vlastně v té době se říkalo můj nemánželoský bratr. Nebo můj, ano nemánželoský bratr. Proživali jsme spolů hezké mládí. Po sedmi letech, kdy jsem měla já s sedm let, se mým rodíčům narodil syn Roman. Byl o sedm let mlačí, než jsem já. S ním jsem už v takovém lásky plném životě nežíla. Poňovat jsem se o něho musela hodně starát. Máma v té době dělala auto školu, takže jsem ho musela přebalovat, musel jsem s ním hodin na procházky. Takže to se mě jako sedmi letteho lce moc nelíbilo. Své úplně rané mládí jsem prožíla u babičkým v napadlích, kde jsem měla se střenici a dva bratrance. Byli jsme velmi dobré oparta, jezdila jsem tam velmi ráda. A když rodíče příšdělí k babičce pro mě, tak jsem byla vždy neštěstná a nikdy jsem nechtěla vlastně do domu. Mocem je tální bylo, by hodně jsme strávili čas na ředce Moravě. Chodíli jsme se koupat v oprázninách v zímě, jsme brusilyli.</t>
  </si>
  <si>
    <t>Kardiovize_1957</t>
  </si>
  <si>
    <t>0.6178010471204188</t>
  </si>
  <si>
    <t>0.5706806282722513</t>
  </si>
  <si>
    <t>0.6949152542372882</t>
  </si>
  <si>
    <t>0.8532173675550273</t>
  </si>
  <si>
    <t>0.02617801047120419</t>
  </si>
  <si>
    <t>0.010471204188481676</t>
  </si>
  <si>
    <t>21.22222222222222</t>
  </si>
  <si>
    <t>2.6666666666666665</t>
  </si>
  <si>
    <t xml:space="preserve"> Takže leto máme za sebou. Hodně jsem chodila do práce, dovolenou jsem v červenci a v srdnu ještě neměla, takže už si těším teďkom na září. Kdy od nežka do 16. září mám dovolenou, jedeme s cerou do Polska se podívat na nějaký velmez hotel, užíci bazénu, užíci výhryvky. A jinak jsem byla hodně pracovně vytížená, takže jsem jezdila, když to šlo na koupariště, plavat, odpočívat, relaksovat během těch volných dnů, který jsem měla v červenci a v srdnu. Počasí nám snad bude ještě přát, když už ty dny jsou kratší, rána jsou chladnější, ale to nám nevadí. My si užijeme nějaké vyšlapy, třeba v krkonoších, pak si užijeme bazénu, výhryvky a zrelaksujeme se na příští další období podzimní. A jinak pracovně jsem dost takola vytížená, takže jsem ráda, když si můžu odpočinout. Koníčku se moc nevěnuju, protože ráda jsem teda chodila s hůlka Manorvolking, s nějakou instruktorkou na nějaké vyšlapy, ale ty se měla nějaké problémy, se chylbou šlachoh, takže mi to trošku omezovalo a bolelo mě to, takže jsem ani s těch zdravotních důvodů, teď se to mů moc nemohla věnovat, takže spíš takový vycházky menší nebo nějaké relaxnou.</t>
  </si>
  <si>
    <t>Kardiovize_1981</t>
  </si>
  <si>
    <t>0.7804878048780488</t>
  </si>
  <si>
    <t>0.36585365853658536</t>
  </si>
  <si>
    <t>0.8125</t>
  </si>
  <si>
    <t>0.9073296301314183</t>
  </si>
  <si>
    <t>0.008130081300813009</t>
  </si>
  <si>
    <t>0.7016129032258065</t>
  </si>
  <si>
    <t>41</t>
  </si>
  <si>
    <t xml:space="preserve"> Myslím si, že sport je pro lidi velice důležitá aktivita, podporuje všeobecný rozvoj, rozvoj fyzický, rozvoj i psychický, zvlášt pro mladou generaci, která je současné době velice závisla na využívání sociálních sítí, kde je k dochází k izolaci bladých lidí, bezkontaktními komunikací, která určitě neprospíva k jejich duševnímu rozvoji. Myslím, domnívám se, že právě sport, tady toto odstraniuje, především kolektivní sport, kde komunikace mezi jednatlivými, mladými lidmi respektivě účastníky sportovní aktivití, kde velice důležitá a jen zbytná. Proto se snažím aktivně působy, které v této oblasti, to znamená v oblasti sportu, a zajišťovat vedení tady tech sportovních aktivit tak, aby prostě docházelo k tomu, co jsem uvedl, znamená psychické komunikativní schopnosti mladých lidí, vytvaření určité z odpovědnosti v úči skupině, v účitýmu zaměřitů.</t>
  </si>
  <si>
    <t>Kardiovize_2027</t>
  </si>
  <si>
    <t>0.6972477064220184</t>
  </si>
  <si>
    <t>0.47706422018348627</t>
  </si>
  <si>
    <t>0.8433480625592747</t>
  </si>
  <si>
    <t>0.01834862385321101</t>
  </si>
  <si>
    <t>0.5585585585585585</t>
  </si>
  <si>
    <t>9.909090909090908</t>
  </si>
  <si>
    <t>1.0909090909090908</t>
  </si>
  <si>
    <t xml:space="preserve"> Nahrud jsem se rozhodl, že nachat pro vnuky výkopu bazén. Podažil se udělat výkopat díra. Koupil jsem bazén a ze soustředem jsme se dalí do toho, že to zmontujeme. Zmontovali jsme zistili, že nám prodali špatný bazén. Zprávný bazén byl vyložený, byla o pol metru menší. Museli jsme to vzít a můželi se to závodit. V toto chvíli čekáme na reklamaci, aby nám dodali vyměněny toforí. V toto chvíli tam dostává pořád velká díra. Mám strach, aby pez do tohle nezpát nebo někdo. Zabezpečili jsme to závodit, ale už jsme z toho nervozní. Máme tam postavenou konstrukci a máme stávaby nepríšel výtr a konstrukci nezničil to, co máme připravený.</t>
  </si>
  <si>
    <t>Kardiovize_2096</t>
  </si>
  <si>
    <t>0.4461538461538462</t>
  </si>
  <si>
    <t>0.8089887640449438</t>
  </si>
  <si>
    <t>0.8232804701983618</t>
  </si>
  <si>
    <t>0.6153846153846154</t>
  </si>
  <si>
    <t>10.833333333333334</t>
  </si>
  <si>
    <t xml:space="preserve"> Nareděl jsem se v konici a do svých 15 let jsem žil v osadě jednov. Předšel jsem do školy, takže jsem dojížel 4 roku do Bruntálu a po této době jsem už začal žít v Brně. V Brně jsem od roku 1980. Napřed jsem bydlel v pokolejích ubytovnách a následně jsem dostal byt a bydlím v bystrci. Pracují celý život o strojirenství, napřed v Kraloupolskej strojerně, nyní v soukromé firmě. Soukromé firmě jsem technik přespovrchvé upravy. Děláme upravy chemickou cestou a mechanickou cestou. Mechanickou cestou znamená otriskávání povrchu s následním nanášením nátyru. Nátyry mohou být rozpouštědlové nebo práškové. Rozpouštědlové nátyry sdělí na syntetické a alkidové. Z základních v současné době základní nátyry se provádní převážně dvou složkové, epoksydové na ně. Se na náší druhá přípaně třetí vrstva, což jsou nátyry.</t>
  </si>
  <si>
    <t>Kardiovize_2109</t>
  </si>
  <si>
    <t>0.6405228758169934</t>
  </si>
  <si>
    <t>0.49673202614379086</t>
  </si>
  <si>
    <t>0.8234615814564323</t>
  </si>
  <si>
    <t>0.058823529411764705</t>
  </si>
  <si>
    <t>0.477124183006536</t>
  </si>
  <si>
    <t xml:space="preserve"> No, je to pro mě těžké, nevím o čem mám luvit. Hrádo jsem stala s tím ředou na nějaké vyšetření, neznámé mě. No, tak jsem se nasní dala, protože celkem hráda dobřejím. No a šla jsem na autobus. A teď tady sedím a mám o něčem luvit. No, nevím o čem. V sobotu jdu nachalupu za přítelen, tak se už těším. Chodí tam za nám jít čadnej kocourek, moc milej. Já jsou taková máma koček. Když jsem byla jako děcko, tak to jsem měla pořád nějaké kočky. A jednou jsem tam měla teda kočku, která se mnou spávala v posteli. Jezdila jsem tam za týden, když jsem chodila do práce. A ta kočka už na mě čekala. No, takže sobota nedělej to se jen krmila. A pak zase tam vegetovala sama. A tak to bylo. No a co jinak bych řekla. To je tak hrozně těžký, když se mě na nic nikdo neptá.</t>
  </si>
  <si>
    <t>Kardiovize_211</t>
  </si>
  <si>
    <t>0.453416149068323</t>
  </si>
  <si>
    <t>0.8741798180070142</t>
  </si>
  <si>
    <t>0.024844720496894408</t>
  </si>
  <si>
    <t>0.5030674846625767</t>
  </si>
  <si>
    <t xml:space="preserve"> Mnou tyto týden byla vnůčka prázdniny, takže byla u nás tenáště vyjí s svojou sestrou, takže jsme si užívali. Hodili jsme, brusli, nahríště, hráli jsme, hry, karty, taky jsme se dívali na televizi a povídali si. Nejvíce nám damlouvalo, že jimu ráz chutná, dobře se nahí. A teď teda, jenom, že to rychlé uteklo, takže jsme jem museli vrátit domů a teď je nám po nich smutno. Dneska teda jsem se vypravil do bohu nic tady do toho caiteku, abych se nechal teda vyzkoumat, co je stabila zajímavá, protože jsem to nemohl najít. Na koniec jsem si musela dnavígat, abych se sem dostal. Inak to tady probíhá celkem, normálně zatím žádný problémy nevidím, ale teď už tak nějak nevím, po čem bych mluvil. Takže, jedině, že se těšíme jára, protože už je ta zima, která skáče ztepla do zimi, počas si všelý jaký bodoce nebaví. Až to je to, by je trvat dlouho to povedání, až to vím, co bych mluvil.</t>
  </si>
  <si>
    <t>Kardiovize_2129</t>
  </si>
  <si>
    <t>0.753968253968254</t>
  </si>
  <si>
    <t>0.3888888888888889</t>
  </si>
  <si>
    <t>0.8105263157894737</t>
  </si>
  <si>
    <t>0.8896272233554092</t>
  </si>
  <si>
    <t>0.015873015873015872</t>
  </si>
  <si>
    <t>0.5793650793650794</t>
  </si>
  <si>
    <t xml:space="preserve"> V Brně první konňka vyjela 17.08.1869, ale předcházalo i už první omlibusové linky z Králová Pole na náměstí svobody dnešní a známěstí svobody do Pisárek. Vůbec první linka byla z náměstí svobody k starobrněnském lásním, který dneska neexistují a byly na místě mendlovaná městí. Tedy ten obný bus je pekarskou, šilingravým náměstím, do Amerikánskou a zastavoval U vedle kostela, kde vedle stávala vrchní stráž. To bylo předchůvce pak v 60. letech neznikla konňka, byla výdeňská společnost, která organizovala hradu omlibusových línek dokonce v Brně jezdili i patrové omlibusy. Tyto lepěci nejsou doposavat publikovánej, takže s kolegou připravujeme publikaci. A jiná konňka byla vprvozu až první konňka oto 1869 do roku 1874, tedy kdyby je prvost bylo ukončen a pokračování bylo 1876 do roku 1880.</t>
  </si>
  <si>
    <t>Kardiovize_2147</t>
  </si>
  <si>
    <t>0.618421052631579</t>
  </si>
  <si>
    <t>0.5197368421052632</t>
  </si>
  <si>
    <t>0.776595744680851</t>
  </si>
  <si>
    <t>0.77526662058465</t>
  </si>
  <si>
    <t>0.013157894736842105</t>
  </si>
  <si>
    <t>0.5460526315789473</t>
  </si>
  <si>
    <t>16.88888888888889</t>
  </si>
  <si>
    <t>0.6526212600892867</t>
  </si>
  <si>
    <t xml:space="preserve"> Vstala, šla jsem na záhradu, skontrolovať, jestli jsou tam plezáci nebo domečkáři, jestli mi něco zase dorána nesežerali. Pak jsem si vzala motiku a okopala jsem si rajčata, protože pršelo. Vyštipovala jsem rajčata, uklidila jsem na pergoli předchatou, taky jsem ještě vyměnila kitkám, co mám šeřezany kitky, co jsem dostala k narození nám vodu. Zalila jsem všechny kitky na pergoli a pak jsem si nachystala hnojení na kitky a hnojení na rajčata, okurky a cukety. Všechno jsem nahnojila. Až jsem toto měla hotový, tak jsem šla zpátky do chaty, udělala jsem si třaj, nachystala jsem si snídaní a kaffé. Nasnídala jsem si odpočinula, a potom jsem si dostřídila pravdu do pračky a dal jsem si pravdu jako pračku. Už vylezlo teda s luníčkou, už bylo hezky, tak jsem se k vylku posadila k bazénu. Praní trvalo asi tak hodínku a po té hodínce teda zase se musela právno povězit a znovu jsem...</t>
  </si>
  <si>
    <t>Kardiovize_2161</t>
  </si>
  <si>
    <t>0.7256637168141593</t>
  </si>
  <si>
    <t>0.4336283185840708</t>
  </si>
  <si>
    <t>0.8622191864204926</t>
  </si>
  <si>
    <t>0.5752212389380531</t>
  </si>
  <si>
    <t>1.6666666666666667</t>
  </si>
  <si>
    <t xml:space="preserve"> Tak oteďka vlastně můžu mluvit o to vyšetřeníte navedle. O ty EEG je fakt, že mě překvapila čepica na hlavu, protože gel, které mi dali minule, pak šel strašně na neru, protože když uschnul, tak strašně parášil a vypadal jsem jako kometa, co pochoduje, ale tady to bylo jiný. Bylo to v pohodě. A máme doma v novu čátku, barušku, ale to potvórka malá. Pořád se chce dívat na tlapkovou patrolu, a nic jiných ho nechce dívat. A vlastně už nevím, co mám vždyst. Je se v konci, když normálně. Ještě tady ta minuta a půl je řeši. Manželka je nemocná. Je to značná. Tak celej den domá kašleje. Já nevím, co dál.</t>
  </si>
  <si>
    <t>Kardiovize_2234</t>
  </si>
  <si>
    <t>0.7281553398058253</t>
  </si>
  <si>
    <t>0.8266666666666667</t>
  </si>
  <si>
    <t>0.8185993349797508</t>
  </si>
  <si>
    <t>0.5631067961165048</t>
  </si>
  <si>
    <t>8.583333333333334</t>
  </si>
  <si>
    <t>0.5833333333333334</t>
  </si>
  <si>
    <t xml:space="preserve"> Včera byl slunečný den, tak jsem se po obědě vydal pracovat na zahradu. Najprve jsem očistil záhony od plevéle. Později jsem skontroloval, jak vše věrstlo. Dále jsem některé rozliny potřebovali zálít, tak jsem jahodí. Jahodí a hrášek jsem zálil. Potom jsem pokračoval s ostraňováním plevéle mezi česnekem. Dále jsem napustil do sudu vodu, aby tam byla zásoba na příští zálívku. Příštel domů a asi hodinu byl jsem u počitaše. Sledoval jsem, co je nového, prohlížal jsem poštu. Odpol na večer jsem si zajel nakoupit do hypermarketu. Po návratu jsem si chystal věci, které budu potřebovat seboj na cestě. Na večer jsem se vykoupal.</t>
  </si>
  <si>
    <t>Kardiovize_2241</t>
  </si>
  <si>
    <t>0.6745562130177515</t>
  </si>
  <si>
    <t>0.4556213017751479</t>
  </si>
  <si>
    <t>0.8070175438596491</t>
  </si>
  <si>
    <t>0.8413479486278341</t>
  </si>
  <si>
    <t>0.011834319526627219</t>
  </si>
  <si>
    <t>21.125</t>
  </si>
  <si>
    <t xml:space="preserve"> Takže včera jsme jeli na houpi. Jeli jsme do rapotit, kde jsme zběrali hřibky, kterých jsme našli 50. Pak jsme se vraceli z cestou dobeno, nakoupavali jsme v obchodě, pak jsme přijeli domů, vydělali jsme na akupu, dělali jsme obět a já jsem se připravil a šel jsem na trening na kuželkní, kde hrám jako za moravskou slaví. Závod někuželky. Po treningu jsem se ještě domluvili, že jen je tento týden a rád dorosit další zápast, tak kdy se sejde celé družstvo a zjistili jsme, že některí jsou ještě trochu nemocní, že začíná řádit zase nějaká hřibka nebo něco. Takže budem rádi, že se stavíme celou šestku, která nastoupí veštratek v rocici k zápasu. Jenak cestou pak domů už jsem si akorat nakoupil večerí a přišel jsem do mu, kde už manželka měla nasmážené bedle, které jsme nazbírali v lesé a připravené hřibky, které jsme oškarabali, očistili a nachystali jsme na zavarování. To nesel jsem ještě z klenice ze sklepa a to bych tak bylo asi za včeríše všechno.</t>
  </si>
  <si>
    <t>Kardiovize_2249</t>
  </si>
  <si>
    <t>0.6554621848739496</t>
  </si>
  <si>
    <t>0.46218487394957986</t>
  </si>
  <si>
    <t>0.8205128205128205</t>
  </si>
  <si>
    <t>0.8580728946039254</t>
  </si>
  <si>
    <t>0.008403361344537815</t>
  </si>
  <si>
    <t>0.025210084033613446</t>
  </si>
  <si>
    <t>0.4895397489539749</t>
  </si>
  <si>
    <t>34</t>
  </si>
  <si>
    <t>6.571428571428571</t>
  </si>
  <si>
    <t xml:space="preserve"> Takže jsem se zapoměl všechny tý monologi, který jsem se učil, když si v mláni, když jsem uvažoval i o tom, že bych mohl byt slovutný batéměř Iholivucký Herez. A připrovolil jsem se na skoučky na jamu a samozřejmě tam je jen z těch, když v ciplin byla monologi, že mimo nějaké vásničky a předvádění legraci byly monologi, pokud možno nějaké takové nosny, takových známejch osobnost, jak sěránost, zberžeraku a podobně. Takže monologi, ano, je to moc pěkný na někdy člověk vyjde monolog, když nepoštít druhým kvěslavou a není to dielok, a jsou to vlastně dva paralelní monologi. Ještě mám pokračovat, jako ještě je, to je těždě, já se myslím, že už to půl druhá, još 4 minuty, jste říkala, jo, tak 4 minuty je hodně dlouhá doba. No takže, co ještě bych si tak vymysel, aby to mělo hlavu a pato, no už tě se taky moc jiného nenapadá. Jedně jsem si spoměl na to, jak když si naš stryček, můj stryček, když jsme byli mali, tak se nás ptal, jestli známe nějakou českou větu, kde je 5 a za sebou, a myslám, že nysme řekli, že neznáme. Řekl, i Vančicích byl réznik a úzenář, Pan Jonas, ten si nechal udělat nový vývěsni štít od pana písmu malíře, a když se na to příšel podívat, tak můži ká, Panemistr, tam jsou chyby, Jančka jaký? No, mezi tím réznik a a a a a úzenář patří větší mezery.</t>
  </si>
  <si>
    <t>Kardiovize_2263</t>
  </si>
  <si>
    <t>0.7073170731707317</t>
  </si>
  <si>
    <t>0.4796747967479675</t>
  </si>
  <si>
    <t>0.735632183908046</t>
  </si>
  <si>
    <t>0.8696112969470239</t>
  </si>
  <si>
    <t>0.032520325203252036</t>
  </si>
  <si>
    <t>0.6422764227642277</t>
  </si>
  <si>
    <t xml:space="preserve"> budu povidat asi o svém vnukově a vnučce. Vnuk šel do první třídy teď, tak jsem ho doprovázela, chodím pro něho do družiny. Je strašně žávej do fotbalu, rád chodí na tréninky, má starší sestru Lavru, která vchodí do čtvrté třídy, má hrozně ráda tancování, chodí do baletu, je hrozně zadaná sportem. No, když jsou spolu domano, tak se samozřejmě dohadují, ale do školy spolu chodí úplně v pohodě, mají se ve škole rádi, jsou spolu v družině, ale doma už je to potom horší, to už potom se dohadují, no až tě bych možná změnila cestu neskadobost dobrna, protože autobus měl spoždění navlak, tak se musela dobíhat. No přijela jsem dobrna, zase měl autobus spoždění sem, takže jsem přijela teda tak neakorátno.</t>
  </si>
  <si>
    <t>Kardiovize_2293</t>
  </si>
  <si>
    <t>0.5042016806722689</t>
  </si>
  <si>
    <t>0.7564102564102564</t>
  </si>
  <si>
    <t>0.8139555122399352</t>
  </si>
  <si>
    <t>19.833333333333332</t>
  </si>
  <si>
    <t>1.3333333333333333</t>
  </si>
  <si>
    <t xml:space="preserve"> byla zvranova uberna, odjezd 9,45 mhd do Králova Pole, tam přestup na tramvaj číslo 6. Zledem k tomu, že celkem spojení fungovalo dobře, nebylo žádné spoždění zvranova, takže jsem tramvaj číslo 6 zastihla v pohodě. Tramvají číslo 6 přes Pekarskou ulici a mendlovo náměstí jsem jela až ke krematoriu, kde jsem přestoupila na tramvaj číslo 8, která je dne do bohunic, k nemocnici. Čekáni na přípoj na tramvaj číslo 8 bylo velmi krátké, během 3 min. tramvaj přijela, v pohodě jsem přestoupila na osmičku, v pohodě dojela na konečnou do bohunic, k nemocnici. Zledem k tomu, že jsem s debila už z manželem, věděla jsem, kde se koná vyšetření, tak jsem pěšky pomalu v poklidu našela studenskou ulici.</t>
  </si>
  <si>
    <t>Kardiovize_2294</t>
  </si>
  <si>
    <t>0.6685714285714286</t>
  </si>
  <si>
    <t>0.4514285714285714</t>
  </si>
  <si>
    <t>0.8295662231983039</t>
  </si>
  <si>
    <t>0.5689655172413793</t>
  </si>
  <si>
    <t>87.5</t>
  </si>
  <si>
    <t>9.0</t>
  </si>
  <si>
    <t xml:space="preserve"> Je si prondem okolo Antropos Park až na divieru do zadu a při té cestě se stavíme v bohunicích na jít masarikovou univerzitu kam druhý den musí mít na kontrolu lebo na výzkům. Tak jsme to proěli pak jsme sedli do auta a jeli jsme na Brněnskou přehradu se podívat jak to tam vypadá, jsme tam nejmí 20 let nebyli a pak jsme přehrady jeli dom na kávu a stíli jsme to tak za 3 hodiny všechno, byl to hlidný, pěkný výle s krásným počasím pak jsme šli ještě povadanou výly na procházku prošli jsme s jich blizký okolí, okolí kostela, alej převišli jsme na vrchnažiškov a s řišková jsme pomalu sešli dom kolem konečné zastávky a za další 3-4 letě hodiny jsme byli doma byl to vydareno neděle a druhý den už jsem se chystál na tvná vštěvu tady masarikové univerzity a ještě ráno jsem musel naštiví jen dobrozký o lékaře na převas s mám takové koho bolístku na zádech tak mě to převázali a otám jsem jel sem do kampusu na vyšetření</t>
  </si>
  <si>
    <t>Kardiovize_2299</t>
  </si>
  <si>
    <t>0.6863905325443787</t>
  </si>
  <si>
    <t>0.7844827586206896</t>
  </si>
  <si>
    <t>0.8646052318708457</t>
  </si>
  <si>
    <t>0.023668639053254437</t>
  </si>
  <si>
    <t>0.0650887573964497</t>
  </si>
  <si>
    <t>0.5029585798816568</t>
  </si>
  <si>
    <t>4.285714285714286</t>
  </si>
  <si>
    <t>0.6236783378972295</t>
  </si>
  <si>
    <t xml:space="preserve"> Tak my po mnohle těch máme malinkou vnučku, která má momentálně 3,5 roku, a je od svých sourozenců vlastně zdálená 20 let. Teď kom je to takový mazliček a zjistili jsme, že opravdu mít vnouče v tak pozdním věku je něco úžasného, protože se na to můžeme soustředit, můžeme vymýšlet věci, si se má toháček, že už nejdeme tolik s dobou, co se tiče techniky, která je pro nás velice rychle a nestiháme to všechno konzumovat. No ale zísili jsme, že 3,5 leté dítě nám dokáže hravě ukázat, jak se mobil pouští, jak se slumuje, jak se přepíná, potom nám ukáže, že tohle to neumíme, musíme se snažit a musíme začít a ji třičit. Takže děláme kotrmélce, což teda jako babička nezvládá už. No ale jinak, jdu dokážem je podpořit, zísil jsme, že i tak malé dítě dokáže šplhat polaně, po těch sítích, co jsou různy prolizačky a nebojí se vůbec ničeho. Takže je to úžasná věc. No a uvidíme jak to bude dál, protože díky tak...</t>
  </si>
  <si>
    <t>Kardiovize_2329</t>
  </si>
  <si>
    <t>0.6343612334801763</t>
  </si>
  <si>
    <t>0.5330396475770925</t>
  </si>
  <si>
    <t>0.87045318058753</t>
  </si>
  <si>
    <t>0.013215859030837005</t>
  </si>
  <si>
    <t>0.4956140350877193</t>
  </si>
  <si>
    <t>17.46153846153846</t>
  </si>
  <si>
    <t>2.6923076923076925</t>
  </si>
  <si>
    <t xml:space="preserve"> Jelmanžele máme čtyři siny, od každého syna mám dvě vnoučatá, takže do hromady osum. Nejstarší je Jolanka, ta už má 25 roku, její bratr Míreček, ten má 24. Potom byla hlouho pauza a měli jsme další vnučku. To byla Michálka, tá má 15, potom byl Filipek, ten má 14. Potom byla Nelinka, tam má 12, Lucinka má 9 a poslední nejmenší je Karinka, tam se do mroku chodí do první třídy. A je to tak být náš miláček, si cedicky přijede až má lo k nám jezdí, protože bydlí v opavě. A tak být cedicky přijede o jen na chvilku, ale je to strašně dostomilá vnučka. Na to, že jsme měli štěry siny, tak teď už je to převaha ženských, protože těch vnuček je 5 a vnuci jsou jenom 3. Když přijedou, tak je to strašné alegrace s nimi. Mněj lipší to bylo, když byli ještě menší, teď už jsou větší, tak už s nimi alegrace není, protože se se bez nás obejdou a májí rád, že ty svoje mobili a ty svoje stroje. Když byli menší, tak jednou byli tam všichni u nás a hráli si, aby bylo hrozně před snou potichu. Jsem říkla, co se tak asi stalo, že jsou tak všichni sticha. A když jsem tam chtěla nahlídnou, tak měsna cha říka babičko, nechodil toho pokoje nebo tě klepne pepka, říkám, co se stalo.</t>
  </si>
  <si>
    <t>Kardiovize_2330</t>
  </si>
  <si>
    <t>0.9186046511627907</t>
  </si>
  <si>
    <t>0.13953488372093023</t>
  </si>
  <si>
    <t>0.9367088607594937</t>
  </si>
  <si>
    <t>0.9548628753827114</t>
  </si>
  <si>
    <t>0.6395348837209303</t>
  </si>
  <si>
    <t xml:space="preserve"> Letošní rok začál už hned z kraje veľmi špatně pro zahrátkáře. Při květení meruněk jich hromada zmrzla, japka trochu obstáli, vynohradí celkem pomrzli, ale zase příroda je moc náčarodějka. Pod očka vyrazili a úroda byla docela solidní. Dále bych chtěl říct, že poslední dobou na Českou republiku hranou samé katastrofy. V poslední době byly zátopy, v určitých vesnicích nezustál třeba ani jeden dům. A lidé jsou z toho nešťastní a veľmi špatní, protože některí nemají své domy pojíštěny, takže pojíštěvní se k tomu staví veľmi nepříznivě.</t>
  </si>
  <si>
    <t>Kardiovize_2343</t>
  </si>
  <si>
    <t>0.734375</t>
  </si>
  <si>
    <t>0.8489987140188459</t>
  </si>
  <si>
    <t>0.583732057416268</t>
  </si>
  <si>
    <t>16</t>
  </si>
  <si>
    <t>2.3076923076923075</t>
  </si>
  <si>
    <t xml:space="preserve"> Tak myslím, že koničky patří taky prace na zahradě. Chodím tam asi 3 kratý dní, můj manžel tam většinou času trávy, protože tam má kočku a musí se o něm star. Tak tam mají spává, máme tam mají elektrínu, vodu, všechno. Takže on tam přespává a já když tam za ním jezdím, tak někdy tam taky přespím a někdy jedu do máme to asi vod. Není to moc hezké. 4. je to ve stady v Černovicích, ale byt mám hezký v bysterci, ale před jenom v tom bytě se cítím taková, jako nenapněná nebo nevím, jak bych to řekl. Tak když je to ve stady v Černovicích, není to moc, není tam les, tak rád na to zahradu důdu. Mám hrozně rád, když rád vstanu a je hezky počasy, že nas ní dám se ve musí kaffe a dusí se noutven, kde spozorují, jak mě to tam všechno květe. Je to moje hobby, můj manžel máme to trochu jako obrácený, můj manžel spišvaří a já pracují na zahradě. Pěstují tam skoro všechno, pěstují ve velkým brambory, protože máme rádi a chutejí nám daleko víc než z obchodu. Cibuli, mrke, petržel, rajtšata, fazole. Aby jsme si taky mohli toho vystačit, zřejmě to cibuli, musíme dokupovat česnek, taky mám těpěkný.</t>
  </si>
  <si>
    <t>Kardiovize_2344</t>
  </si>
  <si>
    <t>0.6973684210526315</t>
  </si>
  <si>
    <t>0.4342105263157895</t>
  </si>
  <si>
    <t>0.8113207547169812</t>
  </si>
  <si>
    <t>0.8506881777944295</t>
  </si>
  <si>
    <t>0.03289473684210526</t>
  </si>
  <si>
    <t>0.5228758169934641</t>
  </si>
  <si>
    <t>30.4</t>
  </si>
  <si>
    <t>4.6</t>
  </si>
  <si>
    <t xml:space="preserve"> Ráno jsem se vzbudila, byl kolem 8 hodiny, protože vím, že 9,40 musím odejít do cvičení, tak jsem si musela nasnídat, umít, trochu make-upu na sebe hodit, aby se mě kamarádky nehodně vzděsili a musela jsem uvažit, takže jsem vzala se kanou, co jsem měla včera, udělala jsem nějaké šišky z toho, k tomu jsem přidala zeleninu a bylo to docela dobré. Až příde manžel z práce, tak mu to předložím a ještě musím být ráda, když bude mě dobrou náladu a zavezem mě do cvíleku na vyšetření. Bono to klaplo, manžel dobrou náladu měl, tak mě jsem zavezel, trochu jsem to hledala, pak jsem chvílu čekala a teď už jsem tady a podrobují se ukolům. Teď mám takový ukol, že musím mluvit, což mě zase nejde až tak dobře, ale doufám, že už bude brzo konec. Koneceště není, to je špatně, tak v tom případě budu muset něco přidat.</t>
  </si>
  <si>
    <t>Kardiovize_2372</t>
  </si>
  <si>
    <t>0.6645161290322581</t>
  </si>
  <si>
    <t>0.4645161290322581</t>
  </si>
  <si>
    <t>0.8372290275320149</t>
  </si>
  <si>
    <t>0.5225806451612903</t>
  </si>
  <si>
    <t>3.5714285714285716</t>
  </si>
  <si>
    <t xml:space="preserve"> Moje nejlepší, nedovolena, ale vy jest, co utermálně lazně. Tam je tepla voda, která mě pomáha na moje klouby. Tam se ceti v nejlepší, na Slovensku tam se ček domluvi i dosi koupi bez problému, chodí z jednoho bazenu, do druhýho bazenu. Po rozhovor si povede z nějakýma lídma, když chtěj tak si s ním povídám, když nechci tak si nepovídám, když chtuji byť sama, tak jsem sama. Když jedeme z kamarády, kamarádkama, tak si třeba dáme srác, že v jednu hodinu se sejdeme tady a tady, a půjdeme na obět i náchci každý může dělat, co chce, kamit, ne musíme byť vazani na sobě. Pak večer jdeme domu, a tam jako v termálka je výborný idlot, domluvíme se, není žádný problém, dáme si to, na co máme chůť. Jdáme si ještě tam večerzy, jdeme na pokoj, na obětovaní, jdeme včer na, převlečeme se, jdeme na procházku, když jen je kde muzika, tak si jdeme.</t>
  </si>
  <si>
    <t>Kardiovize_2401</t>
  </si>
  <si>
    <t>0.7012195121951219</t>
  </si>
  <si>
    <t>0.4451219512195122</t>
  </si>
  <si>
    <t>0.8807057073075191</t>
  </si>
  <si>
    <t>0.036585365853658534</t>
  </si>
  <si>
    <t>0.006097560975609756</t>
  </si>
  <si>
    <t>0.6158536585365854</t>
  </si>
  <si>
    <t>14.909090909090908</t>
  </si>
  <si>
    <t>2.272727272727273</t>
  </si>
  <si>
    <t xml:space="preserve"> tak já moc ráda zahradničím. Za domem mám velkou zahradu, na které pracují a dělám všecky práce od rytí, stříhání stromku, hnojení, sázení, pečování v květiny. Tak teď jsem porila záhon a zasadila jsem hrášek, který už vyrostl, pak mě vyrostli cukety už ze země. Ještě bych asi měla přehodit komposta, ale do toho se mi moc nechce. Ale jinak mě květou všecky možný kvítka, teď mě rozkvětli klemátisy, dva ružoví, jeden bílý a krásně se pnou po plotě. Tak z těch mám velkou radost, a jinak trávím na zahradě, když je hezky celý den, když můžu. Ale ještě chodím do práce odpoledné, takže to tak jako strídam. Práci na zahradě, na domně a chodím do lekárny tam pracujou. Děti už jsou velké a v navčatách, takže ty už po mě nic moc nech potřebují, takže lidat nemusím a věnuju se zahradničení a chození do práce. Případně ještě s kamarádkou na nějaký pieší výlet i chodíme. Taky chodím plavat, jednou týdně, když to víde.</t>
  </si>
  <si>
    <t>Kardiovize_243</t>
  </si>
  <si>
    <t>0.8928990459326982</t>
  </si>
  <si>
    <t>0.019417475728155338</t>
  </si>
  <si>
    <t>29.428571428571427</t>
  </si>
  <si>
    <t>3.2857142857142856</t>
  </si>
  <si>
    <t xml:space="preserve"> Polepné, já neprotože nejsem z Berna, tak jsem nespríjela vlakem si cez díl autem, ale tady jsem si neodvážila přijet, protože nevím, kde bych parkovala, nevím, jak by to tady bylo složité. Takže jsem přijela vlakem a autobusem. Cestování bylo úplně bezvatné, pohodlné a myslím si, že pro člověka v mém věku ideální. Našla jsem tady tuto vyskumnou, to vyskumné centru bez problému, měla jsem z toho obavy, proto jsem měla hodně brzo, stávala jsem už o půlpáté, abych prostě, radši tady byla držív, protože jsem nevěděla, jestli to budu hledat dlouho, ale prostě z toho autobusu číslo 40, je to pravdů pár kroku. Tady potom to vyšetřině jdu spět domů, bydlím na Venkově, byl tomu i celo životní sen, celý život jsem bydlela v Brně, během profesní karieri, kterou když jsem ukončila odchodem do důchodu, tak jsme si koupili domek na Venkově a jsem zčasná Venkovanka. Mám dva psy, dvě kočky, asi deset králiků, několik slepic, takže jsem se vlastně tak naučila takové změnu žiota a musím říct, že ti psy a kočky mi dávají úžasnou energii. Sou to moji největší kamarádi, moji psychologové, moji nabiječí energii, chodíme každý den na procházky, chodíme do lesa, tam máme krásné okolí a takže si to takhle užíváme.</t>
  </si>
  <si>
    <t>Kardiovize_2441</t>
  </si>
  <si>
    <t>0.676923076923077</t>
  </si>
  <si>
    <t>0.7954545454545454</t>
  </si>
  <si>
    <t>0.8247002007456653</t>
  </si>
  <si>
    <t>0.046153846153846156</t>
  </si>
  <si>
    <t>0.5615384615384615</t>
  </si>
  <si>
    <t>14.444444444444445</t>
  </si>
  <si>
    <t>1.4444444444444444</t>
  </si>
  <si>
    <t xml:space="preserve"> Do Ceyteku jsem šal s domů ve sněhu, protože neustále sněžilo. Čekal jsem na autobus Ihumoravského kraje, kterým mě zavezel do Rajhradu na nádraží. Tám jsem přestoupil na další autobus, kterým mě zavezel k Ustřednímu Hřbytovu. Opatr jsem přestoupil na číslo 40 autobus, kterým mě zavezel na studenciou ulici, na konečnou. Oca jsem šel do vyskům měho střediska Ceyteku a tam se mě ujala slečna, která mě dovedla na EEG. To jsem úspěšně absolvoval, doufám, potom jsme udělali testy na čích, na psaní, na řeč a tím si myslím, že to všechno skončilo úspěšně. Tady sedím, vykládám, nevím už co, ale doufám, že to nějakým zvládním. Už se těším dom, protože mě volá kamarád, že možná budeme napivo, takže to musíme ukončit. Ještě neco? Tak uvidíme, jak to dopadne všechno.</t>
  </si>
  <si>
    <t>Kardiovize_2459</t>
  </si>
  <si>
    <t>0.5063829787234042</t>
  </si>
  <si>
    <t>0.6978723404255319</t>
  </si>
  <si>
    <t>0.5966386554621849</t>
  </si>
  <si>
    <t>0.8295714442316259</t>
  </si>
  <si>
    <t>0.05531914893617021</t>
  </si>
  <si>
    <t>0.06382978723404255</t>
  </si>
  <si>
    <t>0.5361702127659574</t>
  </si>
  <si>
    <t>26.11111111111111</t>
  </si>
  <si>
    <t>4.444444444444445</t>
  </si>
  <si>
    <t xml:space="preserve"> Dobrý den, já jsem ze mňka všišel po prémlovinu mikrofonu a těším se jak to všechno dopadne. Tačí, nestačí dobře pokraču dál, byl mě dáno na jevo, že mám ještě krilku pokračovat, takže tak dělám a nevím co vykládá. Eště málo. No tak dobře, tak co mám vykládat, já nevím, dnes kablovenku pěkně, je teplíčko, takže jsem spokojený člověk, je mi dobře a mám všechno rád. Vešte to nestačí, nechal takový keca, ani to prostě pravně není, já nejsem člověk, který je strášně rád keca, já jsem naopak člověk, který mál a mluví. Eště málo. No tak to je zajímavé, no já jezdím na různí dovolený a tam jezdí vám z lidmá, kde zí někte zí naopak strášně rádi keca, jako to jsem někdy nejlíbí i když se mi to zase naopak nadůstají, kde nejlíbí, protože keca je onesmyslech. A furt ještě to nestačí, no vidíte, tak já už na to keca už úbec nejsem, takže takhle, jezdím, říkám po světě, jsem rácem, spokojný člověk, jinak nevím, co bych to mě ještě rád dodával. Tak to už je na mě moc, no já opravdu, upravdu už nevím, co bych vykládá, ale já tady v tom mikrofonu jako takový osední poprvé, nikdy jsem do mikrofonu nekeca, ale prostě jsem tady k tomu jako takhle nějak nejsený, ale jako že bych byl spokojný, jak to tě a takhle nejsem, chcete se, a i na mikrofonu tohle nebaví.</t>
  </si>
  <si>
    <t>Kardiovize_246</t>
  </si>
  <si>
    <t>0.7055837563451777</t>
  </si>
  <si>
    <t>0.4416243654822335</t>
  </si>
  <si>
    <t>0.7913669064748201</t>
  </si>
  <si>
    <t>0.8932190046443471</t>
  </si>
  <si>
    <t>0.02030456852791878</t>
  </si>
  <si>
    <t>0.04060913705583756</t>
  </si>
  <si>
    <t>0.5126903553299492</t>
  </si>
  <si>
    <t>49.25</t>
  </si>
  <si>
    <t xml:space="preserve"> Kbyhem této nahrávky bych chtěl vysvětlit, podděl jsem se na koniec rozhodl bořidici vůz na elektrinu. Prostože všichni v obmém okolí o mě ví, že jsem zapřisáhli přizni vec spalovacích motorů a v podstatě jenom do teďka jsem používal auto s spolovacím motorem a ještě před třemi lety jsem se každým z kolegu, který říkal o přednostech elektrovozů trošičku smál a říkal jsem, že jec s tímto voze měkam dál, jako je úplně nesmyslné a vůbec prostě i zhlediska toho, jak by měl člověk tohlen stto auto dobíjet a provozovat, mě to připadlo v té měř nemožný. Nicméně za asi tři roky jsem hodně změnil svůj názor a to vlivem toho, že mám teda dvě malé děti a potřebují často s ním jezdit ať už je to teda do různej zájmových kroušku nebo sportovních kroušku a je to všechno jízdy, tak říkajíc kolem komín a to znamená zhruba od těch kilometrů do těch 5 kilometrů kolem varáků. V tomto případě mě mě přijde úplně nesmyslné používat auta ze spalovací motorem, protože ten motor se vůbec nezahré na svůj provozní teplotu na opak, jako mu už mu užkodí toho různé věci, jako je nedostatečné mazání a jiné věci.</t>
  </si>
  <si>
    <t>Kardiovize_2462</t>
  </si>
  <si>
    <t>0.726027397260274</t>
  </si>
  <si>
    <t>0.3767123287671233</t>
  </si>
  <si>
    <t>0.8584905660377359</t>
  </si>
  <si>
    <t>0.839586043697523</t>
  </si>
  <si>
    <t>0.0136986301369863</t>
  </si>
  <si>
    <t>0.00684931506849315</t>
  </si>
  <si>
    <t>0.5416666666666666</t>
  </si>
  <si>
    <t>12.166666666666666</t>
  </si>
  <si>
    <t>1.0833333333333333</t>
  </si>
  <si>
    <t xml:space="preserve"> Ménuji se Leonard Chopik, narodil jsem se 14.10.53. Pilo to ve středu všet hodin večer. Narodil jsem se v uherském hradíšči v nemocnici, bydlel jsem vřezolupy, příslo 54, vytomuj rodný dvom. Měl jsem sestru, ménuval se Eva, už je napravdu boži. V bloně 25 jsem se hoženil, mám dva síny, teď mám 5 vnoutřat. Nevěsty nebo jak se to říká snachy, covodné, nemámi s ním a problém. Vystudoval jsem v střední školu elektroniky, byl jsem 3 semestry na vysoké brně na technice, kde jsem to jakože přerušil a než jsem se probrál z toho času, tak mě poslali, že mě vylučují, že jsem nynastoupil. 63 jsem šel do důchodu, kdy jsem odpracoval nevím, x roku, opravlal jsem býle spotřebiče, to je pračky, ledničky, mičky a takové spotřebiče. Od 60. roku v důchodu, kde jsem se začal zabývat svojí mekoníčky, když jsem dávno cvičil kulturystiku.</t>
  </si>
  <si>
    <t>Kardiovize_2463</t>
  </si>
  <si>
    <t>0.6944444444444444</t>
  </si>
  <si>
    <t>0.4722222222222222</t>
  </si>
  <si>
    <t>0.8684731239778797</t>
  </si>
  <si>
    <t>0.027777777777777776</t>
  </si>
  <si>
    <t>0.4689655172413793</t>
  </si>
  <si>
    <t>48</t>
  </si>
  <si>
    <t>5.666666666666667</t>
  </si>
  <si>
    <t xml:space="preserve"> Takže minutuva půl mám asi na to, abych se nejdřív omluvil z hazmatek, který jsem spůsobil v sejteku, protože jsem vyrazil o hodinu dřív, aniž bych si uvědomil, jaký čas zrovna je, ale současné době už doufám, že se s tímhle problémím sejtek vyrovnal a je mi odpůštěno. Tato cesta byla dlouhá a také jsem sejtek hledal, takže jsem byl úplně mimo vnímání času, protože jsem se toval mezi nemocnicí a po kampusu sejtekem v této chvíli už je všechno úspěšně vyřešeno, sedím v laboratoři a můžu na tohle témat, tady to je ovořit. Je to pro mě docela vytržení zběžného rytmu, protože už jsem nějaký ten rok v důchodu, ten důchod mi radikálně změnil všechno od vnímání času po náplňčímnosti, ale myslím, že jsem mi podažil se s tímho celou úspěšně vyrovnat čas, který trávím razhodně nepovežil za stracený, že bych se budil.</t>
  </si>
  <si>
    <t>Kardiovize_2466</t>
  </si>
  <si>
    <t>0.736</t>
  </si>
  <si>
    <t>0.36</t>
  </si>
  <si>
    <t>0.8695652173913043</t>
  </si>
  <si>
    <t>0.8309202441126852</t>
  </si>
  <si>
    <t>0.016</t>
  </si>
  <si>
    <t>0.616</t>
  </si>
  <si>
    <t>5.434782608695652</t>
  </si>
  <si>
    <t>0.34782608695652173</t>
  </si>
  <si>
    <t>0.6585956682241998</t>
  </si>
  <si>
    <t xml:space="preserve"> Záčnem životopisem. Narodil jsem se 15. dob na 48. První polovině minuleho století. Už jsem dostatečné vyrostl. Už se dostpělím. Chodil jsem na základně školu vyšlapanících. Poté jsem absolvoval gymnáziu, nakřenové. Poté jsem absolvoval 4 roky vysoké školy elektro. Potom jsem roku 69 odešel. Okamžitě jsem nastoupil na vojnu. Po vojně, jak jsem se vrátil, jsem dělal vychovatele. Přítom jsem začal studovat perovíckou fakultu. Ubor tělesná vychová a zeměpis. Ten jsem zdárně doštudoval. Pak jsem nastoupil do zaměstnání. Pracoval jsem na národní vyboru města Barna. A v roce 1969, 1989, nebo vlastně 1990, jsem začal soukladně podnikat. Ještě to nemáme cočasově. Ještě přítom jsem si udělal doktorát. Takže mám však rovkvalifikací pro všechno. 30 let jsem podnikal v úklidových pracích. A přítom ještě jsem teda...</t>
  </si>
  <si>
    <t>Kardiovize_2467</t>
  </si>
  <si>
    <t>0.546583850931677</t>
  </si>
  <si>
    <t>0.7448979591836735</t>
  </si>
  <si>
    <t>0.8094210347091856</t>
  </si>
  <si>
    <t>0.043478260869565216</t>
  </si>
  <si>
    <t>0.5217391304347826</t>
  </si>
  <si>
    <t>0.4</t>
  </si>
  <si>
    <t>0.656465017936539</t>
  </si>
  <si>
    <t xml:space="preserve"> Můj koniček je aklaristika. Chovám rybky různy druhy. Vělic je mě to baví. Mám hnádří, kde mám zasázené roztliny. Mám vybavení, filtery čerpadla. Rybky v tom chovám. Některé rybky je rozmoživu. Je to věc, která mě baví už několik let. Do konce se se dopracouval. A jí ryby prodávám do zahraničí. A vám je to věc, které je to věc. To je všechno, co vám chcete říct. Je to na ročí na čas. Ale mě to nebaví. Nevadí teda. Prostě mě to baví. Nevím, co bych vám řekl. Na tom minu. Je to jinak v Brne. Rád chodím plavat, koupat si. A do lesa. Nejradí chodím do lesa na rybky. Tam chodím, byly cérát. Zvlážná podzim, když je chladně. Ještě nejtaký vorka, jako teď. Jezdí vám vlakem. Auto nemám. Jsem pěstoval turistiku. Chodil se hodně. Až 10 km dělně. A snažím se něco udělat. Až to je nějaké drobné sporta. Ale... Nevím, co bych vám dál řekl. Ještě si stačí to.</t>
  </si>
  <si>
    <t>Kardiovize_2472</t>
  </si>
  <si>
    <t>0.8380952380952381</t>
  </si>
  <si>
    <t>0.26666666666666666</t>
  </si>
  <si>
    <t>0.918758338671428</t>
  </si>
  <si>
    <t>0.009523809523809525</t>
  </si>
  <si>
    <t>0.0380952380952381</t>
  </si>
  <si>
    <t>0.5904761904761905</t>
  </si>
  <si>
    <t>8.75</t>
  </si>
  <si>
    <t xml:space="preserve"> Takže nesráno jsem vstávala na zvonění budíku v 5.30. Stejně jako každý všední den, když uměz pí syn s oběma vnůčkami. Potom jsem chystala tý mlačí Emilce, která stává drív. Syn je hledal oblečení, oblékali. Já jsem si zatím udělala taky snídani pro sebe kávu synový. Syn opul sedmé vyrážil s Emilou do školky a vstávala starší vnůčka, 12 letá verunka. Verunka moce jistávat nechtělo, protože usínala včera nějak po 11. hodině. Chystala se do školy, zabrala koupelnu, se měla problém dostat se do koupelny, aby se mohla osprchovat jako každé ráno. Bylo to takový hetický. O koupelnu jsme se tam přetahovali a dohadovali.</t>
  </si>
  <si>
    <t>Kardiovize_2484</t>
  </si>
  <si>
    <t>0.7248322147651006</t>
  </si>
  <si>
    <t>0.4228187919463087</t>
  </si>
  <si>
    <t>0.7962962962962963</t>
  </si>
  <si>
    <t>0.8842595699098733</t>
  </si>
  <si>
    <t>0.020134228187919462</t>
  </si>
  <si>
    <t>21.285714285714285</t>
  </si>
  <si>
    <t xml:space="preserve"> Tak jsme se sešli rodina zase minulý týden. Tak rodina, driv jsme se scházeli pravidelně, teď už pomalu nás ubývá a nemají čas mladí, protože mají plnou práce, tak jsem uvářila, udělala jsem chlebíčky, přišli i s malou mou vnučkou, je to strašní éro, protože je to tříleté a holčíčka, která teda pusu nezavře. Zajímají různí kroušky a když jsou u nich, tak nemám se nezastavím. To je babičko, čtímně ráno otevře voči, přiběhe ke mě dopokoje s knížkama a už si prohlíží kníhy. Zajímají všechno možný a počtímně vypkládej o užáčkoví a vola, si člověk musí vymýšlet všichni, jaký blbostí. Mám jednu ceru, která teda bydlí mimo Brno, jsme se v kontaktu, každý den si telefonujeme, když u nich nejsou. Vybrala jsem jim dum, který si koupila, ráda dělám na zahradě, mám suprovou ceru, která teda se v mě a jistará, že kdybych něco potřebovala, tak není problém.</t>
  </si>
  <si>
    <t>Kardiovize_2488</t>
  </si>
  <si>
    <t>0.6271929824561403</t>
  </si>
  <si>
    <t>0.6967213114754098</t>
  </si>
  <si>
    <t>0.8041612184710306</t>
  </si>
  <si>
    <t>0.06578947368421052</t>
  </si>
  <si>
    <t>0.5043859649122807</t>
  </si>
  <si>
    <t>57</t>
  </si>
  <si>
    <t>10.0</t>
  </si>
  <si>
    <t>0.6655407934910111</t>
  </si>
  <si>
    <t xml:space="preserve"> No tak v sobotu jsem se říkala, že zajedu chcí, protože se volál mě syn, že jak to bude leto se s Mikulášem, a že by tam zašel sáře, což je našem moje jediná vnůčka, takže by ji donesel Mikuláše, tak jestli bych tam nepríšla taky. No tak jsem se rozhodla, že jo, tak jsem něco už měla doma, něco jsem rychle utíkala koupit i pro ně, i pro ceru a pro syn. Protože o němi taky vždycky něco dávají, a tak jsem prostě šlo něco koupit a pak jsem všela, pak jsem děla za níma, no a v normalně jsem přesedla na české, a jela jsem směr, vystopila v táboře, rychle, rychle, protože jsem cíknout zelenou, no a nechala jsem tam tu kabelu i s tím Mikulášem, no to jsem teda nadávala, kdy se na to přišla. No tak teď jsem nevěděla, co mám dělat, tak jsem se díval, kam ta trojka jede, trojka jela narekoveckou, tak jsem volala teda přeří, co se mi stalo, tak to říkala, ale mám ji vykašli se na to, nechotníkám, já se říkala, ne, já pojdu další trojko, ať mě vláďa zjistí, jak tam ta trojka dlouho je na té konečné, no to, protože vone takový expert přes tu opravdu, tak by to opravdu za volal za chvílku, že tam mám 10 minut čas, na to abysi to tam víz, já...</t>
  </si>
  <si>
    <t>Kardiovize_2491</t>
  </si>
  <si>
    <t>0.6544502617801047</t>
  </si>
  <si>
    <t>0.4607329842931937</t>
  </si>
  <si>
    <t>0.824</t>
  </si>
  <si>
    <t>0.836921257290218</t>
  </si>
  <si>
    <t>0.005235602094240838</t>
  </si>
  <si>
    <t>0.5602094240837696</t>
  </si>
  <si>
    <t>3.4444444444444446</t>
  </si>
  <si>
    <t xml:space="preserve"> Takže včera jsem jel na výlet, když jsem náhodou objevil na mapě Petrovů studiánku, tak si říkám a, ten místo, které ještě neznám, tak jsem tam dojel. Našel neprve na mapě a pak jsem nakolej věrazil k podivu, je to až za Malhostovice ma. To znamená z Brna do Malhostovice, jel čevej klasickou cestou. U Malhostovic jsem zastavil na pece Malhostovické podivace, jak nám kletou koniklece a vůbec, jak se tam probouzi a rok životu. A pak dál přes Malhostovice na hru do kopcu, na úplně mě neznámi místo Petrový studiánky. Je celkem hezká, i tam i znak Petra, je kryta, částiční, kamená. A když jsem tam dojel, zjistil, že dokonce teď je trochu vody, tak blizonko na jednou na kopečku bylo vidět iště zajímavé místo, tak jsem kouklu do mapy, co to je. A to bylo pouťní místo svatého klimenta, co jsem bojně zjíral, kde to je, protože k tomu nevedle žádná cesta, žádný věci. Kři to mi tam kříž je tam zbytek tor zostali ho kostela a je takovým papírem schovaným pod kamenem tam bylo napsaných z jakiego to roku a co tova, že po husických válkách to zničili.</t>
  </si>
  <si>
    <t>Kardiovize_2492</t>
  </si>
  <si>
    <t>0.6621621621621622</t>
  </si>
  <si>
    <t>0.4864864864864865</t>
  </si>
  <si>
    <t>0.7755102040816326</t>
  </si>
  <si>
    <t>0.8729712496749454</t>
  </si>
  <si>
    <t>0.02252252252252252</t>
  </si>
  <si>
    <t>0.018018018018018018</t>
  </si>
  <si>
    <t>0.5112107623318386</t>
  </si>
  <si>
    <t>31.714285714285715</t>
  </si>
  <si>
    <t>4.857142857142857</t>
  </si>
  <si>
    <t xml:space="preserve"> Takže témazte mě napovedila, to je dnešní počasy, nebojste říkala, že dneska už možná žádná tramvaj nepojede. Já s tím mám docela dobré skušenosti, protože jsem celý svůj život pracoval v dopravním podniku. Ne tedy jako řidiť, ale v kancelárích, ale chci bych říct zážitého znešní cesty, protože jsem jel trolejvu semsem, bydlím u zimního stadionu a zajímavý je jak vyškový rozdíl dělá problém v dopravě u trolejbusu, protože třeba u zimního stadionu to jezdi normálně. A když jsme věli na hru na konečného náměstí, tak tam byly troleje na mrzle, takže ten zběrač nebo ty zběrače skákali po té troleji, dělali velké oblouky a měl jsem obaví, aby to třeba nepřepálilo trolej. Pach jsme si jeli dolů na mendlovo náměstí a bylo to už asi normální, takže opravdu se nám kolikrát stalo, že trolej se přepálila, díky to může ten zběrač odskočil nebo kopieroval vlastně ty krápníčky, co se vytvoří na mrznoutím na té troleji a přepálilo to potom trolej. Což naštěstí po cestě jsem se mě nestalo, měl jsem si se dostatičnou rezervu, čil jsem ohodně drív, protože jsem věděl, že to počasí není nějaký moc dobrý, docela mě překvapilo, že to a jí jezdí, takže jsem tady bylo půl hodiny spíš a tím pádem jsem se mohl na to připravit. A ještě mám něco říkat, nebo už to stačí.</t>
  </si>
  <si>
    <t>Kardiovize_2495</t>
  </si>
  <si>
    <t>0.6195652173913043</t>
  </si>
  <si>
    <t>0.5163043478260869</t>
  </si>
  <si>
    <t>0.8274949190401205</t>
  </si>
  <si>
    <t>0.03260869565217391</t>
  </si>
  <si>
    <t>0.03804347826086957</t>
  </si>
  <si>
    <t>0.5347593582887701</t>
  </si>
  <si>
    <t>14.153846153846153</t>
  </si>
  <si>
    <t>2.3846153846153846</t>
  </si>
  <si>
    <t>0.6626402070750648</t>
  </si>
  <si>
    <t xml:space="preserve"> Prdp. na YouTube našla cvičení, který mě velmi zaujalo. Tak jsem se nahlásila na webinář, kde onem právěli. Abychom se naučili zbavit bolestí v zádech, když nám přichází. Abychom nemuseli být hlášky a chodit na rehabilitace a podobně, že si to můžem sami vyskoušet. No tak jsem se přihlásila a moc mě to líbilo ten webinář. Tak ta platila jsem si na 70 dní kurs, který si můžu rozlošit až dosta dnů. A tak jsem už tři děříkrát cvičila, moc mě to zaujalo, protože tam velmi dobře vysetluji, jak má člověk cvičit, co má dělat jako správně hlavně. No tak to mám vyskoušený, moc mě to baví. A těším se na další den vždycky, jak budu pokračovat. A zbavím si vlastně tam je to o tom posilit si střední část zádových osvalstvá, naučit se správně dýchat, správně pohybovat a rovna tělo tak, aby člověk hodil z vlastně zdravě a přirozeně zpríjmené. No tak to je všechno, potom bych mohla o to ešte popýklada třeba o... o tom, že mě začalo zajímat o vyživě a o zdravování, a o tom, jak se uzdravovat vlastně jidlem.</t>
  </si>
  <si>
    <t>Kardiovize_2537</t>
  </si>
  <si>
    <t>0.7292817679558011</t>
  </si>
  <si>
    <t>0.3867403314917127</t>
  </si>
  <si>
    <t>0.8409090909090909</t>
  </si>
  <si>
    <t>0.8907808578980682</t>
  </si>
  <si>
    <t>0.0055248618784530384</t>
  </si>
  <si>
    <t>16.454545454545453</t>
  </si>
  <si>
    <t>2.1818181818181817</t>
  </si>
  <si>
    <t xml:space="preserve"> Mým velkým hobby je jízda na kole. V letím obrubi se rád projíždím českomaraskou vrchovinou. Vlastně jejími lesněmi porosti, které jsou v současné době zádeny a zdepormovány lesní technikou. Občad člověk nemůže ani projít na to, že projít na kole. Ráce divánkole sebe milují ne silnici, ale herbalatí dá se říci přírodní terén, na kterém se vydovádí. Je když jsem v pokročeném věku, tak hne pořád baví jsem tam i spadnout, aby se dokázal při nějaké nenadále situaci do této situace nevžít, ale dovedli zládnout. Je říká, že je říkám, povědl se na učit padat. Rád jezdím i po těch místních památkách, a to jsou hrady, zámky. Rád se přitom pobavím z lidmi, které jsem tam postávají na těch odpočívadlech a užívají si té chvilky, když zrovna nejedou, na měna, že svačí, jsem tam, kde jsem napí. Když rečí, já se zastavím nějakého spudce, dám si nealkohlitsky nápoj, která nevyžtitsky, ale tak, abych dokázal zase dojec pátky domů. A má dení představé u je tak 80-90 někdy i přes 100 km, podle toho, jak je krajina intenzivní a zážitky hlboke.</t>
  </si>
  <si>
    <t>Kardiovize_2542</t>
  </si>
  <si>
    <t>0.6571428571428571</t>
  </si>
  <si>
    <t>0.782608695652174</t>
  </si>
  <si>
    <t>0.82615939086965</t>
  </si>
  <si>
    <t>0.02142857142857143</t>
  </si>
  <si>
    <t>0.6142857142857143</t>
  </si>
  <si>
    <t>12.727272727272727</t>
  </si>
  <si>
    <t xml:space="preserve"> Iž od děctví jsem ráda cestovala, ráda chodila, dělala výlety, hlavně po horách. V době mého děctví nebylo možno jezdit moc do zahraniči, takže v bývalém Československu. A to mě provázi celý život. Jak jsem se vdala, tak i potom s rodinou. Jsem organizovala výlety a se svoji cerou a potom když cera se osamostatníla, tak i v pokročilejším věku stále aktivně ráda cestují a chodím po horách. V současné době i ráda k morí. Mám ráda slůmce a plavu to mě hrozně baví. Plaváni mě baví i v zimě, kdy můžu chodit do krytejého bazénu. V současné době děláme i výlety pieší, třeba kolem berná. A protože jsem v důchodě, tak mám možnost chodit na výlety v všední deny. Mám spoustu dobrých známých, které mají také tento stejný koníček, který provozujeme velice rádi a tím v podstatě se udržujeme.</t>
  </si>
  <si>
    <t>Kardiovize_255</t>
  </si>
  <si>
    <t>0.6536312849162011</t>
  </si>
  <si>
    <t>0.4860335195530726</t>
  </si>
  <si>
    <t>0.7863247863247863</t>
  </si>
  <si>
    <t>0.8480073679444535</t>
  </si>
  <si>
    <t>0.00558659217877095</t>
  </si>
  <si>
    <t>0.5698324022346368</t>
  </si>
  <si>
    <t>29.833333333333332</t>
  </si>
  <si>
    <t xml:space="preserve"> Vydlím v krásné části Brna, ménuje se Mukrá Hora, máme tam rodiný domek, u kterého je krásná zahrada, kterou milují a kterou se ráda starám. Miluju kitky, miluju přírodu, miluju zvířata a proto mám taky pejska, je to si cekříženeček, ale je moc milá a hodná, už má 5 roku a je to takový můj mazlík. Mám taky 4 vnoučata, 3 slečný hezky a jednoho kluka, které jsou taky moje lásky. Miluju je, věnuju se jim, jezdíme spolu na výlety, chodíme do muzejí, byly jsme i v zahraničí spolu na dovolených a mám taky dvě dospěle děti, syna a celu, který taky velmi miluju, protože mám opzimistické naladení od rána do večera. Takže hodně všechno vidím narůžovost, jsem se vším spokojená, ráda chodím na ty procházky s tím psem a s těma vnoučatama, takže už když se ráno probudím, udělám to, co nejdnudnější doma potřebuju a potom se začnu věnovat psový, chodím s ní za hrátku na louku velikou. Takže taky mám taky velmi miluju, takže už se všichni věnovat psový, chodím s ní za hrátku na louku velikou.</t>
  </si>
  <si>
    <t>Kardiovize_264</t>
  </si>
  <si>
    <t>0.6482412060301508</t>
  </si>
  <si>
    <t>0.507537688442211</t>
  </si>
  <si>
    <t>0.8577393732641065</t>
  </si>
  <si>
    <t>0.03015075376884422</t>
  </si>
  <si>
    <t>0.005025125628140704</t>
  </si>
  <si>
    <t>0.5276381909547738</t>
  </si>
  <si>
    <t>18.09090909090909</t>
  </si>
  <si>
    <t xml:space="preserve"> Tak poslední víkent byl pro mě hodně náročný. Bydlím s cerou zjetiem a 12 letou nučkou a druhá cera, která je po operaci, se rozhodla, že nám dá na celý víkent svoje děti. Je to čtyřlety Filipek a šestiletá Julinka. Nakonec jsme se domluvili, že to nebude odpátku, ale a spoň od soboty od rána. Děti jsem hned převzala, domlouvali jsme se, že se budeme střídat, cera se zjetiem a já. Napřed jsem s ním išla na procházku, šli jsme na hřiště, poceznitě jsme si koupli nějaké dobroty a dětem se to moc líbilo. Filipek se točil na kolotoči pořád okol, až jsem měla strah, že mě bude potom zvracet, ale na štěsti se nic takového nestalo. Potom za náma přišla i starší vnučka Eliška, 12 letá a všichni dohromady jsme prorizali, prorizali, prorizačky a zkoušli komu to de nejrychlej. Potom jsme se pomalu vypravili domů, kde už měli děti nachistané svoje věci, tam kde budou mít svoje místo a tam kde budou spát. Nakonec jsme ještě si chvílku pohráli v obývacím pokoj s hračkami, které tam zůstali všechny poté nejstarší vnučce a byl připravený obět. Obět jsem nachystala, já byla to, bylo to rizoto, všechny děti to měli.</t>
  </si>
  <si>
    <t>Kardiovize_274</t>
  </si>
  <si>
    <t>0.6754966887417219</t>
  </si>
  <si>
    <t>0.44370860927152317</t>
  </si>
  <si>
    <t>0.8385004927238504</t>
  </si>
  <si>
    <t>0.013245033112582781</t>
  </si>
  <si>
    <t>0.5827814569536424</t>
  </si>
  <si>
    <t>18.875</t>
  </si>
  <si>
    <t>2.75</t>
  </si>
  <si>
    <t xml:space="preserve"> Většinou vždycky na konci týdne na víkence domlouvám s mlačí cerou na nějakou vycházku. Kam jezdíme na výlety, děláme okruhy takolem 10-15 km. Tentokrát to na víkent nevýpadalo moc hezky, protože ve čtvětek vpáte k šíleně pršelo. Dokonce když jsem šla v páté kráno na nákup, tak jsem zistila, že pochodnících plav nezmírné množství žížal. Člověk se bál kámkoly stoupnout, ale v sobotu už se to trošku vybralo, tak jsme se domluvili na neděli. Vypravili jsme se klub českých turistů v Blansku, posádal výlet v okolí Blanska. Některí účasníci dokonce běželi, ale my jsme se rozhodli, protože půjdeme vycházkovým tempem. Pro mě to bylo zážitek, protože se šlo pořád do kopce, a když jsme scházeli nebo se blížili, tak jsem pořád přemysl, protože jsme dělali okrův, tak jsem říkala, teď jdeme do kopce, ale když jsme se vraceli k autu, tak pořád, tak jsem říkala, teď už budeme z kopce.</t>
  </si>
  <si>
    <t>Kardiovize_277</t>
  </si>
  <si>
    <t>0.6421052631578947</t>
  </si>
  <si>
    <t>0.4842105263157895</t>
  </si>
  <si>
    <t>0.7490852487472053</t>
  </si>
  <si>
    <t>0.031578947368421054</t>
  </si>
  <si>
    <t>0.5894736842105263</t>
  </si>
  <si>
    <t xml:space="preserve"> Nesrádno jsem vstál, vyčistil jsem si vuby, umil jsem se, šel jsem vyvenčit psa, nakanil jsem psa, zbudil jsem kluky do školi, nachystálim snídaní. Předtíval se, jestli všechno snedlí, jestli si vzali svačinu do školí, se jlu jsem do práce, se jlu jsem do auta a do práce. Cestou do práce byla obištka, všudevě velké provoz, práci jsem mi neskou obec nevybil, protože jsem ráno neměl kávu. Neskou odpoletné přijdu do domu, podu vyvenčit psa, podu se podívat do zahrady, podu vyvenčit druhýho psa a už nevím co bych nám vykládat, nic mě ne napadá.</t>
  </si>
  <si>
    <t>Kardiovize_3</t>
  </si>
  <si>
    <t>0.7868852459016393</t>
  </si>
  <si>
    <t>0.32786885245901637</t>
  </si>
  <si>
    <t>0.8541666666666666</t>
  </si>
  <si>
    <t>0.895220729812336</t>
  </si>
  <si>
    <t>0.02459016393442623</t>
  </si>
  <si>
    <t>20.333333333333332</t>
  </si>
  <si>
    <t xml:space="preserve"> Rada si jelistuju v časopisech témá, po každé tam najdu něco zajímavého. V každém tématu většinou věci skoro všechny. Nejvice mě zajímá témá Alzheimer a Parkinson. Přečetla jsem si, že je to zjednodušeně řečeno a dějme tomu nedostatečné odbourávání různých, které v podstatě dvou bylkovin Mosků. Taky mě zajímají různé pohybové věci klouby, respektive stánu tí kloubu v tom zralém věku, jak je se snažit napravit a hlavní myšlenkou všechny zdravotních rad je to, že se člověk má, pokud může, co najvice pohybovat a to mě zaplať pám ubaví, tak se snažím to aplikovat do normálního života a spoň hodinu nebo hodinu a půl každý den hodit. Vyce mé děje nejmoci rychle, jenom to, co stačím, on má být snad teďka nejnou.</t>
  </si>
  <si>
    <t>Kardiovize_303</t>
  </si>
  <si>
    <t>0.7704918032786885</t>
  </si>
  <si>
    <t>0.3442622950819672</t>
  </si>
  <si>
    <t>0.851063829787234</t>
  </si>
  <si>
    <t>0.8871919391062416</t>
  </si>
  <si>
    <t>0.00819672131147541</t>
  </si>
  <si>
    <t>0.03278688524590164</t>
  </si>
  <si>
    <t>0.5528455284552846</t>
  </si>
  <si>
    <t>12.2</t>
  </si>
  <si>
    <t xml:space="preserve"> Také já teda budu zmluvit ke zvukoví, mám plitudám. A nevím co bych řek, protože nárad mluvím takhle k voničem. A vždycky, když něco chtějíc, tak chtějí, aby to bylo voničem. To je jedna, jedena půl minutí, hrozný problém mluvit takhle voničem. Mám manželku, mám syna. Bydlíme v Pardubici, bydlal jsem v Litoboži, 15 roku jako děcko, potom 15 roku v Jánckých lásních, 30 roku v Brně, teďka jsem v Pardubicích. Narodil jsem se v žacléři, čtu vědesko-fantastickou literaturu, odvornou literaturu, jakoukoliv literaturu, historickou. Takže srovnávám věci, které bíli jsou a pravděpodobně budou. Půjsem pořád na internetu, kde se zajímám o tom, co se děje, kde se co děje. Vím, že internet, jestli se taky prolhaný, ale není s celou podkontrolou.</t>
  </si>
  <si>
    <t>Kardiovize_312</t>
  </si>
  <si>
    <t>0.8965751572859473</t>
  </si>
  <si>
    <t>0.020833333333333332</t>
  </si>
  <si>
    <t>0.5069444444444444</t>
  </si>
  <si>
    <t>20.571428571428573</t>
  </si>
  <si>
    <t xml:space="preserve"> Tak ešte jednou vám řeknu, dobra jen, když jsem se dozvěděla možnost využít vyšetření ve vašim výzkumu, byla jsem ráda. Moje sestramá Alzájmra a protože nevím co maminka, která jsem řela v 640 letech, když, jestli jsou tam přiznaky nebo ne, tak bych ráda věděla, jak na tom jsem. Vím, že jsem dáma v letech, jak se říká, jsem ze vším srozuměna, ale přeci nerajda bych dělala dětem problémy. Co na to říct, snažím se žít pozitivně, občas něco dělat, baví mě ližování, takže vškerá moje fizická aktivita je zaměřena na nohy. Sice mám o storo porozu, ale i to dokážu vyhřešit. Co vám mám povídat dál? Standardně žiju život tak jako každá, že na po 70. Mám děti, naučatá, naučka teď do dělala vysokou školu na univerzitě obrany, takže taková radosť, ale moc se nestarám o to, jak živ v dětky jenom přijdou.</t>
  </si>
  <si>
    <t>Kardiovize_315</t>
  </si>
  <si>
    <t>0.7452830188679245</t>
  </si>
  <si>
    <t>0.3867924528301887</t>
  </si>
  <si>
    <t>0.8227848101265823</t>
  </si>
  <si>
    <t>0.854285541559455</t>
  </si>
  <si>
    <t>0.009433962264150943</t>
  </si>
  <si>
    <t>0.6320754716981132</t>
  </si>
  <si>
    <t>8.153846153846153</t>
  </si>
  <si>
    <t>0.8461538461538461</t>
  </si>
  <si>
    <t xml:space="preserve"> Včera 9. důmna směli zmážel kouna ryby a autém. Krybníku do ostrova u Matsuchy. Kde jsem si myslel, že nic nechytném, ale nakonec jsme chytný, divita, pali sádku kapra. Pak jsme ho dovezli dom. Tak jsem ho spracovával, hřizel jsem se nožem, trošku. Kapra je nachystané, polvinu se necháme, polovinu dáme babičce. Kapra pojede zpátky do ostrova, předvědala tam bydlí, kousek vodaly míka. No a jednak se mě spalo dneska večer. Dobře. Rádnou jsem si myslel nakupovat. Koupil jsem chleba, rohlíky, máslo, salám, vysoký 15 dk. A pak jsem se chystal na výsku do bohu nic, do kampusu, kde jsem to hledala a jsem to našel.</t>
  </si>
  <si>
    <t>Kardiovize_336</t>
  </si>
  <si>
    <t>0.7474747474747475</t>
  </si>
  <si>
    <t>0.3939393939393939</t>
  </si>
  <si>
    <t>0.8108108108108109</t>
  </si>
  <si>
    <t>0.8537513930453458</t>
  </si>
  <si>
    <t>0.010101010101010102</t>
  </si>
  <si>
    <t>0.5757575757575758</t>
  </si>
  <si>
    <t>14.142857142857142</t>
  </si>
  <si>
    <t>1.7142857142857142</t>
  </si>
  <si>
    <t xml:space="preserve"> Tak přemýšlím o testování úloch studentů na počitači, kdy mají studenti vybrat jednu spravno odpověď z pěti nabídnoutých otázek. Réším, jestli je vhodné každou tu odpověď bodovat stejně, alebo, jestli budovat různým způsobem, různým počtem, bodu obtížnost těch otázek. Takže to je věc, které se teď budu věnovat a obě dvě varianty mají svoje výhody a navýhody. Ať už je to budování stejnou hodnotou a nebo podle obtížnosti. Podle obtížnosti je to zase obtížnější, proto vyhodnocení. Pokud je tam stejný počet bodu nebo stejná obtížnost, tak je to jednodušší vyhodnocování. To by asi tak stačilo, nebo ještě je potřeba.</t>
  </si>
  <si>
    <t>Kardiovize_339</t>
  </si>
  <si>
    <t>0.6938775510204082</t>
  </si>
  <si>
    <t>0.4336734693877551</t>
  </si>
  <si>
    <t>0.875884333212219</t>
  </si>
  <si>
    <t>0.025510204081632654</t>
  </si>
  <si>
    <t>0.015306122448979591</t>
  </si>
  <si>
    <t>0.5510204081632653</t>
  </si>
  <si>
    <t>21.77777777777778</t>
  </si>
  <si>
    <t xml:space="preserve"> Tak dnes jsem s duma vyrazil do bohunic na speciální vyšetření jedné výzkumné společnosti. Já jsem teda autem, měl jsem obavý, zdabu důmoci někde v místě zaparkovat, ale na konac se mi to povedlo. Písem ným, kde se vchot do budových, kde se se na chází dosta, bohužel jsem to na popové nepovedlo na jít, tak jsem asi chodil několikrát kolem bloku tam a zpátky. Až jsem jim podařil do jít k recepci, kde byl láze v té společnosti a tam mi poraděli, že teda vstup, kde vyšetření bude proběhády asi o 50 m dálě, takže jsem jí to podařilo na jít. Teď jsem mě blíc do vře ujali a vyhám několika hodín jsem postopil různé gruy vyšetření. Už se docela těžším, až to skončí, protože už toho mám docela dost a těží se, že před zase zajdu do kampusu nejde co dobrého. Prádešte není konec? To není možný, jeď už tady mluvím jako více minutu. Dobře, tak půjdu do kampusu, učitě si dám nějakou dobrou čínu, možná fobo, ze závidkem a to já miluju, tady ty větamské jítla. Potom se budu podívat, kde si by tam nebyli nějaké pěkné tenisky, které bych chtěli mluví koupit.</t>
  </si>
  <si>
    <t>Kardiovize_349</t>
  </si>
  <si>
    <t>0.44047619047619047</t>
  </si>
  <si>
    <t>0.7899159663865546</t>
  </si>
  <si>
    <t>0.8895072812062731</t>
  </si>
  <si>
    <t>0.6407185628742516</t>
  </si>
  <si>
    <t>5.25</t>
  </si>
  <si>
    <t>0.28125</t>
  </si>
  <si>
    <t xml:space="preserve"> Mám dvě malé vnočky. Jedna semenuje Terezka. Tamá dve trochu. Druhá semenuje Štěpánka. Tamá sedům obě dvě chodí do Babic do školy. Terezka tamá ráda Basketball. Štěpánka je nad mnou ještě moc malá. Takže ta zatím jen pokukuje. Obě dvě chodí jezdit na kole. Což je obě dvě hrozně baví. Protože jezdí jezit o polese. Skáču na velké obsákách. A to je úplně super. Vždycky se vrát je úplně šménavý. Rozbytejéma kolenama. To jsou z toho úplně načený. Loni si našli novýho konička. Začali chodit do Hryzmanic na koně. Tam se vlastní oty koně museli začit starat. Začali je česát. Začali inčistit kopita. Začali se chovat tak, jak by měli. Musí obyt na ty koně hodní. Nesmůbyt na něj nějaký nervozní. Ten kůň zase všechno pozná. A s odměnu potom se učí na koních jezdit. Chodí z níma do lisa. Skáču s níma přes přikážky. Potom zase zpátky. Když už teda si pohrají a všecko se takhle naučí. Zase musíl zpátky ocelat. Datím nažrat, vyčistit a uklidě rozstavit.</t>
  </si>
  <si>
    <t>Kardiovize_358</t>
  </si>
  <si>
    <t>0.7251908396946565</t>
  </si>
  <si>
    <t>0.4351145038167939</t>
  </si>
  <si>
    <t>0.7789473684210526</t>
  </si>
  <si>
    <t>0.8777850504829671</t>
  </si>
  <si>
    <t>0.007633587786259542</t>
  </si>
  <si>
    <t>0.5114503816793893</t>
  </si>
  <si>
    <t>13.1</t>
  </si>
  <si>
    <t xml:space="preserve"> Včera začala opět velká zima, ta pokračuje i dnes. Není to dobré pro zahrátkáře, protože jejich stromy, které už květou asi nebudou rodit. Jinděl jako dnešní den teda ráno bylo jasno, mrzlo, ale přes den asi se vyjasní a počasí bude pěkné. A to bylo většiné, takže to bylo většiné. No jinak, co se týče dovolené, tak s mojím ženou plánujeme dovolenou na korfu. Už jsme tam jednou byli, velice se nám tam libilo. Takže jsme se rozhodli, že si to letos vopakujeme, že to budete daletadlem. A na sténé místo, kde jsme byli spokojeni. Na dovolenou jsou oba těšíme pozímně, protože tu dovolenou máme v červenu, takže to bude za chvíli. No a potom samozřejmě, ještě bude nějaká dovolená tady v Česku, to ještě nemáme upřesněny, ale určitě něco vymyslíme.</t>
  </si>
  <si>
    <t>Kardiovize_360</t>
  </si>
  <si>
    <t>0.375</t>
  </si>
  <si>
    <t>0.8780406065673241</t>
  </si>
  <si>
    <t>0.0390625</t>
  </si>
  <si>
    <t>0.5546875</t>
  </si>
  <si>
    <t>7.111111111111111</t>
  </si>
  <si>
    <t xml:space="preserve"> Já jsem aktivní člověk a zajímají mě, jak jsem tady už říkal, ty rokové koncerty. Teď se chystám v létě na ročra, votrse a na Bruce Springsteen. Což pro mě znamená velká fyzická zátež. Přiště roka absolvují mistrosti se tabiatlonu v Novým městě. To bude hodně náročné. K koncertu jsem viděl strašně moc. Je to moje hobby. Udržuje mě to v nějaké duševní a tělesné kondici. Víc jak k cvičení. Až to tak minutu a půl bude. Ještě ne. Co bych ještě řekl. Kýdle jsou dost omezené kvůli témojí cukravce. Musím dodržovat dietu a můžu si dát v restauraci to, co by mě třeba chutnal. Další téma bylo. Měl jsem nějakou dílnu. Tady jsem těchto odstělovat na vysočinu. Až tam, co tam mám, chalu bych napůl v brně.</t>
  </si>
  <si>
    <t>Kardiovize_40</t>
  </si>
  <si>
    <t>0.6884057971014492</t>
  </si>
  <si>
    <t>0.4492753623188406</t>
  </si>
  <si>
    <t>0.848556256367899</t>
  </si>
  <si>
    <t>0.007246376811594203</t>
  </si>
  <si>
    <t>27.6</t>
  </si>
  <si>
    <t xml:space="preserve"> Vtědá jsem byla na návštěvě u své sestry, na Venkově, žije ve vesnici odkud pocházím a byla jsem se tam podívat na její vnučku, mou praneteř. Protože můj pez, kterého mám dva roky, nesnáší jízdu autém, je li jsme vlakem? Kromě toho, že to bylo velice pohodlné a příjemné, tak to je mnohem levnější, než autém. Takže ráno jsme si zajeli na nádraži, sedli jsme do vlaku, jeli jsme na jížní Moravu, tam nás vyzvedla moje sestra a jela jsem se podívat na tu Adelku, mou praneteř. Je rosto milá, měla rok, minulý rok záři, měla rok a takže začala chodit, je taková velice komunikativní, byla moc fajn. Setkali jsme se tam s mojí další sestrou, šli jsme zároveň na hřbitov, kde je moje matka a rodíče a moje sestra, naše štvrtá sestra, která by měla dnes narozeniny.</t>
  </si>
  <si>
    <t>Kardiovize_401</t>
  </si>
  <si>
    <t>0.7025641025641025</t>
  </si>
  <si>
    <t>0.7883211678832117</t>
  </si>
  <si>
    <t>0.88970115693373</t>
  </si>
  <si>
    <t>0.005128205128205128</t>
  </si>
  <si>
    <t>19.5</t>
  </si>
  <si>
    <t>2.3</t>
  </si>
  <si>
    <t xml:space="preserve"> Rádaj zím do Afriky a jezdím tam s organizací, která se stará o sirodky v oblasti. Bvindi je to v Ugandě. Uganda je nádherná země. V Ugandě máme dvě školy a vybíráme z vesnic děti, které nemají rodiče, nebo mají tělnou třeba jednoho rodiče a jsou velmi chudí a potřebují se dostat do školy. Škovost vy v Ugandě je sice bezplatné, ale není tomu až tak úplně. Děti si musí koupit učevnice a uniformy, musí mít peníze, aby si tam mohli koupit jídlo. Takže jsme se rozhodli, že něktym to dětem budeme pomáhat pomoci adupce na dálku a hledáme aduptivní rodiče v Česku, ve Francii a v Rakousku. Tato práce se mě velmi líbí. Začala jsem se i věnovat ke konci své pracovní činnosti a do Afriky jezdím přibližně dvakrát, někdy tři krát za rok. Taky jsme měli už jeden velký úspěch s jedním chlapcem, který vystudoval za naší pomoc, vystudoval nejdříve střední a potom už částičně vysokou školu, takže se z něho stal Pugandějškolství trochu jiné, než v České republice, takže on je teď na nějaké úrovní bakaláře, ale je to na medicíně, takže on může už pomáhat z lehčími nemocemi, z lehčími problémi.</t>
  </si>
  <si>
    <t>Kardiovize_409</t>
  </si>
  <si>
    <t>0.695364238410596</t>
  </si>
  <si>
    <t>0.45695364238410596</t>
  </si>
  <si>
    <t>0.780952380952381</t>
  </si>
  <si>
    <t>0.8649119055889072</t>
  </si>
  <si>
    <t>0.006622516556291391</t>
  </si>
  <si>
    <t>0.5894039735099338</t>
  </si>
  <si>
    <t>30.2</t>
  </si>
  <si>
    <t>3.4</t>
  </si>
  <si>
    <t xml:space="preserve"> Jsme stará Brněnská rodina, otecko pochází ze Slovenská, maminka je z Brna. Dostali jsme na spět v restituci Doom, kde žije celá naše rodina, takže tři děti mají zase svoje děti, takže tam máme osum vnoutřat a je tam velmi veselo. Zároveň máme všichni rádi zvírat a takže každá rodina má ještě v svého psa, tak i s těmi psí je tam živo, vnoutřata jsou velice hodná, všechno nějak studují nebo se ještě učí na základní škole. Pomáhají mě na zahradě, která je u toho domu a všichni mají nějakou chatu, takže každý víkent vyrážejí k sobě ještě někam na chatu. I my máme na išní Moravia, na řece Dii, kde jsme manželem, kteří jsme už obav duchodu, tak trávíme hodně času a chodím tam hodně na procházky, na houby koupeme se v Dii, včetněte na toho našeho psa, který vyloužení plave s velkou radoctí a užíváme si tam spokojeného duchu.</t>
  </si>
  <si>
    <t>Kardiovize_417</t>
  </si>
  <si>
    <t>0.6875</t>
  </si>
  <si>
    <t>0.44886363636363635</t>
  </si>
  <si>
    <t>0.8016528925619835</t>
  </si>
  <si>
    <t>0.867571810526646</t>
  </si>
  <si>
    <t>0.017045454545454544</t>
  </si>
  <si>
    <t>0.028409090909090908</t>
  </si>
  <si>
    <t>0.5340909090909091</t>
  </si>
  <si>
    <t>88</t>
  </si>
  <si>
    <t>13.5</t>
  </si>
  <si>
    <t xml:space="preserve"> jsem starší jedinec, který trošku hodnotí svůj služební život, pracovala jsem 50 let v lekárně a jsem spokojna s tím, co jsem si zvolila za své povoláni, vždycky jsem ho měla moc ráda a přiznám se skončila jsem letošní rok, hrozně mě to scházelo a v lednu jsem prožívala takové obdoby lva v kléci, kdy mý to setkávani se s kolegi něma a s výfusovem i s pacienty, s kterými jsme navázali, s lec, kterými takový trošku příjemny vztah, moc mě to chybělo, jinak těším se svých vnoučat a se svých pravnoučat a užívám si takový spokojený podzim života. Samozřejmě jsme v domácnosti dva, nevždy je to ružová procházka, protože jsme trošku muží mají nezajmi než ty ženy, takže spoustá takového popovídání ženského mě scházi a proto dělám provoce v galerii, potkávám tam kolegi podobného věku, lec, kde si probereme, jak už politickou situaci, co vaříme, co nakupujeme a podobně, takže myslím si, že jsem si zvolila cestu, kdy už moc nemusím namáha teda tu svoji hlavu, která přiznávám, že nevždy je tak rychle jako umladích.</t>
  </si>
  <si>
    <t>Kardiovize_442</t>
  </si>
  <si>
    <t>0.6698113207547169</t>
  </si>
  <si>
    <t>0.4811320754716981</t>
  </si>
  <si>
    <t>0.7746478873239436</t>
  </si>
  <si>
    <t>0.8819034600439638</t>
  </si>
  <si>
    <t>0.0330188679245283</t>
  </si>
  <si>
    <t>0.514018691588785</t>
  </si>
  <si>
    <t>19.272727272727273</t>
  </si>
  <si>
    <t>2.8181818181818183</t>
  </si>
  <si>
    <t xml:space="preserve"> Tak jsem ráda, že jsme se doživitali tohoto věku a máme vnoučatá, kterým se může věnovat nejvíce, věnujeme Oliverovi, který byl první znoučat a s manželem prostě ho máme od malička, protože cera ještě dodělávala školu. Takže od česty týdnu jsme ho měli do mátím pádem, přestože máme všechny děti stejně rádi. Tak Oliveri o nás na první místě má trošičku výhody, jezdí s náma každý rok naduvoleno, leto jsme bude 15 let a oceňujeme, že pořád chce s námi jezdit. Sme rádi, že ho máme, na ostatní děti máme čas, ale není to už ono. Cera s ním zůstala sama, možná i to je podmíněný teďka, že vlastně na něho musí se starat o rodinu. Oliveri je u nás rád, jsme rádi, aby nám to ještě vytržilo. Když jsou to nejhežtí leta, který jsme s ním prožili, máme na co vzpomínat. Dovolené s ním jsme vybírali budtok moří a nebo jsme jezdili potom do akva parku. Také s nám rád jezdí na halupu, kde se snaží ze všechny pomáhat, že máme někdy až strach, aby si neublížil. Nejradí pracuje z motorovou pilou, umysekat i kosel a tak dále. Je to asi jediný, který by chtěl pokracovat v této tradici, protože halupu jsem zjedila já po prorodicích a je to jenom práce.</t>
  </si>
  <si>
    <t>Kardiovize_445</t>
  </si>
  <si>
    <t>0.6103896103896104</t>
  </si>
  <si>
    <t>0.551948051948052</t>
  </si>
  <si>
    <t>0.7340425531914894</t>
  </si>
  <si>
    <t>0.8045215430027671</t>
  </si>
  <si>
    <t>0.6078431372549019</t>
  </si>
  <si>
    <t>8.555555555555555</t>
  </si>
  <si>
    <t xml:space="preserve"> Tak nejraději se s tím koupat na jeden veliký rybník, který je na vysočině. Říká se mu taky mořit vysočiny. Je to rybník dáško. Bývá tam v létě velice pěkně. Je to rašelinová voda. Okolí je velice pěkné. Plno lesu. Napodzím dostou houpy. V létě je tam nádherné počasí. Někdy začnou, když je to horší, ale nejlepší, to tam bývá napodzím, kdy se už topí v krbu. Kdy se chodí na houpy, je tam daleko vědší pohoda, není tam tolik lidí. A proto mám ten leten kraj tak ráda a moc ráda si tam vracím. Dále tam je s tím ráda s tětmi. Mám dve vnoučátka a býváme tam velice šťastní. Rádi si hrají na záhrátce, chodí vám do lesa. Bývá tam někdy hodně klíšťat, to je pravda. Ale jinak tam zbíráme různé kaminky, malujeme je, děláme si takovou galéry s těch kaminků. Učíme se na tom jej písmenka, malujeme tam písmena na kaminků.</t>
  </si>
  <si>
    <t>Kardiovize_45</t>
  </si>
  <si>
    <t>0.703125</t>
  </si>
  <si>
    <t>0.4140625</t>
  </si>
  <si>
    <t>0.8278099785660122</t>
  </si>
  <si>
    <t>0.0078125</t>
  </si>
  <si>
    <t>0.515625</t>
  </si>
  <si>
    <t>25.6</t>
  </si>
  <si>
    <t xml:space="preserve"> Dnes ráno jsem si rozhodl na vštívit i-tech obou nicích a vypravil jsem se tramvají číslo 9 na nádraží a z nádraží 8 do nového kampusu. Kde jsem potom provědl pěší touru a hledání pracovíšte se i-tech v velikém zářízení zdravotnickém a podářilo se mě přijí do půlojniny Drift, takže jsem poznal i novostav by v okolí a organizaci dopravy autobusové a nepodkále jsem skoro žádné lidí, protože bylo ještě brzo ráno, bylo půl 9. Takže jsem měl výmečně plcházku, která by měla být spravně až odpělene v mém případě. Kampus je pěkný, velký a moderný a člověk a zaráží ho, rozsach a velikost. Na pracovíšti se i-tech jsem byl příjemně překlapen v střídnosti za městnance toho toho zařízení a doufám, že jsem moc nepokazil.</t>
  </si>
  <si>
    <t>Kardiovize_46</t>
  </si>
  <si>
    <t>0.5899280575539568</t>
  </si>
  <si>
    <t>0.539568345323741</t>
  </si>
  <si>
    <t>0.7425764900971096</t>
  </si>
  <si>
    <t>0.4892086330935252</t>
  </si>
  <si>
    <t>12.636363636363637</t>
  </si>
  <si>
    <t xml:space="preserve"> Takže včera, kdy jsem vstal, tak jsem si došel na záchod a dokoupel ný udělal jsem si hygienu. Potom jsem si připravil snídani. K snídani jsem měl chleba s máslem, šunkou a zír. Vvaril jsem si předtím čaj. Čaj mám rád rojbos, takže jsem si dal dva hnečky menší. Po snídaní jsem se oblekl a šel jsem pro auto. V autě jsem si udělal uklit a jel jsem do práce. V práci jsem řešil některé organizační věci, co se týka jednoho projektu stavebního. Potom jsem to bylo během dopoledné, potom jsem všel na obět a po obědě jsem jel na kruš. Koupil jsem si v prodejně nějaké věci na jídlo a přišel jsem do mu, kde jsem si počítač. Na počítači jsem si vyhledal některé věci, které jsem potřebuval do práce, které se týkali se v záležitosti z tavarských.</t>
  </si>
  <si>
    <t>Kardiovize_482</t>
  </si>
  <si>
    <t>0.717741935483871</t>
  </si>
  <si>
    <t>0.41935483870967744</t>
  </si>
  <si>
    <t>0.8582099066337663</t>
  </si>
  <si>
    <t>0.5079365079365079</t>
  </si>
  <si>
    <t>124</t>
  </si>
  <si>
    <t>21.0</t>
  </si>
  <si>
    <t xml:space="preserve"> Včera jsem konečně po 3-4 roku opět navštějil polezmotikou abych okopával roztřední které jsme tam zasázel brzo na jarze hlavně řepu, cibulí česnek už byl od podzímo a zísil jsem že je to tak zarost slé všecko že jsem si myslil že to udělám za hodinu a já jsem tam byl celé odpoledné protože hodně prší takže plévale roste vesile daleko ryklajc než to co bych chtěl aby tam bylo a navíc ještě souset nevím co dělal ale zorál si svoje pole tak blbě že mě tam přibyl skoro metr pole udělal si tam brázdu kterou já musím obdělávat i když je to jeho pole a nicem tam nezasázel protože to je jeho ale roščiluje mě to protože za zburmi dvuto víc práce</t>
  </si>
  <si>
    <t>Kardiovize_50</t>
  </si>
  <si>
    <t>0.4107142857142857</t>
  </si>
  <si>
    <t>0.8608695652173913</t>
  </si>
  <si>
    <t>0.8242501350534187</t>
  </si>
  <si>
    <t>0.02976190476190476</t>
  </si>
  <si>
    <t>15.272727272727273</t>
  </si>
  <si>
    <t>1.6363636363636365</t>
  </si>
  <si>
    <t xml:space="preserve"> Dneska jsem se probudil kolem 5 hodiny, nemohl jsem pořádně spát. Tak jsem trošku sechlej, už bych potřeboval si odpočinouc. Takže tady je to mluveně jenom, tak zbuk dár na mě už moc nebaví. A vymýšlet si, co jsem dělal, no tohle zmizel jsem z domu, rozlušil jsem se s naší kočkov. Podarbala jsem ji za úžkem, nebyla ráda, že odcházím do práce, to je asi nejleče vybrat, kdybych se vále posteli, jako ona a taky teda, ale nic jiného mě nezbylo. Peníze potřebuju pořád, jsem si jel do práce, 60 zrba jsem byl v práci, nasní dál jsem si uvařil, jsem si čaj černý, jak každý den jiný. A po malinku jsem se podíval a chystal si to, co mě čeká. Zaplnul jsem počítač, projel jsem nějaké soubory v počítači a začala jsem pracovat na tom, co bylo poránu nejsnaší. Nepoušte, ale jsem se do složitější věcí, mohou ještě očí, a nechce se mu moc nečím závodit. A nechá jsem si to napozději. Je to všechno už.</t>
  </si>
  <si>
    <t>Kardiovize_505</t>
  </si>
  <si>
    <t>0.3287671232876712</t>
  </si>
  <si>
    <t>0.8200519930201644</t>
  </si>
  <si>
    <t>0.684931506849315</t>
  </si>
  <si>
    <t>8.11111111111111</t>
  </si>
  <si>
    <t>0.8888888888888888</t>
  </si>
  <si>
    <t xml:space="preserve"> Moje koníčky zahrátka. Mám tři zahrady v současnosti čtyři, protože mám zahradu i na Balkonie v paneláku. Pěstujeme tam všechno možnou zeleninu, ovoce, gitky a tak. Další můj koniček je muzika. Mám rád vážnou muziku. Mám rád folklor a moc nemám rád současnou pop-music. Mám rád rád rád a dřív. Dvakrádotýdne peču chleba, buh ty peču taky, ale ty spíš pro své děti. Pletení jsem měla rád a dřív, teď už nepletu.</t>
  </si>
  <si>
    <t>Kardiovize_506</t>
  </si>
  <si>
    <t>0.6435643564356436</t>
  </si>
  <si>
    <t>0.49504950495049505</t>
  </si>
  <si>
    <t>0.7846153846153846</t>
  </si>
  <si>
    <t>0.8570321394839685</t>
  </si>
  <si>
    <t>0.0049504950495049506</t>
  </si>
  <si>
    <t>0.5891089108910891</t>
  </si>
  <si>
    <t>22.444444444444443</t>
  </si>
  <si>
    <t xml:space="preserve"> Tak sezvikent jsme navštívili rychlebské hory, boli jsme najprd vyjavorníku, kde je krásný barokový zámok. Potom jsme se vydali se mérom do Travnej na chatucelnice, která je príjamo na hraniciach Česká s Polskom. V zůčastnosti fungu jako pensión mali jsme se bou bicigle. Na bicigloch jsme se potom vydali do bělej hory, kde v 50. rokoch bylo internovaných okolo 750 reholních sestriček, které jsou tam pochované na jich pamiatku a vzpoměnku je tam urobené muzeum. Odtěl jsme se vydali na rozhladňu do Andělskou horu, bo už jahl, bola velká chma, takže nebol žiadny výhlad, ale je to nádherné. Odtěl jsme se zase presunuli ces hory do orlických Wardon, hratova, kde je nádherný, opravený barokový kostol, který ještě v 90. rokoch bola absolutna ruina, protože tam bylo jednak to boli sudety, jednak to bylo potom pohraničné pásmo, a kde je užasný šikovný kněz, který se postarol o to, že celá ta oblast ožila, protože se postarol o to, že z toho kostola je nádherné centrum, jak na Boženské, tak kulturné, je o to velký záv, je mezi mladými, že se tam chců děchať co bášiť. A pozbudil aji celé okolie, protože tam zniklo hromada hraněních děl, dělní, pre postižených, jak psychicky, tak fyzicky.</t>
  </si>
  <si>
    <t>Kardiovize_507</t>
  </si>
  <si>
    <t>0.7264957264957265</t>
  </si>
  <si>
    <t>0.4188034188034188</t>
  </si>
  <si>
    <t>0.8605371468806124</t>
  </si>
  <si>
    <t>0.017094017094017096</t>
  </si>
  <si>
    <t>0.008547008547008548</t>
  </si>
  <si>
    <t>0.5641025641025641</t>
  </si>
  <si>
    <t>7.8</t>
  </si>
  <si>
    <t>1.0666666666666667</t>
  </si>
  <si>
    <t xml:space="preserve"> My měli asi největším koníčkem, je starost o Chalupu a záradu. Pracujícám v Rycerát. Chalupu zvelebují přibližně asi 12 let. Pořád je tam hodně práce, takže jsem dost v pohybu. V posledních dvou letech jsme měli velké trápení, protože vlastnějme i les, který napal kurovec. A museli jsme velkou část lesa vykácec. Proto to bylo i fyzické náročné. Chalupa je velká, takže v tom případě tam topíme dřevem. Takže připravit veškeré tohlen stokurovcové dřevo na zimní sezonu na to pení. Je dosť časově i fyzické náročné. Jednak mám rád i auto a motorismus. To je asi tak, jakoby začínu všechno. Pohodně se pohybuji autem. Moct nejezdím hromadnou dopravo, protože mě to zdržuje. To je asi tak všechno.</t>
  </si>
  <si>
    <t>Kardiovize_52</t>
  </si>
  <si>
    <t>0.7524752475247525</t>
  </si>
  <si>
    <t>0.37623762376237624</t>
  </si>
  <si>
    <t>0.8289473684210527</t>
  </si>
  <si>
    <t>0.8606422375879488</t>
  </si>
  <si>
    <t>0.0297029702970297</t>
  </si>
  <si>
    <t>0.5742574257425742</t>
  </si>
  <si>
    <t>11.222222222222221</t>
  </si>
  <si>
    <t xml:space="preserve"> Jsem volnou podelší době, byly jsme všichni na Chalupě, obá dvá sanátory, Oskar a Michál, Imangel a my byli jsme tam i vnučku. Bylo aji jakž tak v počasí, takže jsme se koupali, máme tam bazén a bylo to prima. Ale vnučká, korácem tam dělala hlouposti, co nemá, co se mě nelíbí, no ale to se nedá nic dělat, je to prostě dítě. Nevím, co mám dál vykladat. Nevím. Jaké bobosti dělala? Tak to je takově různy. Nevím, nejsou by mi šlíval taková, nevím, opravdu. Vydávate to uchatu? V Fadulči, u Výškova. Krasné lomě tam, krásná příroda, akorá tam nerostou hloumi.</t>
  </si>
  <si>
    <t>Kardiovize_53</t>
  </si>
  <si>
    <t>0.6496350364963503</t>
  </si>
  <si>
    <t>0.5328467153284672</t>
  </si>
  <si>
    <t>0.7191011235955056</t>
  </si>
  <si>
    <t>0.8327630016593174</t>
  </si>
  <si>
    <t>0.0072992700729927005</t>
  </si>
  <si>
    <t>0.6187050359712231</t>
  </si>
  <si>
    <t>15.222222222222221</t>
  </si>
  <si>
    <t xml:space="preserve"> Tak mám dvě cery, Veroniku a Martinu. Ta starší má 3 kluky, vnoučatá moje, je to Šimonek, Matoušek a Ondrášek. A druhá martínka má dvě cery, je to Júlinka a Sofinka. Júlinka má pětroku, Sofinka má 3, a klucy mají Šimonek 10, Matoušek 7 a Ondrášek 6. Půjdeme přiště týden, půjdeme z polu na hody, musím jim nachistat kroječky, půjdeme do průvodu a večer mladí půjdou na zábavu, takže budu hlídat děti. Júlinka ze Sofinkou budou u druhé babičky a já budu hlídat kluky. V nedělu bude velký průvod, takže půjdeme ke starkům a večer je taky zábava ještě, a jí děti tam můžou být tancovat. Přišti týden potom pojedu hlídat Sofinkou, Martinka půjde už do práce, takže musím hlídat a další týden zase budu hlídat kluky. Hlavně aby bylo pěkný počasí na týhody, aby nebyla zima.</t>
  </si>
  <si>
    <t>Kardiovize_548</t>
  </si>
  <si>
    <t>0.6852791878172588</t>
  </si>
  <si>
    <t>0.4467005076142132</t>
  </si>
  <si>
    <t>0.8074074074074075</t>
  </si>
  <si>
    <t>0.8748948414339003</t>
  </si>
  <si>
    <t>0.005076142131979695</t>
  </si>
  <si>
    <t>0.01015228426395939</t>
  </si>
  <si>
    <t>0.5357142857142857</t>
  </si>
  <si>
    <t>17.90909090909091</t>
  </si>
  <si>
    <t>2.3636363636363638</t>
  </si>
  <si>
    <t xml:space="preserve"> Pro vás připravila dnešní výkládání, jak jsem ráno vstala a těšila jsem se na cestu z Prahy do Brna. Myslela se nysni, že s českými drahami to bude všechno v pořádku, ale jak se stalo nebylo. A tentokrát nas překvapil do pravní podnik hlavního města Prahy, který nebyl to april, prvního dubna rozebral koleje do Modřan. A tím pádem hlavní linka číslo 17, Modřaní kobyly si nejezdila, protože nebylo po čem koleje chyběly. Tím pádem se všichni dali do aut a vyrazili směrem do centra v autech. Takže náhrední autobusy měli takové spoždění, že mi nezachránili před odjezdem vlaku. Takže jsem ríznénku musela cestou zavolať cinovy a tím zruší. Dorazila jsem se spoždění na Florence, na Florence jsem si koupila jít denku na autobus a dorazila jsem z regiojetem zdárně dobrna cesta proběhla v pořádku, protože na dální cise tentokrát nepracovalo. A nebylo žádné zůžení, tu díš žádné spoždění, takže všechno bylo úplně v pořádku a mohla jsem stihnout přijít v čas na 13.30 na cijtek, kde se učastním výzkumného programu. Doufám, že jako výzkumný činitel budu k něčemu platná a přispěje to naší vědě k novým poznatkům, které získá z toho to mého nepatrného vzorku.</t>
  </si>
  <si>
    <t>Kardiovize_584</t>
  </si>
  <si>
    <t>0.41496598639455784</t>
  </si>
  <si>
    <t>0.819047619047619</t>
  </si>
  <si>
    <t>0.8593136764009224</t>
  </si>
  <si>
    <t>0.49324324324324326</t>
  </si>
  <si>
    <t>12.25</t>
  </si>
  <si>
    <t xml:space="preserve"> Takže budu se snažit minutu a půl vyčerpad tím, že budu mluvít o svém dením režimu. Den začnu stáváním raním, což je 7 hodin, 45 minut přibližně. Je to proto, abych stíl hygienu a do 8 hodin vyvětrát a v 8 hodin začíná topení topit. Takže je to hrozně nesmyslné, ale já to tak mám. Přispívá to k tomu, že mám pravidelnost nějakou. Pak se nasnidám, poslouchám radio, kde jsou ve všední dni rozhovory ze zajímavými lidmi. To je od 0,9 do 9. Po 9 hodině většinou už tím sudoku nebo sičtu noviny a podobně. Zhruba kolem 0,5 je to výde na dení potřebů a pak se vychystám na dení procházku raní. Procházka je boužel dnešní době uženom po městě, takže bude to je vškaredé počasí, že je blato. Přesně nevýhovuje, že potkávám hodně pejskařu bojím se psu. V létě je to třeba jí dívočácia.</t>
  </si>
  <si>
    <t>Kardiovize_618</t>
  </si>
  <si>
    <t>0.7785234899328859</t>
  </si>
  <si>
    <t>0.3221476510067114</t>
  </si>
  <si>
    <t>0.8706896551724138</t>
  </si>
  <si>
    <t>0.8914381941549318</t>
  </si>
  <si>
    <t>0.6308724832214765</t>
  </si>
  <si>
    <t>11.461538461538462</t>
  </si>
  <si>
    <t xml:space="preserve"> Dnes jsem na ošetření ve středisku CETEC. Proběl hlozde vyšetření na EG u paní Novákové, kde mě na hlavu nasadili čepici z 242 body. Vyšetření probíhalo 15 minut v odlučněné místnosti v poloze v sedě. Byl mě přilepene na tělo čidla na záznam sedečního tepu. Potej jsem absoloval vyšetření u pana Brabence na pohovor o psychologii a ospánkových deprivacích. Pak nedával čuchat kehle 12. různým vůním typu káva, šerží kruže, vysky, kouř, pepr. A doplňoval jsem několik dotazníků. Nyní se nacházíme v místnosti, která je také odlučněná a provádíme na hrávku mého hlasu. Mýstnost je vybavena nábytkem v zelenu šedé barvě, na stěně sedům různých zásuvek, do kterých jsou zapojeni zářívka a notebook pana Brabence. Soutčastně na stole blikají stojan, kde jsou dvě dvoje náramkové hodinki, které se nabíjí. Podlaha je z marmolitu, který má šedou barvu. Vpravo ode mné je stolek, na kterém je kufřík s nápisem Neurokonstimulátor.</t>
  </si>
  <si>
    <t>Kardiovize_630</t>
  </si>
  <si>
    <t>0.6702127659574468</t>
  </si>
  <si>
    <t>0.48936170212765956</t>
  </si>
  <si>
    <t>0.7619047619047619</t>
  </si>
  <si>
    <t>0.8613712716065984</t>
  </si>
  <si>
    <t>0.005319148936170213</t>
  </si>
  <si>
    <t>0.5425531914893617</t>
  </si>
  <si>
    <t>26.857142857142858</t>
  </si>
  <si>
    <t xml:space="preserve"> Mám takové pěkné zážitky u prinulého víkendu, protože jsem byla zprátelji z Základní školy v Hodonině na velness víkendu. Kromě různých procedur, které jsme absolvovali, jsme z taky chodili večer si sednout a povykládat, protože my už se známe celý život od první třídys, tak máme společné zážitky, společné známe. A pak jsme si dělali vylety, byli jsme v Hodonině, v centrum města, podívali jsme se na radnici, na horu navíješ, tam jsme měli krásný rozhled přes celé město a dodálky, byli jsme v Mikulčici, kde jsou užasné vykopávky z doby Velkomoravské říše. Prošli jsme si i expozici, základy toho jednoho kostela, kolem kterého jsou hroby z kosterními pozustatky. Jeden z těch hrobů má i meč, od těch pohřbených má u sebe i meč, byli tam doklady jejich zlučnosti a činnosti, těch Velkomoravanů, krásné šperky nákončí, opasku, ostruhy. A pak jsme chtěli se podívat do holíče, ale bylo tak zima, že jsme to zdali, jen jsme koukli na zámek a vraceli jsme se zpátky do Brna. A ještě jsme byli ve Skalici, což je malé, ale opravdu pěkné město na hranicích slovenských hranicích, kde jsme viděli krásny dům.</t>
  </si>
  <si>
    <t>Kardiovize_631</t>
  </si>
  <si>
    <t>0.7565217391304347</t>
  </si>
  <si>
    <t>0.8390804597701149</t>
  </si>
  <si>
    <t>0.8658394587077376</t>
  </si>
  <si>
    <t>0.6347826086956522</t>
  </si>
  <si>
    <t>19.166666666666668</t>
  </si>
  <si>
    <t xml:space="preserve"> Ménuje se Vladimír Louhý od roku 2011 pracuje ve farmaku Olomouc, který se zabývá výrobou učinných látek pro farmace výrobu Lejčiv, které dodáváme do celého světa. Moji ulhou v rámci firmy pracuje na obchodním úseku a zabývám se nákupem surovým a chemických materiálů pro výrobou učinných látek. Ta práce je velmi zajímavá, velmi rozmanita a velice mě baví a naplňuje. Zvodziska meho dalšieho působení je velice prace, velice pestra a je potřeba se nůvstáli vzdělávat a dískávat nové informace. Takové vkoby největší výzvy do budoucnala je zapojení, uměli inteligence do zaměstnání, do doplnění úkolu a na to je samozřejmě souse staveny hrmady, projektu a spoustu úkolů, které s tím jsou vysí. Mimo jiné zabývám, pomávám.</t>
  </si>
  <si>
    <t>Kardiovize_650</t>
  </si>
  <si>
    <t>0.362962962962963</t>
  </si>
  <si>
    <t>0.8686868686868687</t>
  </si>
  <si>
    <t>0.8385345381023674</t>
  </si>
  <si>
    <t>0.007407407407407408</t>
  </si>
  <si>
    <t>0.7407407407407407</t>
  </si>
  <si>
    <t>33.75</t>
  </si>
  <si>
    <t xml:space="preserve"> Každý víkend jezdíme na Palabu, máme tam karavan, kde přespáváme. Já ištám přijedu, jedem na ryby, chodím na rybník a na tom rybniku chytám ryby. Každej týden chytím jednou kapra, který ho potom vykuchám, nachystám, vřebezem jeho domů, jinak co tam věnují zahrát, když mám nasázené kitky, mám tam velký krásný verbu, máme tam z prchu všechno, do kto potřebujeme. Jezdí tam i naše cera, jedna nekdy i druhá, máme tam spaní pro 3 lidi, máme tam navaření, máme tam grill, iž je krásný počas, jdeme na procházku, iž prší tak chce máme kde zkovat, se s sousedami vycházíme dobře, sekáme tam trávu, mám tam sudy na vodu, mám udělalou pergolu, kterou jsem si udělal vlastno ručně mám tam vlastnicky svot vody, takže vlétěliž nepršit, tak mám vodu na zalévání, jinak je to tam fajn.</t>
  </si>
  <si>
    <t>Kardiovize_680</t>
  </si>
  <si>
    <t>0.6373626373626373</t>
  </si>
  <si>
    <t>0.532967032967033</t>
  </si>
  <si>
    <t>0.7327586206896551</t>
  </si>
  <si>
    <t>0.8470997823224986</t>
  </si>
  <si>
    <t>0.038461538461538464</t>
  </si>
  <si>
    <t>0.03296703296703297</t>
  </si>
  <si>
    <t>0.47513812154696133</t>
  </si>
  <si>
    <t>36.4</t>
  </si>
  <si>
    <t xml:space="preserve"> Vždycky jsem se těšil nadovolenou, na konce mě zcera je zcera, mě zradila, říkala že psenou poletí, na konce že ne, tak se mnou letila cera, mladší. Letili jsme zvídně do Istanbulu, letili jsme přímo do Havaní. No, v Havaně byl problém nejdříve, že jsme nemohli nájdní koho se stovky, tak jsem se musel plát od něj lidí, až jsem jednoho člověka našel, který nám byl, o chodinu, řekl, že on pro tu se stovku dělá, tak jsem ho říkala, že by měli mít označení i nadvěří, nebo oncá by měl by nějakou vestu na sobě, kterou by se identifikoval, že je z té společnosti. No a pak ten nás odvezl přímo na hotel, tam teda jsme nějakou dobu strávili před recepcí, poněvač nebyl schopný nám na chystat pokoj, několikrát jsme se připomínali pořád, že bude pokoj, bude pokoj, tak jsme teda si prošli mezi tím rezort. Bylo to tam dost problematické, že je jako pro nás, že jsme byli docela teple v oblečení, tam už bylo vedro, no tak jsme si to tam prošli, potom jsme se vrátili pak iště řekli.</t>
  </si>
  <si>
    <t>Kardiovize_709</t>
  </si>
  <si>
    <t>0.6196319018404908</t>
  </si>
  <si>
    <t>0.5398773006134969</t>
  </si>
  <si>
    <t>0.7425742574257426</t>
  </si>
  <si>
    <t>0.8107908728176886</t>
  </si>
  <si>
    <t>0.5766871165644172</t>
  </si>
  <si>
    <t>27.166666666666668</t>
  </si>
  <si>
    <t xml:space="preserve"> Čeraž jsem pracoval na své záhradě, zasel jsem špenát, cibulku, sazečku, hrášek, petaržel, markev, bylo pěkně, pěkně se to dělalo, dářilo se dobro. Neschců zasadit, koupil jsem meroňku ještě jednu, tak musím udělat díru, pohnojí to, zasadit a pořádně zalít. Toť všeška neská to bude. No toho ještě? Ještě můžu, jo? No a jinak jsem neviděl, jak se senka má dostat, tak má žalka mě to věla na počítačí, protože jsem tady nikdy nebyl, kdy jsem tady jezdil a útem okolo, tak tady byl jenom pola a ne, takovýhle obrovský budoví a kde se dělá výskům. A divil jsem se kam, jde 4 cítka, jak kdy jsem zřív pracoval, tak jsem 4 cítko jezdil na tovární od nádraží a že jde až jsem, to jsem se divil. A zpátky pojedu asi taky toho 4 cítkou k nádraží a měl bych se stavit v hornbachu, neco potřebuju v hornbachu, tak je tam zastávka, tak se tam asi zastavím a potom pojedu dál na nádraží.</t>
  </si>
  <si>
    <t>Kardiovize_716</t>
  </si>
  <si>
    <t>0.8454545454545455</t>
  </si>
  <si>
    <t>0.2727272727272727</t>
  </si>
  <si>
    <t>0.8602150537634409</t>
  </si>
  <si>
    <t>0.9332561084854679</t>
  </si>
  <si>
    <t>0.01818181818181818</t>
  </si>
  <si>
    <t>0.6090909090909091</t>
  </si>
  <si>
    <t>13.75</t>
  </si>
  <si>
    <t>1.25</t>
  </si>
  <si>
    <t xml:space="preserve"> A při konstrukci měho dalšího přístroje jsem se rozhodl ho postavit s předstihem, aniž bych pro něho měl kupce. Jako první přišli na řadu práce plechové, které mám už s 3 čtvrtin hotové. Teď musím čekat na dodávku dalších součástek, které přijdou pravděpodobně tento týden až přišti týden. A potom začnout zestavbu přístroje pro slevárných liníků, který měří míru naplínění liníkové taveniny vodíkem. Těch přístrojů jsem postavil do posleda asi 57. Bez problému chodí je na odbyt, v okolí naší republice taky jako v zahraničí. Takže mám deně naplíněný pracovní den, kdy pracují zhruba 6 hodin. Většinou se mě to už dáří, protože mám už prakticky všechno dořešenou a vymyšlenou.</t>
  </si>
  <si>
    <t>Kardiovize_726</t>
  </si>
  <si>
    <t>0.3855421686746988</t>
  </si>
  <si>
    <t>0.9147505723872564</t>
  </si>
  <si>
    <t>0.024096385542168676</t>
  </si>
  <si>
    <t>0.5783132530120482</t>
  </si>
  <si>
    <t>9.764705882352942</t>
  </si>
  <si>
    <t xml:space="preserve"> takový křesvatel Vladimír a té nepřekonatelná báseň. Začiná to slovy. Vladimír cár na svoj svátech, když seděl na trunu, poslal draba s výřízení k boho vyperunu. Řmi perunena můj svátech místo kanonády, škoda prahu do zopadne v bitvahu armády. Řmi perunena můj svátech místo kanonády, pak si přijdí se mnou vypít šálek čekolády. To je jedna taková báseň, kterou jsem když si znal celou. Dnes teda už bych nedokázal zopakovat, ale zaujali mě mnoho jeho epigramu a citátu např. Ale světě stále stejný, lidého nezmění, plivní si 100 krát do more, ono se nespění. Jedna hora vysoká, a druhá je nízka. Kdo nemá své muzikanti, na hubu si píska. Nechodí vašku zpány naled. Mnohy připadnáme, že pán sklouzné, a sedlák si za něj nohu zláme. Mám plno krásných zážitků cestopistných. Cestoval jsem v Laosu, v Větnamu, Kambodži, v Tajsku. Velice mě zaujala, nebo velice na mě působila cesta na dlouhých lodích džunkách. Polece Mekong, pořece Mekong. Kdy teda ten Mekong to je ohromný veletok, není to.</t>
  </si>
  <si>
    <t>Kardiovize_733</t>
  </si>
  <si>
    <t>0.7025316455696202</t>
  </si>
  <si>
    <t>0.3987341772151899</t>
  </si>
  <si>
    <t>0.8558558558558559</t>
  </si>
  <si>
    <t>0.8475763663531795</t>
  </si>
  <si>
    <t>0.0189873417721519</t>
  </si>
  <si>
    <t>0.06329113924050633</t>
  </si>
  <si>
    <t>7.181818181818182</t>
  </si>
  <si>
    <t xml:space="preserve"> 28. um. 19. s. výbuchla teplárna v 8 hodin večer. Názávalo šes sportků a zůstal jsem na živu sám. Těch 5 kamarádů tohle zůstalo. A druhý den jsem šel do práce a našel jsem rudinu silovýho uhořeného na kotelně v dílně. No tak jsem se z toho zesipal a to neskaby to byly postraumatické šoky a psychologové a takové. No a v nám nic mě nechala doktorka tyden doma. Bylo vymalované. No a za tu dobu co jsem dělal v teplárně tak tam jsem zažil jeden na 30 mrtvěch. Takže to je tak asi všechno co jsem si chtěl vylít srdičko no. Spomínám na kluki. Bylo to. Chodil na přehradu hodně my jsme tam měli teplár na chatu svoju. Jako je roha. Tamto bylo lodičky, šlapadla, kantýna. Člověk tam přišel. Správci mů dal kliček od skřinky a všechny věci se dalí do skřinky. Pilo se jako na knišku, on dál čárky a to ašlo se doma. Zaplatilo se.</t>
  </si>
  <si>
    <t>Kardiovize_767</t>
  </si>
  <si>
    <t>0.738562091503268</t>
  </si>
  <si>
    <t>0.3790849673202614</t>
  </si>
  <si>
    <t>0.8814132732861979</t>
  </si>
  <si>
    <t>0.026143790849673203</t>
  </si>
  <si>
    <t>0.577922077922078</t>
  </si>
  <si>
    <t>11.76923076923077</t>
  </si>
  <si>
    <t>0.9230769230769231</t>
  </si>
  <si>
    <t xml:space="preserve"> No, já jsem takové člověk, že umím každou práci. Od zedničiny, vaření, každá práca mě strašně baví. Všechno sišíu sama. Jo, takže mám malou zahrátku, na které si taky pěstuju všechno, veškerou zaleněnou ovoce. Mám tam tři stromky, jabloně, hrušně, střešně. Potom mám trávu, mám tam tu je. Uprostřed mám jenom okrasný srenky dvě, kde stojí, abych to měla takový krásné prostředí. Dále mám na dvoře velký Altan, kde mám posesení, když přijdou na vštěvy, tak s tam sedneme, vopečeme buržty a podobně, takže je tam posed i. Bývám v domě sama, takže si ve vškerou práci musím udělat sama. Teď jsem v poslední době se malovala, vymalovala jsem si koupelnu, obývací pokoj. Teďka mě ještě čeká veranda. Dále prostě se mě udělala celou rekonstrukci si na dvorku, protože jsem tam měl opadanou omítku, kterou jsem si opět nahodila sama, vymalovala sama. Takže takhle já su to těž broj k pytlík všeho druhu.</t>
  </si>
  <si>
    <t>Kardiovize_777</t>
  </si>
  <si>
    <t>0.6704545454545454</t>
  </si>
  <si>
    <t>0.48863636363636365</t>
  </si>
  <si>
    <t>0.8633291928605216</t>
  </si>
  <si>
    <t>0.005681818181818182</t>
  </si>
  <si>
    <t>0.5284090909090909</t>
  </si>
  <si>
    <t>1.7272727272727273</t>
  </si>
  <si>
    <t xml:space="preserve"> Včalšení se dostal po úmrtí svého tkána, který byl taky včelař. Protože se o včeli neměl kdo starat, ujel jsem se jich. Začínal jsem s šesti včelství a dopracoval jsem to až na včelství v 20. Včelaření je každý rok úplně jiné, po záleží na počasí a na mnoha jiných faktorech. Zvlášť v poslední době velkým trápěním pro včelaře jsou nemocí včel. Jednak je to varováza, která se dá lečit, ale musí k tomu všichni přistupovat a v správný čas včeli lečit správnými léčiví. Horší je to s včeli morem, respektive mor v čeliho plodu. To je přímo katastrofa, protože jak mě to veterinární správ a zjistí, všechno všech na štělstva se musí spálit a nesbide v čelaři nic. A může začít znovu, znovu a znovu. Ještě bych k tomu chtěl dodat, že letošní rok byl pro včelaře střídavě dobrý a hned na to méně dobrý. V květového včelu medu bylo dost, lesním medovicový bylo taky dost, o všem nedal se vytočit, protože jak čeleří říkají, byl to med melicitózní a nešel vůbec z rámku vytočit.</t>
  </si>
  <si>
    <t>Kardiovize_78</t>
  </si>
  <si>
    <t>0.7528089887640449</t>
  </si>
  <si>
    <t>0.39325842696629215</t>
  </si>
  <si>
    <t>0.8059701492537313</t>
  </si>
  <si>
    <t>0.8525272687537084</t>
  </si>
  <si>
    <t>0.056179775280898875</t>
  </si>
  <si>
    <t>0.5842696629213483</t>
  </si>
  <si>
    <t>9.88888888888889</t>
  </si>
  <si>
    <t xml:space="preserve"> Tak rád sledují přírodo písný, cestopisný, případně sportovní pohrady. Z těch sportovních se rád podívám na olébal nebo basketbal. Taky z floorbal se mě líbí. Když je mistr, jsi je tady nějaký takýkoliv z podhoký podbal. Nemusím tak se ospíš takový jako golf nebo nějaký kulečníka. Takovýle šachy nejsou mozáživní. Z cestopisných nejradějímám, když jsou to nějaký zajímavosti o hledně historie nebo přírodních ráříc. Taky z třeba hory ostrovy potom nějaký takový ty cestopisí jako zpojený třeba. Jako jistou s tím ohudnáváním těch ideál místních nebo tětý místní zvyky.</t>
  </si>
  <si>
    <t>Kardiovize_803</t>
  </si>
  <si>
    <t>0.4014084507042254</t>
  </si>
  <si>
    <t>0.8569118455854111</t>
  </si>
  <si>
    <t>0.056338028169014086</t>
  </si>
  <si>
    <t>0.5211267605633803</t>
  </si>
  <si>
    <t xml:space="preserve"> Dnes ráno jsem byl u očního lékaře, který mě zjistil, že mám v pravem oku trochu šedí zákál. Ten šedí zákál se mě tvoří asi jíš 3 roky, když tedy jsem bojoval se svými vnuky a jeden z mých mě strzelil plastovou nábojenící do oka. Od té dobí mám trošičku problémy, ale to nevadí. Pak jsem všeľ domů a něco jsem pracoval. A když bylo asi půl jedné, zavolala mě moje žena, že přece neskamám ještě jít odpoledné na cejtek, kde se podrobím kontrolnímu vysetření. Podařilo se mě nejenom přijetcem, ale dokonce i najít tuto budovu a přihlásil jsem se na vrátnici, kde mě převzal pán, který zajíšťuje v mě vysetření a absolvoval jsem vysetření EEG. A pak další, která v mě nejvíc zatížila v tom, že už mám špatnou ruku a nedokážu psát, tak jak jsme byli zvyklí drživé, psaní používat.</t>
  </si>
  <si>
    <t>Kardiovize_806</t>
  </si>
  <si>
    <t>0.6559139784946236</t>
  </si>
  <si>
    <t>0.4838709677419355</t>
  </si>
  <si>
    <t>0.8535343494784148</t>
  </si>
  <si>
    <t>0.005376344086021506</t>
  </si>
  <si>
    <t>0.5591397849462365</t>
  </si>
  <si>
    <t>15.5</t>
  </si>
  <si>
    <t>0.633622797748263</t>
  </si>
  <si>
    <t xml:space="preserve"> Pama to jsi, jak vypadalo tady to místo, kde teďka stojí tahle ta budova, že tady byla krásna příroda a když člověk vyšel od svratky po strání na horu, tak viděl v rámci Brna vesnicy. A pak když výdete po letech, tak tady vidíte takový, hledem, ufonský město, který vás úplně viděsí. I když jsem tady relativně vydlím, relativně nedaleko, tak jsem byla překvapená, když jsem dejala tady k té budově, když jsem buvěc nevyšel, že tady funguje. Protože si paman tu je vakorát tady ten interná cester. Předpokládám, že obestavili ten interná. Takže se to posunul způsobem, o kterém nevíme si je lepší. Možná, jo, možná to k něčemu je, tady ten leten barák. A ta práce, která v ním děláte, víc už mě ne napadá. Ešte pohrád musím vomovit dobrý, tak jo. Netusím k čemu všechno ta střediska, předpokládám, že tu co tady je, že většinou služík výjúce, všechny ty baráky, který tady postavili to moderní město. Ale pravda je, že už jsem byla na stém výročí, na srazu, na vysoké ekonomické, když bylo sté výročí. Tak pražáci strašně záviděli brňákům, že tady tu...</t>
  </si>
  <si>
    <t>Kardiovize_81</t>
  </si>
  <si>
    <t>0.6775956284153005</t>
  </si>
  <si>
    <t>0.4808743169398907</t>
  </si>
  <si>
    <t>0.7661290322580645</t>
  </si>
  <si>
    <t>0.8810630210862439</t>
  </si>
  <si>
    <t>0.0273224043715847</t>
  </si>
  <si>
    <t>0.00546448087431694</t>
  </si>
  <si>
    <t>0.5652173913043478</t>
  </si>
  <si>
    <t>30.5</t>
  </si>
  <si>
    <t xml:space="preserve"> Tak včera mě nečekaně navštívili obě dvě vnoučata, 19 leta i včas a 17 lety matíáž. Přišli nečekaně dopoledné, protože byli na vyšetření u oční lékařky a ta jím rozkapala oči, takže málo viděli a nemohli jít tu díš do školit, tak se k nám přišli v uvozovkách ulejvat a přišli k babyčce na obět. Belice mě to potěšilo, po obětě bylo stav jejich očí už bylo lepší, takže jsme vyšli si na procházku a protože bydlíme tady v bounicích, tak jsem se šla podívat, kde vlastně sídli tady toto pracovyště, kde jsem dneska na vyšetření, abych nebloudila až jsem půjdu. Tak mě vnoučata doprovodili, docela jsme to našli v pohodě, akorát že jsme šli z druhé strany od kampusu, což byla chyba, to už neskavím. Potom jsme ještě šli na procházku do zahrádek tady na červený kopec, bylo krásně svítilo sluníčko, takže to byl velmi příjemně strávený den. Potom už vnuk odjel, protože je sportovéc, trénuje judo, tak je na trénink a vnuka se mnou ještě pobyla, až na večer odešla taky za svou zálibou, což je fitness, tak šla do posilovny.</t>
  </si>
  <si>
    <t>Kardiovize_821</t>
  </si>
  <si>
    <t>0.6475409836065574</t>
  </si>
  <si>
    <t>0.5286885245901639</t>
  </si>
  <si>
    <t>0.7278481012658228</t>
  </si>
  <si>
    <t>0.8872638161670113</t>
  </si>
  <si>
    <t>0.028688524590163935</t>
  </si>
  <si>
    <t>0.5222672064777328</t>
  </si>
  <si>
    <t>17.428571428571427</t>
  </si>
  <si>
    <t>2.642857142857143</t>
  </si>
  <si>
    <t xml:space="preserve"> Tak teď je zrovna odjela vnůčka do Francie, kde teda bydlí, bylo to tady sní moc fajn a je měl jít to, že už asi jú 3,5 roku neuvidím. Bylo to trošku těžký, protože ona si ce, rozumí Česky všechno, ale mluví pouze francouzky, abyla jsem s ní sama cera odjela. Takže to bylo docela i zábavné. Vždycky se mi řekla, a dně to řekne ještě Česky a ona řekla, uiii, a za 100 řekla znova francouzky. Ale dalo se to celkem přežit, tím, že mě rozuměla, takže všechno věděla, co má dělat. Akorát já jsem nevěděla, co povídám, ale nějak jsme si porozuměli a šlo to docela nějak skloubit. Snažila jsem se jí hodně zabavit, vymyšlety, nějaký výlety. Tak jsme se byli za děckama podívat v táboře, do kterého, jakaždi rok jezdím, vařit. Aby měla trochu jiné zábavy, než má tam u nich a zvýhrata, protože tam zvýhrata skoro vůbec nejsou, ani zoologicky tam nejsou, oni bydli přímo v kán na pobřeži. Takže tam je opravdu akorát to moře a na foukani francouzi. No už nevím, co bych řekla. Ještě musím pokračovat, jo, tak jo. Takže sera bych chtěla, abych tam za ní jezdila, ale mě se tam úveck ne líbí, takže rady preferují, ať mě vnudku dobeze a necháji tady, jak dlouho chce, ale mě se tam vůbec zanimáte, na nechce. Tam je opravdu úplnějné život, který se mě ne líbí a sam abych nikdy nechtěla takhle bydlet někde mimo Česko.</t>
  </si>
  <si>
    <t>Kardiovize_822</t>
  </si>
  <si>
    <t>0.6135265700483091</t>
  </si>
  <si>
    <t>0.8471105509976712</t>
  </si>
  <si>
    <t>9.857142857142858</t>
  </si>
  <si>
    <t>1.1428571428571428</t>
  </si>
  <si>
    <t xml:space="preserve"> Páte k se měla autobusem z Brna. Autobus neměla spoždění, ale pršel. Takže jsem šla stešnikem. Přijela jsem do Kroměříže, kde mi ujel autobus těsně přednozem. Takže jsem čekala 20 minu na další autobus. Sama jsem měla do Otrokovic. A dám se čekala dalších 20 minu na další autobus. Takže cesta z Brna do Napej delmi trvala dvě a půl hodiny. Přišla jsem k sez tre, zrovna pili kaffe. Na záhradě svítilo sluníčkou, proti Brnou. Takže jsem si s ním dala kaffe, dala jsem si kolač. A pak jsem šla za svojí nemocnou maminkou, kde se mi byla pozdravit. Dala jsem ji napít a pak jsem ji dávala večer. Večer jsem pomáhala se střej přebalovat, protože jedna už to nezvládne. Předná se dívali na televízii, dávali kvíny. A hrali jsme si u toho decivína, protože jsme to obě dvě potřebovali. Ráno jsme stali, sestra cela umývat okna hnedopul šestej ráno, tak jsem ji pomohla s umýváním okén. Paz jsme přebalili babičku, to je moje maminka vlastně, ale říkáme ji už babička. A dali jsme ji snídání, sestra potom šla na pohřeb a já jsem doumývala zbytek okén. A odpůlade jsme pracovali na zahráce, protože bylo krásné počasí. Mezi tím jsme babičku vlastně nakrmili, přebalili a takový kolubi.</t>
  </si>
  <si>
    <t>Kardiovize_827</t>
  </si>
  <si>
    <t>0.6243093922651933</t>
  </si>
  <si>
    <t>0.5248618784530387</t>
  </si>
  <si>
    <t>0.7610619469026548</t>
  </si>
  <si>
    <t>0.8132275555404843</t>
  </si>
  <si>
    <t>0.027624309392265192</t>
  </si>
  <si>
    <t>0.5082872928176796</t>
  </si>
  <si>
    <t xml:space="preserve"> A no jsem jela na vyšetčiní do kampusu. Jele jsem z králového pole, jele jsem knádraží na králo pole, se dle na 56 a jele jsem do kampusu. Cestou jsme se trošku zdrželi v písárkách v podjezdu, v nájezdu, přijeli jsme, přijela, vystoupila jsem u kampusu a chtěla jsem i na 40, která mi mě dovezla až k tomu místu vyšetření. Ježi 40, mě přednosím ujela, tak jsem si říkala, vím, kde to asi je, tak co by jsem čekala pol hodiny, po jedu půdu pěšky. Kilometr, kdy to jsou zpomali, jedna dvě zastávky, tak jsem šla. V lesdá se malé na jinou ulici, jak jsem měla, prošla jsem u celou a byla jsem stracena. Voptalá jsem se, prošla jsem tak mezi budovama a příšla jsem, hledala jsem kula tahu stavbu, našla i jiné dveře byly zavřeny, vopcházela, vopcházela. A ještě, že mám hubu, voptalá jsem se, byla jsem na vene takovéštíkovné mládí, mě dovedl až ke dveřím, zazvonil, zazvonil, a už jsem tady byla. Je to ještě mám něco mluvit? No a teď tady tak sedíme, dělají se mnou testy.</t>
  </si>
  <si>
    <t>Kardiovize_850</t>
  </si>
  <si>
    <t>0.7323943661971831</t>
  </si>
  <si>
    <t>0.39436619718309857</t>
  </si>
  <si>
    <t>0.8269230769230769</t>
  </si>
  <si>
    <t>0.8613531291815655</t>
  </si>
  <si>
    <t>0.6549295774647887</t>
  </si>
  <si>
    <t>1.7777777777777777</t>
  </si>
  <si>
    <t xml:space="preserve"> Letošní období dovolených začalo trýve než obvykle. Už k větnu jsem vyrazila do Horského masivu Armenie se s kvělou agenturou a s kvělou partou lidí. Pak jsem si oděla na svoje oblíbené řecké ostrovy v Egejském mohri, kde probíhalo totální relaxační období se spoustou zajímavých setkání a s kvělou vředskou kuchyní. A kde jsem se rozhodla si začít učit vředsky. Následoval krátkámuravská lázeňská dovolená s rodinou a s malými chlapečky, která byla zase velmi pohodová z přátely a s brouzdáním po lesích, které byly úplně prázdné. Nachodili jsme spousty kilometru, napili se spousty mineralních vod a ochutnali s kvělou kábu a zákuzky. A poslední část tohoto leta dovolenková bude ve slovinských horách na kolech s dalšími přáteli, zpoznáváním nových míst, destinaci i ve Slovinsku. A z zase s kvělou partou sportovně založených lidí. Až tohle skončí, tak dovolenková část roku skončí takteš.</t>
  </si>
  <si>
    <t>Kardiovize_854</t>
  </si>
  <si>
    <t>0.782312925170068</t>
  </si>
  <si>
    <t>0.8521739130434782</t>
  </si>
  <si>
    <t>0.9077292412195536</t>
  </si>
  <si>
    <t>0.027210884353741496</t>
  </si>
  <si>
    <t>0.5878378378378378</t>
  </si>
  <si>
    <t>24.5</t>
  </si>
  <si>
    <t>0.6326723883975792</t>
  </si>
  <si>
    <t xml:space="preserve"> Dneska se vrátila manželka z práce, dělá v Lichlosteinsku. Přijela nějak v jednu hodinu v noci, tak jsou pozdravili, protože máme ještě dva psí, které se na něm strašimostě šili. No, ráno jsem byl nemocnicí, spravovali měruku, vrátili se zpátky a byl jsem zepsama na procháce, protože jsou vzvyklí hodit tak asi na půl hodiny ven. No, mám zahrátku na ní pěstu, šel jakou zeleninu, stromy, ty se sázel, meroňky, švestky, broskve, meroňka měhne zmrzela. Tak jsme byli jauvánet vedle sousem koně, tak korykrat s ním jezdím ven, pomáhám jim, akorat na to sedlo, to dvakrat mě vyhodil ten kůň a tak to jsou hříbat, tak zatím se zvykají. Chodím do lesa nadřevo, abych měl, vysky musím ji zalesnikem dostanu povolení, dostanu papír, vezmu pilu, hozejk, mám takové trakturek malinké, do dolesa mám označený stromy, který poklátcím, ve mu polinámetrový, poskládám je pak roštípu a dávám je...</t>
  </si>
  <si>
    <t>Kardiovize_865</t>
  </si>
  <si>
    <t>0.6626506024096386</t>
  </si>
  <si>
    <t>0.46987951807228917</t>
  </si>
  <si>
    <t>0.8438362910304655</t>
  </si>
  <si>
    <t>0.006024096385542169</t>
  </si>
  <si>
    <t>0.5903614457831325</t>
  </si>
  <si>
    <t>166</t>
  </si>
  <si>
    <t xml:space="preserve"> Pěším se na výkend, pojedeme na kalupu, budeme grillovat, zahrajíme si tenis, půjdeme na vycházku, začínají dozdávat třešně, začneme je zavařovat, z noučkem půjdeme na vycházku do lesa, potom půjdeme, zastavíme se na hřbitově, budu těším se mám nový recept na buhtu, taky vyskouším, myslím si, že bude všem chutnat, právě použí ty třešně, které dozdrávají, večer si nagrylujeme sír, posedíme v Pergole, přijede ještě bratr s manželkou, tak nás bude hodně a bude to príjma výkend a bude to fajn, tak to ještě vám mluvit, tak teď nevím co tak to bude sobota, v nedělí půjdeme na zase na vycházku do lesa, půjdeme na zahradu, budeme muset proplet nějaké záhonky, protože jsme minulý týden nebyli, tak tam bude hodně práce, zelenom tomu, že už bratr ze špakrovou odjedou, tak budeme mít více času, takže se budeme spíšenovat té zahráce a zábava půjde trochu stranou, ale i tak se tam těšíme, protože je to v krásné přírodi, kousek za brnem a máme to tam moc rádi.</t>
  </si>
  <si>
    <t>Kardiovize_867</t>
  </si>
  <si>
    <t>0.5347222222222222</t>
  </si>
  <si>
    <t>0.7444444444444445</t>
  </si>
  <si>
    <t>0.8049665896409325</t>
  </si>
  <si>
    <t>0.5486111111111112</t>
  </si>
  <si>
    <t xml:space="preserve"> Ráno mě prvudila vnučka a říkala mě, jak a co bude dneska dělat. Půjde do školy, večer bude do kroušku, bude zpívat. Už se na to hrozně těší a už se těší na to, že vpátek večer přijede za mnou a budeme na zahradě sázet hrášek, salát, ředkvíčky a pokud bude pěkně tak si budeme užívat sluníčka. Potom trošku uklidíme, naobědváme se a pojedeme za jejím bratrancem a se střenici, kde si mají v umyslu hrát na autodráze, protože David se i pochlubil, že dostal krásnou autodráhu na vánoce. Už se všichni těší, jak si budou hrát. Pabíčka se s třejdem uvidí a řeknou si prostě, co bylo za poslední dobů, co se neviděli. Ještě? Potom mě babíčka odveze domů a vrátí se za svým vnukem, kde bude chystat věci na příště tyden, kdy mají v umyslu rotovátovat zahradu a chystat na sázení brambor.</t>
  </si>
  <si>
    <t>Kardiovize_879</t>
  </si>
  <si>
    <t>0.7015706806282722</t>
  </si>
  <si>
    <t>0.7611940298507462</t>
  </si>
  <si>
    <t>0.8983884893517287</t>
  </si>
  <si>
    <t>0.5906735751295337</t>
  </si>
  <si>
    <t>17.363636363636363</t>
  </si>
  <si>
    <t xml:space="preserve"> Takže mám svůj vinohrat malý, o který se starám, teď už tím chců skončit, protože si tam chců udělat sat. Jeden sat už mám, kde se starám o stromí, mám tam meroňky, švestky, jabloně. Teď nastává čas, na zahradě mám brozkvíčky dvě, teď nastává čas, že musím postříkat brozkvíčky, rychle, aby pěkně zarodili. Za chvilku začnou stříhat stromi. První meroňky a švestky, jabloně ještě nechám, ty jsou mladý a pak nastane doba, kdy budu ztříkat meroňky, proti moniliové spály. Doufám, že li to s nepřídolové jarní mrazíky, aby mě to za všechno nezmrzlo, vychsklidil nějaké ovoce. Je to špatný s tím počasím, protože oni se měl plný strom i švestek, ale všechno mě zasklo, spadlo dolu, takže jsem nezklidil skoro nic, jen pár na jídlo a naknedlíky. To by bylo asi tak všechno vynohrad už nechcou, protože to dá hodně práce a v mojich letech už o to nemám zájem. Dědca žádný to nechcou, když mám si na aceru ti to dělat nechtěji. V noučatasou ještě malých, tych mám pět, nemláčí má 13 měsíců, ne starší 15 let. S těma se rád stíkám, hodně si povídáme a stvoříme spolim různi věcí.</t>
  </si>
  <si>
    <t>Kardiovize_93</t>
  </si>
  <si>
    <t>0.7241379310344828</t>
  </si>
  <si>
    <t>0.41379310344827586</t>
  </si>
  <si>
    <t>0.8970093746065325</t>
  </si>
  <si>
    <t>0.005747126436781609</t>
  </si>
  <si>
    <t>0.017241379310344827</t>
  </si>
  <si>
    <t>0.6045197740112994</t>
  </si>
  <si>
    <t>34.8</t>
  </si>
  <si>
    <t>3.2</t>
  </si>
  <si>
    <t xml:space="preserve"> Takže mám rád přírodů. Proto mám psa s lidem k tomu, že taky už dlouhá leta pěstují papoušky, takže mám nějaké handulky, mám tam nějaké papoušky v rapči. Mám Žakadoma, se psem, která není to pes, je to fenka, ménuje se Dorotka, dostal jsem ji z útulku, mám mi teď budu mít osm let. Nechci, aby se flákala jenom, takže v sní pracují. V roce jsem zistil, že má na pátěři nějaký problém, takže děláme zkoušky, ale ne, i poví, tam se vždyška čemetrová překáška, kterou ona už neskočí, takže děláme irový zkoušky, děláme záchranařinu, děláme obedienci, děláme, co všecko možné stopy, vyhledávání předmětu, každý den sní chodí minimálně 3x ven, máme ještě maželka, má druhou fenku, s tou taky chodím 1-2x den ven, no a potom je na záhradě práce, že pořád něco je tam trávni, který musím upravovat, kvítka máme hromadu hruží, je taky potřeba si starat, kromě toho máme na záhradě spoustu čarověníků, to jsou taky zakrzlí, všechny možný druhý lesních, vlastně stromečku, který máme jejch tam asi 50, můžu?</t>
  </si>
  <si>
    <t>Kardiovize_955</t>
  </si>
  <si>
    <t>0.7967479674796748</t>
  </si>
  <si>
    <t>0.3089430894308943</t>
  </si>
  <si>
    <t>0.8673469387755102</t>
  </si>
  <si>
    <t>0.887720646420459</t>
  </si>
  <si>
    <t xml:space="preserve"> z hrabat lupení a porit a zasadit chryzantény a zamec chodníky. A tam mám nějakou práci na znatíráním dřeva a kéře musím vostříhat. A přidělat tam poličky dvě, abych si měla kam odkladat květina a česky tkama, aby měsly máci nezeřerali. To jsou všaké práce, které musím zvádnout a mrznout. Už se ale těším na járo, protože tady tuto dobou moc nemám ráda zímu a teplu, ale nemusí být vedro. Vydra jsou přiliš umorná, navíc máme velké sucho, takže musíme chodit zalívat, ze šláku pytnou vodou. A volostejně, když jsou takový vedra, tak stejně nic nerozte, protože i ty kytkám je moc steplo, a některý se dokonce uvaří. Takže se makytkama je to prostě problém neustálej do koláno. Zelenina takyleto z moc nebyla.</t>
  </si>
  <si>
    <t>Kardiovize_96</t>
  </si>
  <si>
    <t>0.7616580310880829</t>
  </si>
  <si>
    <t>0.33678756476683935</t>
  </si>
  <si>
    <t>0.8707482993197279</t>
  </si>
  <si>
    <t>0.8928444625525274</t>
  </si>
  <si>
    <t>0.010362694300518135</t>
  </si>
  <si>
    <t>0.5721649484536082</t>
  </si>
  <si>
    <t>11.352941176470589</t>
  </si>
  <si>
    <t>1.2352941176470589</t>
  </si>
  <si>
    <t xml:space="preserve"> Tak jsme se v cítku, které bude za chvíli končit. Ponávratu domu, vezmu psa a musím si mít na procházku, protože celý den než tě nebyl venku. Tak se spol na jíme, odpole dne, se budu po zahrátno, hejbal. A večer musím se vzeženou na nákup, to je povinno z každý pátek. Dálši uvidíme co bude následovat, dneska asi jen televize. Zítra pojedeme na výlet, máme naplánovanou lednici, je tam i vzimě krásná procházka po lednickem parku. Stavíme se nekde na večerí a bude nám krásně. A v neděli, v neděliu zatím nevím co bude dělat. Možná budeme do kina, možná se budem podív projít jenom na přehladu odpére bydlíme kousek. V ponděli musím pokračovat v práci, kde dělám na části pročovní uvazek. Mám tu výhodu, že dělám z domu, nemusím nikom hodit, počítající zapnují, jak se zbudim. Mám problémy s buzením ránu, nejlepě se mě stává mezi 8. a 9. hodinou. Može se taky stačne, kdy zaspím, co se nám stalo. Jeden den nysme se zbudili i ze pse v 11 hodin. Dálé bych můhl říct něco o avutě, který vlastně koupil na stará kolená do důchodu, aby se měl čím pohybovat.</t>
  </si>
  <si>
    <t>Kardiovize_969</t>
  </si>
  <si>
    <t>0.7883597883597884</t>
  </si>
  <si>
    <t>0.31746031746031744</t>
  </si>
  <si>
    <t>0.8657718120805369</t>
  </si>
  <si>
    <t>0.9155205224124543</t>
  </si>
  <si>
    <t>0.026455026455026454</t>
  </si>
  <si>
    <t>0.5842105263157895</t>
  </si>
  <si>
    <t>17.181818181818183</t>
  </si>
  <si>
    <t>2.6363636363636362</t>
  </si>
  <si>
    <t xml:space="preserve"> Takže zdenk tomu, že jsem se narodila ve znamení blížencu, samotřejmě, že tedy moje osobnost je taková trošičku rozdojená, mám moho zájmu, ale jsem tomu ráda, protože ráda taky poznává vám nové věci. Zajímám se o dění okolo a mám teda i své koníčky. Jedním z koníčku bice mene až teď na stará kolena. Je malování, kdy jsem se vrhla před asi 5 lety na malování akrylem, případně akvareli, a zahrnují celou hrodinu svémi výtvory. Další část měho života zaplní 4 vnoučata. Mám dvojčata 15 lety, klukaholku a potom další slečnu a 17 letou a 13 letého kluka, takže tými taky dávají zabrat a oni rádi s babičkou blbnou, protože výžejím, jim jde ve všem naproti. Další mým koníčkem je soukytičky, mám jich plný bit i balkóny. A samozřejmě i malou zahrádku, kde se pokouším i něco vypěstovat. Vzledem k letošnímu i předchozím je letum, kdybyl veliké sucho, to byl trošičku oříšek. Dělám co můžu a dělám jí velikou radostřeba růže, které pěstují anglické růže a tyto jsou mojím chloubou. A jinak pěstujeme jaké ty jahutky, aby děti měli měl tu marmeládu, brze babičko, prosím těli vance a palačinky.</t>
  </si>
  <si>
    <t>Kardiovize_978</t>
  </si>
  <si>
    <t>0.725609756097561</t>
  </si>
  <si>
    <t>0.8067226890756303</t>
  </si>
  <si>
    <t>0.8924431327506133</t>
  </si>
  <si>
    <t>0.012195121951219513</t>
  </si>
  <si>
    <t>0.49700598802395207</t>
  </si>
  <si>
    <t>18.22222222222222</t>
  </si>
  <si>
    <t xml:space="preserve"> V latoštím roce jsem se rozhodl, že se koupím nový automobil. Pořád zvažují, jakou značku bych si teda mohli vybrat, proto jsem požádal pomoci celou naši rodinu, aby mi pomohli s výběrem uvedeného vozu. Každý z nich měl jiný názor, takže pro mě zůstalostejně rozhodnutí pouze na mě. Zatím učala jsem naštívil několik autosalonů, abych si dané vozidla prohlédl. Se známe se s níma, po případě se s nimi projel, aby zjistit, jaká mají jízní vlastnosti a jak se ovládaí. Nakonec ze všeho jsem si vybral továdní načku Volkswagen, kde jsem si teda zakoupil Volkswagen Passat. Z tímto vozidlem jsem značně spokojený a podnikám zatím různé výze tím po České republice, nicméně počítám s tím, že bych jezdil i do ciziny. Vozidlo mám garážované, takže mám obavu, že by by ho na ulici někdo odcizel a nebo že by by ho někdo poškodil. Tož odcenuju i zejména v zítmím obrobí, kdy moc najezdím, takže ho mě nestoji veňku a není vystaveno po větrnostním podmínkám.</t>
  </si>
  <si>
    <t>Lang-LBD_long_P10-1</t>
  </si>
  <si>
    <t>0.7580645161290323</t>
  </si>
  <si>
    <t>0.4032258064516129</t>
  </si>
  <si>
    <t>0.7872340425531915</t>
  </si>
  <si>
    <t>0.8181558796200852</t>
  </si>
  <si>
    <t>3.6470588235294117</t>
  </si>
  <si>
    <t>0.29411764705882354</t>
  </si>
  <si>
    <t>3.6651899853774195</t>
  </si>
  <si>
    <t xml:space="preserve"> Víte se na televizi. Objevsem z običkou. Duma bylo horko. Takže se nic nedělo. Vtásně všechno. Vště nevím co bych říkal. Všechno bych hlou. Je to a půl, to je hrůza. Všechno bych měl vždy. Jsem jen zdenět Kuna. A mědlým bydžiáře na Cázavo. Ukružení 20-30. Pracová jsem jako... ...NC Udřbář. Vždy se... ...těc na dovolené, teda na dovolené... ...do duchodě.</t>
  </si>
  <si>
    <t>Lang-LBD_long_P12-1</t>
  </si>
  <si>
    <t>0.7125748502994012</t>
  </si>
  <si>
    <t>0.4311377245508982</t>
  </si>
  <si>
    <t>0.7983193277310925</t>
  </si>
  <si>
    <t>0.884339795208574</t>
  </si>
  <si>
    <t>0.011976047904191617</t>
  </si>
  <si>
    <t>0.5088757396449705</t>
  </si>
  <si>
    <t>55.666666666666664</t>
  </si>
  <si>
    <t xml:space="preserve"> Vpátek nám volal vnouček, jestli bychom nejle někam na výletaner záljste s babičkou s dědičkem, tak subotu jsme vyrazili při ráno toto hlovcových maštalí, to je skáno tej údulí u Lytomyšle. To je na dhné rani, sviděl jsem, něčko byl krásné ráno, a my jsme procházali těmi skámy, ale musím můžete říct, že vnoučeta Jeník a Matísek to brali, jako poklusem měli jsme kolikrát co dělat, aby jsme jim obojec stačili, v té skánal ten údulí a moc jim tam líbil, a jak byli jim, když jim dědiček vyprávěl, vlastně jak ten piskovec, který tam všude je, ty piskovec se vezkáli, jak vznikali, a jak je snadné do toho dělat tíry, a vyhríva to různá obrázky, tak nedělej nic jiného, než vždycky jsme se u každého hlokého kamené zastavili, měli káce, když káce k tím kácem vyhrívali díry, aby si dokázali, že to taky dělá, že to umějí. Juli tak jsme vyprávěli, u tomu je drív, v tom půbec žádný skáli nebyly, že tam byl samý písek.</t>
  </si>
  <si>
    <t>Lang-LBD_long_P13-1</t>
  </si>
  <si>
    <t>0.32558139534883723</t>
  </si>
  <si>
    <t>0.8446601941747572</t>
  </si>
  <si>
    <t>0.9116733744682418</t>
  </si>
  <si>
    <t>0.007751937984496124</t>
  </si>
  <si>
    <t>0.5581395348837209</t>
  </si>
  <si>
    <t>1.8571428571428572</t>
  </si>
  <si>
    <t xml:space="preserve"> K mým koníčkům patří například divadlo. Divadlo mám ráda od děctví a nejen jako divák jsem dlouholetou členkou ochotnického souboru. Náš ochotnický soubor Kos, takže Karlovský ochotnický soubor, oslavil leto 140 let od svého založení. Za posledních 20 let jsme sehráli 19 představení, vynechali jsme pouze v covidovém roce. Letos se chystáme hrát v novém kulturním zařízení, takže už se všichni těšíme, že budeme mít nové šatny a odpovídající vybavení. Soubor má kolem 20 členů od 16 do 72 let a je to teda výborná parta na třencu a lidí, kteří se snaží pro ostatní udělat něco, pro pobavení, obveselení a dobrou pohodu. Nedostatkem je mladí herci, nebo mladí načenci, protože i když během studia na středních školách, třeba se zapojí, potom odchází na studia a bohužel nám chybí.</t>
  </si>
  <si>
    <t>Lang-LBD_long_P14-1</t>
  </si>
  <si>
    <t>0.6691176470588235</t>
  </si>
  <si>
    <t>0.7472527472527473</t>
  </si>
  <si>
    <t>0.8413604347255687</t>
  </si>
  <si>
    <t>0.5220588235294118</t>
  </si>
  <si>
    <t>11.333333333333334</t>
  </si>
  <si>
    <t xml:space="preserve"> Tento úkol je pro mě roznitěžký. Nereada takhle mluvím, nevím proč prostě, je mi to nepříjemné. Dneska jsem stávala docela brzy, protože před náma byla cesta do Brna. Provozbil dobrý, takže jsme se dnes sem dostali trošku i s předstihem. Manžel na mě čeká, někde na parkový štít, tak doufám, že to zvládne tu 3 hodinovou pauzu. Tý úkol, které jsem tady plnila neska, tak mě zajímá, jak budu ve výsledku, jak to dopadne. Doufám, že je to bude docela dobrý. Magnetiská rezonance to jsem docela zvládla, takže myslím, že to bude snad dobré. A co mě ještě čeká, jsem zvědavá, protože mě to zajímá, co dále ještě budu plnit. Ten přístroj, který dostanu, bude třeba ten, kterým jsem pracovala minule, takže to bylo fajn. A to pohodně, žádný problém. Takže těším se, co mě čeká.</t>
  </si>
  <si>
    <t>Lang-LBD_long_P15-1</t>
  </si>
  <si>
    <t>0.8151260504201681</t>
  </si>
  <si>
    <t>0.3025210084033613</t>
  </si>
  <si>
    <t>0.8556701030927835</t>
  </si>
  <si>
    <t>0.9157934736939838</t>
  </si>
  <si>
    <t>0.01680672268907563</t>
  </si>
  <si>
    <t>0.03361344537815126</t>
  </si>
  <si>
    <t>6.2631578947368425</t>
  </si>
  <si>
    <t>0.8947368421052632</t>
  </si>
  <si>
    <t xml:space="preserve"> Hano, tedy mladé šty razy to stojí za houby. Měl se se tomu dělat. Člověk, aby je to honil do práce. A příto máme velik na zahradě práci, v sade. A náhle, že nevím k Andří zkočit. Měli děti, hračí jedou na dovolenou. Hřičická má jedou do nějakého zábavního centra. Nebo hrad fobál. A já musím třeba vyvážet smetí na skladku. Někdy mi pomožete pravda ten syn jeden. No, ale tě dvá byly mimo obec. Takže tím jí nepomohou. Zprací. No, nevěsta, co byly sama na baráku. Ta už vůbec. Ta jediná ček, jako jediná ček. To je už neštěsné, důfám, že nistě tak jediná ček. Protože ty jsou obletované celý život. A tady si a přijímášel ství, asi.</t>
  </si>
  <si>
    <t>Lang-LBD_long_P16-1</t>
  </si>
  <si>
    <t>0.610062893081761</t>
  </si>
  <si>
    <t>0.5849056603773585</t>
  </si>
  <si>
    <t>0.6804123711340206</t>
  </si>
  <si>
    <t>0.8348639310690442</t>
  </si>
  <si>
    <t>0.06918238993710692</t>
  </si>
  <si>
    <t>17.666666666666668</t>
  </si>
  <si>
    <t xml:space="preserve"> Ménuji se zde někčerný, je mi 51 let, je se mnou moje milovaná přítelky Pavelinka, kterou nedevše miluju. Pracujeme na tom tady společně, aby jsme měli zářívou budoucnost. Moce na to těším, dneska mě se doprovází ze své vůle, já jsem tomu rád, protože si to ovážím, nečekal jsem to, ale přál jsem si to. Tak jsem rád, že je tady se mnou a že se i tím lesbůsobem o mě zajímá a že se i tím lesbůsobem o mě stará. Mám jí moc rád, věřím v nás, vás v nás obvědva, že budeme mít hezkou budoucnost. Plánujeme si pomalé už nějaké společné chvílky, jak třeba přímo u Pavelinky, tak někde mimo. Strašně se na tom moc těším, bude to na plnění mého života. Mámí celého serce rád, mámí tak rád, že ji milují a jsem sní strašně rád, je mi sní dobře. Věřím, že tomu bude tak nadále a udělám všechno, protože bylo sem mnou šťastná a spokojena.</t>
  </si>
  <si>
    <t>Lang-LBD_long_P17-1</t>
  </si>
  <si>
    <t>0.7428571428571429</t>
  </si>
  <si>
    <t>0.42142857142857143</t>
  </si>
  <si>
    <t>0.7788461538461539</t>
  </si>
  <si>
    <t>0.89865705796827</t>
  </si>
  <si>
    <t>0.007142857142857143</t>
  </si>
  <si>
    <t>0.5285714285714286</t>
  </si>
  <si>
    <t xml:space="preserve"> Tak největší radosť ve svém životě mám zvnoučat. Mám už pět vnoučat. Čtyří jsou v podstatě už dospělé, ale ještě k ním přibyli dvě pravnoučata. Všechny malý děti jsou strašně rostomily. Člověk, když je moc mladý, nemá čas si vyhutnat. Tady malý děti a Žic nemá s dílet jejich radosťí na to boužel v mládi není tolik prostoru. Ale když už jsem ze stárla a narodili se mě nebo mým synům se narodili děti, takže těhle ty vnoučata mě dělají jenom radosť. Tď momentálně mám dvě vnoučata, který mají čtyři a šestlet a jednu pravnučku, která má čtyři roky. Je to hrozně hezké sdívat na tyto malý děti, jak se vyvíjí, jak dokazuje, co všechno zvládnou oproti nám, kteří už jsme spoustu věci zapomněli. Proto si myslím, že věnovat se dětem a pokud to de rozvíjet jejich zručnost, jejich vědomosti.</t>
  </si>
  <si>
    <t>Lang-LBD_long_P22-1</t>
  </si>
  <si>
    <t>0.7586206896551724</t>
  </si>
  <si>
    <t>0.3620689655172414</t>
  </si>
  <si>
    <t>0.8718574000311042</t>
  </si>
  <si>
    <t>0.008620689655172414</t>
  </si>
  <si>
    <t>0.5084745762711864</t>
  </si>
  <si>
    <t>7.25</t>
  </si>
  <si>
    <t xml:space="preserve"> Hledo, hledo, tady třejtek. Dneska jsem vlejí na skužkách. Udnes se nejde tomu nedazilo teda. Ten kusyjí slníčko, bude pršet nebo bude sažit. To nejím vůjdíme, co je tam řeknával. Myslivci, to je vělí ty kanale nejblení a zabílí kablí. Poujelu důmo a cesto se zastojím někde z logické závě a my musíme se na papoškáno. Nežli by měchá i tak si hlaví v dva. Taky kupujeme stvácteku. Na ním kam nemůžeme odcoctiť jel za traváně. Abych se dosledalo vymtory. Tři kufry, četroledníčku. Kde bych spělo? A dávám si pozdávaj, kde bych na upadnout z toho. Abych na to 17. a bych mi na toho návodu skončenostit. Okrasov tady do zenej, nejlepšiní, kde bych se vytvojí.</t>
  </si>
  <si>
    <t>Lang-LBD_long_P23-1</t>
  </si>
  <si>
    <t>0.7232704402515723</t>
  </si>
  <si>
    <t>0.39622641509433965</t>
  </si>
  <si>
    <t>0.8347826086956521</t>
  </si>
  <si>
    <t>0.8750244198449545</t>
  </si>
  <si>
    <t>0.6163522012578616</t>
  </si>
  <si>
    <t>14.454545454545455</t>
  </si>
  <si>
    <t xml:space="preserve"> Končí zima, cože super. Nemám vůbec ráda. Mám ráda Jaro, ale to na jady kitíčky, už se těžím na zahradu. Budu sázet, okopávat, léto mám ještě rači, protože mám ráda vodu. Jezdím ráda do lázní, tentokrát pojdu do letnice na Veles, kde je taky superkoupání. Černu jdeme s naší cvičitelkou, kam chodím cvičit ze seniory, tak jdeme na pobyt do Vělkéchlosín. Tam si to vždy moc užijeme, ráno cvičíme, máme rozcivičku na snidání, máme cviči mi pamět a potom chodíme na výhle výlety a na konci leta jezdíme do Šturrova, jak se koupat. To má moc ráda, s kamarádkou jinak chodíme do kina, jsem tam někdy zmanžel na procházky. Manžel už moc pro to není, protože on chce pořád dělat na záradi, takže bude to sama nebo s kamarádkou. Inak mám dvě vnůčky, které se si byli mali, tak jsem se jim hodně věnovala. Teď už obmě tak nestojí, i když za mnou tak jedno, dva krátý dějí zajdou.</t>
  </si>
  <si>
    <t>Lang-LBD_long_P24-1</t>
  </si>
  <si>
    <t>0.7714285714285715</t>
  </si>
  <si>
    <t>0.3619047619047619</t>
  </si>
  <si>
    <t>0.8271604938271605</t>
  </si>
  <si>
    <t>0.8796554447243432</t>
  </si>
  <si>
    <t>0.047619047619047616</t>
  </si>
  <si>
    <t xml:space="preserve"> Máme velkou rodinu. Já jsem si se jako jedináček, ale s manželkou máme 9. Vnoučat a jednu pravnučku. Střídají se u nás v prvědě dne a je to vždycky pěkný šrumec. Nevětší srandaj, ale s tou nejmlačí, které budeme 3 roky. To si vždycky nájde způsob, jak se k nám dostat vidlí, která v přízemí, jako jsme jim poskytli přístřeší. Rodíče studovali než se hnali za městnáni. Vděcky, když přijdou domů s vnučkou hnedka běží poschodek k nám a ptá se teda po babíšce a po děnoví. A nejradši má jako když k nám doběhne tak dosť často zamíří do našich sladkých zásob na sušenky.</t>
  </si>
  <si>
    <t>Lang-LBD_long_P25-1</t>
  </si>
  <si>
    <t>0.4566929133858268</t>
  </si>
  <si>
    <t>0.7666666666666667</t>
  </si>
  <si>
    <t>0.8607541020389965</t>
  </si>
  <si>
    <t>0.015748031496062992</t>
  </si>
  <si>
    <t>0.031496062992125984</t>
  </si>
  <si>
    <t>0.5118110236220472</t>
  </si>
  <si>
    <t>18.142857142857142</t>
  </si>
  <si>
    <t xml:space="preserve"> Včera jsme byli na výletě, byli jsme v pečkách u Kolina. Jeli jsme tam na výstavu vláčku, protože můj přitél je velký milovník, audiovatel, železnice, vlaku, všeho co se vláčku týká z tým stavím do kolíštěm. Takže jsme byli na prohlice těchto kolíště. Byla tam obrovská velká výstava všechno velikosti a velice se nám to líbilo. Měli jsme měli problém trochu z cestu, protože jsou všude obíštky, všude se něco předělává, takže jsme trochu zaplouděli, ale v podstatě jsme se tam dostali. Já sami jsem někdy obděvovatelem nějak vláčku nebylá, ale díky svému přitéli, vlastně jsem k tomu přihlnul a jezdí vám s ním na různé akce, co se železnice týká, jezdím ráda vlakem. Vlastně i děti jsou přiznivci vláčku a liby se jim taj ten koníček.</t>
  </si>
  <si>
    <t>Lang-LBD_long_P26-1</t>
  </si>
  <si>
    <t>0.6231884057971014</t>
  </si>
  <si>
    <t>0.5748792270531401</t>
  </si>
  <si>
    <t>0.6821705426356589</t>
  </si>
  <si>
    <t>0.8703822637804303</t>
  </si>
  <si>
    <t>0.033816425120772944</t>
  </si>
  <si>
    <t>10.894736842105264</t>
  </si>
  <si>
    <t>1.4736842105263157</t>
  </si>
  <si>
    <t xml:space="preserve"> Príden přihlásil jsem se na výskum řeči, co si o toho slibují. Chtělabych vědět, jestli je možné řeč ovlivnit. To znamená, že větěná řeč a paměť ovlivnit. To bude, která různí mám. Cvíčení, které by byli, které doufám, že mi tady budou doporučení. Potom jsem se teprve dnes zdozvěděla, že to má ještě spojito s těma magnetkama na hlavě, které jsem už měla u Pana magistra Brabence. U Pana magistra Brabence jsem zároveň měla ještě logopetku. A myslím si, že to cvíčení s tou logopetkou mi dozdalo. Já nevím, když mluvím, to tiž nemám nějakou sebekontrolu. A nevím, jestli mluvím moc hlasitě nebo návpak, jestli mluvím potiču. Když mluvím normálně, tak přilozeně, tak mám poci, že je to hrozně potiču. A když se snažím vyslovovat, tak jak mám, tak jsem mě zdá, že moc křičím. No, jinak dneska jsme tady na ten výsku měli dobrná. Hledali jsme vlastně Centex, předsto, že jsem tady už jednou byla. Ale zmátlo mě to Masarikova univerzita. Já jsem vůbec nevěděl, že Centex je pod Masarikovou univerzita. Jinak moje psychološka je velice milá dáma, je krásně opalená. A myslím si, že ji dělá trošku zle, jak prostě ty testy měnou pomalu. Hrozně ráda by mě napověděla, ale dodržuje své povinnosti a nenapovída.</t>
  </si>
  <si>
    <t>Lang-LBD_long_P27-1</t>
  </si>
  <si>
    <t>0.7682926829268293</t>
  </si>
  <si>
    <t>0.8253968253968254</t>
  </si>
  <si>
    <t>0.9135818679242023</t>
  </si>
  <si>
    <t>10.933333333333334</t>
  </si>
  <si>
    <t xml:space="preserve"> Když můžu, tak dělám, propagaci sportu. Já když si mohl sportovat všechny možný sporty, s věkem přestávám stačit. Zůstávně poslední podstívý sport kuželky. Kuželky se dají hrát do věku 100 roku. Je to skutečně podstívý sport, kde každý musí odvec svůj výkon. Poď hrát kuželky. Tady to hlásají plagáty na kuželnách i jinde, ale propagace tohoto sportu je přiliš malá. V rosících u Brna se hrají nejlepší kuželky v republice. Ženský kuželky vyhráli mnoho krát po sobě první rygu Mýstřiní Republiki. V rám při Evropi se umistují na druhých a třetích místech. Kuželky mají tu vyhodu oproti basketu a jiným kolektivním sportům, že každý hrá sám za sebe. Kdy schodil hrávat basket, tak zkmilostívě musel čekat, jestli mě někdo přihrá nebo nepřihrá, u kužele to tak není. Hraj je za sebe i za tým čtyř stleny družstva. Vysledek všechny všech čtyř hráčů se hodnotí a na každém hodu záleží. Zásou těží se nebo za ten zápas se nahraje zhruba tisíc, bude tisíc ražených kolků.</t>
  </si>
  <si>
    <t>Lang-LBD_long_P5-1</t>
  </si>
  <si>
    <t>0.8080808080808081</t>
  </si>
  <si>
    <t>0.29292929292929293</t>
  </si>
  <si>
    <t>0.8843481120139536</t>
  </si>
  <si>
    <t>12.375</t>
  </si>
  <si>
    <t xml:space="preserve"> Byly jsme s kamarárem Honzaub oblednou státní část revíru, kam chodíme lovidit. Výjeli jsme přes bránu, která je zavřená normálně. Máme vodní vypůjčení od polesdého otíratší zařízení, to není kríč, ale je to taková páčka. Vyjeli jsme na hrběnové části pro přesilnici, aby jsme obhledli, jaká zděše tam pohybuje. Vysoké trávy všli, že jsou tam vyšlape nepěšinky. Ochli v blíším ohledání jsme zjistili, že tam chodí muholo ní zvěř. Byly tam několik skupin, vyšlapaných zvěří, zysoké trávy. Tak jsme přemýšli, aby bylo nejšikovější osavit nějaké pozorovací myslivecké zařízení, abychom vzistili, co tam chodí, jestli je tam nějaký dobrý muflón.</t>
  </si>
  <si>
    <t>Lang-LBD_long_P6-1</t>
  </si>
  <si>
    <t>0.8620689655172413</t>
  </si>
  <si>
    <t>0.22988505747126436</t>
  </si>
  <si>
    <t>0.8933333333333333</t>
  </si>
  <si>
    <t>0.9188113637354544</t>
  </si>
  <si>
    <t>0.034482758620689655</t>
  </si>
  <si>
    <t>0.5977011494252874</t>
  </si>
  <si>
    <t>14.5</t>
  </si>
  <si>
    <t xml:space="preserve"> Podle ponikolika pokusech jsem si přivezl znovu kuřátka do své farmíčky. A manželka mě stále vyčítá, že si nedám pokoji s pěstováním a schováním druhéře, ale stávím opakováním dosáhnu k cíle až lepšu se. Kuřátka se zabidlel i v kurníku a nakonec z toho měla celá rodina radoz. Každé ránojí připravují jejich snídani a doufám, že nám vydrží co nejdil a nezešer je kuna. To nemá jediná radoz, kterou provozuji velkou zahradu, kde se snažíme pěstovat do máci zeleninu. Skup máme skleník, který nám docela začíná prosperovat.</t>
  </si>
  <si>
    <t>Lang-LBD_long_P8-1</t>
  </si>
  <si>
    <t>0.6832298136645962</t>
  </si>
  <si>
    <t>0.858696023373311</t>
  </si>
  <si>
    <t>0.59375</t>
  </si>
  <si>
    <t>10.733333333333333</t>
  </si>
  <si>
    <t xml:space="preserve"> V Límbě jedině je Babřinec, teda se nachází na kde se blansko blízko sloupu, použitního místa, zase jsené Marije, slaté Marije, bolestné. Do škole jsem chodil, v oběstní škole byl Babřince, do 5.30. No a další ročníky jsme absolvovali, chodí v sloupě do škole, vliváte. Přesně jsem se dostal doučení do Arlamová, když jsem se většího straní zámečníkem. Práce to byl můj koníček, bavilo mě to. Poznal jsem absolvoval vlensou obslužbu, byl jsem na letišti, tomuž taky pro zraděj, že dnes to bylo letiště možnost, kde jsme byli nastalo vyštěv, sledujeme zdušné cíle. Když pílo tělí tady, tak jsme je kontrole a vodili, včitali jak se říká. Měl jsem tam dobědí kamarády, na které jdác vomínám. Potom jsem se vrátil do závodu, kde jsem dělal. A zazdo byl kolektívů. Já vždycky ty kam mám velice povníky doby kolektívů. Když tam byli výjímky, nejde byl takové extrémní, to se zapomíná. To jsme vždycky tak trošku vyškolili. No a potom ty koníčky.</t>
  </si>
  <si>
    <t>Lang-LBD_long_P9-1</t>
  </si>
  <si>
    <t>0.7282608695652174</t>
  </si>
  <si>
    <t>0.41847826086956524</t>
  </si>
  <si>
    <t>0.7985074626865671</t>
  </si>
  <si>
    <t>0.9002931373901226</t>
  </si>
  <si>
    <t>0.6141304347826086</t>
  </si>
  <si>
    <t>18.4</t>
  </si>
  <si>
    <t>1.2</t>
  </si>
  <si>
    <t xml:space="preserve"> Ménu jsem jít dývaně, je mi 75 let, celý život jsem sportoval a takhle jsem na konc dopadl. Mě těším, je to hročí, bych byl aktivně jako dřív. V nádí jsem hral házen lokošikovou, ty paně lehko, ale tady ty stovní tenis, všechno jsem dál na slušně urovní. Mám srdem život, tady mám 7 vloučat, v nějakou pětež 16 let. Tety vloučat v ní přílaší velkou hrodovst, tedy příme to děj, který pokračuje mi stopě. Třetí letých lapech, který je čel hrát hrázenou, dosí dves čisletch financijeho já a jel hrát se není dívat. Tento vnuk ve věku osmělet už by dělal, když jste dělal, když jste dělal s hryby na poměr do vzadí dítě, vyzicí, fantasyckí, dysponovaní. To už je poměnit zápuhrnované. Tak se ještě vymyslím, v jednej starších vlouči mají rady jít na vloučí vára dát vlouvu, hraj na několik nástavu, s toho nauslení, lehce virtuozní, druhá vloučia, vysišel zjedy, s taktoště dívat, když jim vzadím v absolutu ostatní cíle v rovní cíle dvě, tak už je také vloučit, v ty prvě na proživot. Čvětí ještě vloučí, ty jsou drhů v odlišné.</t>
  </si>
  <si>
    <t>Lang-LBD_pilot_HC-10</t>
  </si>
  <si>
    <t>0.35333333333333333</t>
  </si>
  <si>
    <t>0.8508771929824561</t>
  </si>
  <si>
    <t>0.8914811554088777</t>
  </si>
  <si>
    <t>0.6333333333333333</t>
  </si>
  <si>
    <t>0.9090909090909091</t>
  </si>
  <si>
    <t xml:space="preserve"> V bysterci máme ližarský oddíl, semihotrenérem. V létě pořádáváme pravidelně soustředění, kde děti zyskávají kondici. Součástí soustředění je 3 dení výlet na kolech, kdy jezdíme v okolí základný. Základná v letoštím roce bude v Ivánčicích. V bývalím domně pionirám Ládež, dnes se to myslím jenuje centrum volného času. Tam nám celkem vychází v stříc. Stama budeme jezdit pravěpolovně na koupaliště to zbíšová, a po to měšte na jiné cíle takhle by dětí měli nějaký zajímavý program. Kondici děti měříme na začátku výkonostními testí na konci také. Po dne naši zkušenosti každý soustřední svojí kondici vylepší a je tedy lepe připravena zimní sezonu na ostre ližováni. Letoštní soustřední je pro mě osobně zajímavé tím, že tam budeme v podstatě osm vlastní děti nebo vnuku. Z čehož vlastně dva sou skuteční vnucí mojí, dva sou vyženění, dva sou vyženění ve smyslu, že jsou partnera cerýme manžalky a dva sou kamarádi mých vnuku.</t>
  </si>
  <si>
    <t>Lang-LBD_pilot_HC1</t>
  </si>
  <si>
    <t>0.6602564102564102</t>
  </si>
  <si>
    <t>0.7572815533980582</t>
  </si>
  <si>
    <t>0.8516751600408339</t>
  </si>
  <si>
    <t>0.03205128205128205</t>
  </si>
  <si>
    <t>0.5379746835443038</t>
  </si>
  <si>
    <t>31.2</t>
  </si>
  <si>
    <t>0.6670571730533917</t>
  </si>
  <si>
    <t xml:space="preserve"> Tak, je mi 63 let, těším se na opravdový důchod, zatím jsem pracující důchodce, práce mě ale baví, mám pořád co dělat, těším se, že si budu užívat taky víc vnoučatá, protože rychle rostou a čas nám utíka, těším se, jak budu mít čas na to přečí si kníhy, který jsem zatím nestihle. Upraníme si lepe s dědečkem zahradou, budeme cestovat seznámími na bílety po Čechách, protože máme do známých, který maj stajný zájmy jako my, takže si budem užívat gastrotouristiku a hlavně budu doufat, že budu zdravá do dalších let, aby mi pořád zbylo dosíli na to, co všechno chceště stihnou, co jsem zatím nestihla. Teď se těším hlavně na hezký leto, konečně, aby bylo teplo, někam jsme si s dědečkem věli a měli víc času na sebe a taky na rodinu. A doufám, že vyřeším brzy do konce roku věci v práci, který jsem si naplánovala, že chci vyřešit. I nak se spokojí na...</t>
  </si>
  <si>
    <t>Lang-LBD_pilot_HC11</t>
  </si>
  <si>
    <t>0.45588235294117646</t>
  </si>
  <si>
    <t>0.7708333333333334</t>
  </si>
  <si>
    <t>0.8619758429997697</t>
  </si>
  <si>
    <t>0.5514705882352942</t>
  </si>
  <si>
    <t>0.6485136876920208</t>
  </si>
  <si>
    <t xml:space="preserve"> Nemusím do práce, chystáme se v sobotu a v nedělí někam navílet, možná nám trošku zaprší, ale to vůbec nevadí. Uvidíme, kam se dostaneme, kdy pojedeme na kolách a nebo jenom se pojde, nekam vykoupat. Přiští týden budeme sklízeť nějaké ovoce zeleninu, to, co se všechno nasázalo v veskleníku. A když tak bude se něco zavařovat nějaké ovoce nebo něco takového, jinak jsou prázdniny, takže se nemusí nic dělat, děti jsou na táborech. Akorát v příště týden máme nějaké narozeniny a svátky, tak to oslavíme, jinak se nebude dělat nic, obode se odpočívat a relaxovat po celotídení práci. Ještě, ja můžu... Dovolenou už máme za sebou, byla pěkná, počasí taky vyšlo, takže to bylo celkem všechno fajn. A snad teďka opustí násty velký vedra, v serpnou už bude trošičku počasí ustálenější, takže už budeme mít klid.</t>
  </si>
  <si>
    <t>Lang-LBD_pilot_HC12</t>
  </si>
  <si>
    <t>0.783625730994152</t>
  </si>
  <si>
    <t>0.8507462686567164</t>
  </si>
  <si>
    <t>0.9222476857898311</t>
  </si>
  <si>
    <t>0.023391812865497075</t>
  </si>
  <si>
    <t>0.011695906432748537</t>
  </si>
  <si>
    <t>0.5697674418604651</t>
  </si>
  <si>
    <t>17.1</t>
  </si>
  <si>
    <t xml:space="preserve"> Nominulý víkencem byl z cestovníkán celéři jako vedevci na cyklistickém zájezdu okolo Bodamského jezera. Takže jsme stihlíval celé obět za calej 3 dní. Takže bydeli jsme v Iberlingen a obýžděli ho protisměru hodinových ručiček přes Konstans, přes Bregens až zpátky zase do Iberlingen. Počasí nám vyšlo podle předpovědí mělo byt hrozné, škaredé, nepříjemné a město toho propršal jenom jeden den, jinak se nás usnívalo sluníčko. Takže nám to vyšlo celkem spokojeně. Ani klienti mě netloukli, takže to asi bylo době. Ještě dnes tačí ten čas, takže k v dně ještě můžu začit vykládat o tom, kolik se pokázila kolce z toho, což v javlice příjemné, že češnil i činnost. Za pravou někdo dokázal si sednout na kolo tak dokonale, že pokřivil od bletníku všechny táhla a to kolo bylo nepojzný, tak holc musel bletník vodělat. A pak o tak nějak přimašli na kolo, aby nezavazela, dal se s ním jít. Sám zříjně standardní závada pichnutí kola, takže výměná duše ještě, že klientka měla náhradní duší a bylo to zvládnutý raz dva.</t>
  </si>
  <si>
    <t>Lang-LBD_pilot_HC13</t>
  </si>
  <si>
    <t>0.7521367521367521</t>
  </si>
  <si>
    <t>0.3504273504273504</t>
  </si>
  <si>
    <t>0.8636363636363636</t>
  </si>
  <si>
    <t>0.8549665468154278</t>
  </si>
  <si>
    <t>0.5811965811965812</t>
  </si>
  <si>
    <t>9.75</t>
  </si>
  <si>
    <t xml:space="preserve"> To jsem byl na dovolené v Alpách tyden v Kempu pod Stanem. Okoří Innsbrucku, pohoří Carvendl, Rofan. Pravděpodobně pojedu do Gruzije. Někdy napozím, ale závží na tom, kdy kamarád bude mít čas, protože v Gruziji máme přátelé. A napozím v istopadu pojedu s cerou a její rodinou na Tenerife. To jsou kanálské ostrovy a možná se dostanu i na pico del tejde nejvyšší vecho španíhozka. A běžně trávim čas na halupě. Vás poprosím chvíčku? Na stejné téma. Rád jsem chodil na to listiku. V Dolomitech tam jsem přespal v bunkerech z první sjetové války. Znam poměrně dobrze turecko, byl jsem tam mnohokrát a spon 30 krát. Je to vzlužibně většinou turystické s cerou 4 tydy v stope.</t>
  </si>
  <si>
    <t>Lang-LBD_pilot_HC14</t>
  </si>
  <si>
    <t>0.6448979591836734</t>
  </si>
  <si>
    <t>0.5020408163265306</t>
  </si>
  <si>
    <t>0.7721518987341772</t>
  </si>
  <si>
    <t>0.8650137552233836</t>
  </si>
  <si>
    <t>0.053061224489795916</t>
  </si>
  <si>
    <t>0.491869918699187</t>
  </si>
  <si>
    <t>13.61111111111111</t>
  </si>
  <si>
    <t xml:space="preserve"> Abych ráda promluvila s vým posledním kulturním zážitku. V ponděli jsem byla ze zájezdem, u nás jediny se porádejí takový duchochcovský zájezd. Byl to zájezd do divadla k marštíkům, kde dávali představení 9 křížů. A protože já poměrně kupuju knížky a čtu tak jsem četla tu knížku, která teď vyšla na to témat. Tak mi zajímalo to porovnání s tím divadlem. To divadlo byl muzikál, což mě teda překvapilo. Tady toto téma zpracované jako muzikál, ale měli to teda udělany úplně nádehrně. Byl to teda dlouhé a fakt nevšetní zážitek. Moce mě to líbilo ohromný vyhledský výkoní. Nesnažili se tam prosadit nějakou modernu, jak je teď v poslední době v divadlech s výkem, že se prostě na starý témat a pasujou moderny, což se mě ne líbí. Bylo to zpracované tak jako ve starým duchu a bylo to teda úplně kouzelný. To byl teda za poslední dobu ohromné kulturní zážitek. No a jinak ještě bych mohla povídat o tom, že v Čermlu jsem byla z mou pětěleto vnůčko na dovolené v Itálí, která se nám teda moc vydařila. Bylo to v Kempu u morze a současně jsou tam takové a reali vilořeně postavit. Vilořeně postaveny pro děti jsou tam udělané bazény a všely jaký atrakce z kluzavky a tak. A moc jsme si to teda užíli byli jsme sami dvě. V mobilhau jsme měli sami pro sebe, takže to bylo naprosto ideální dovolená. Odpočínuli jsme si od celé rodiny a bylo to úplně na jedničku.</t>
  </si>
  <si>
    <t>Lang-LBD_pilot_HC15</t>
  </si>
  <si>
    <t>0.6915422885572139</t>
  </si>
  <si>
    <t>0.4626865671641791</t>
  </si>
  <si>
    <t>0.8909683955342355</t>
  </si>
  <si>
    <t>0.009950248756218905</t>
  </si>
  <si>
    <t>0.03482587064676617</t>
  </si>
  <si>
    <t>14.357142857142858</t>
  </si>
  <si>
    <t>2.142857142857143</t>
  </si>
  <si>
    <t xml:space="preserve"> Dnes v noci jsem přijela ze sálzburku, byla jsem dvá dny v sálzburku. Prvocovala jsem tam skupinu 50 lidí, protože mám pracovní povolení pro Rakousko. A tuto činnost tam pro ně vykonávám. Den byl velice pěkný, ještě měli předtím dokonce výjest na odli hnízdo a měli krásný počasí. Takže to bylo úplně super. Byli natření a zpětná vazba funguje, že tady člověk je spokojený, když ty lidi okolo jsou taky spokojení. A jinakterá jako jsem dneska si cyspala málo, ale já si myslím, že to budu stačit na to, abych tady zvládla tyto úkoly. Když nejedá, tak tady konsultant váž mě určitě zabrzdí a řekl jen, která dost, takhle je to špatně, ale uvidíme, jak to dopadne. A pak mám dneska ještě spoustu věcí na vyřízení. Takže hnedka, jak tady jsem podařilo zaparkovat teda, to bylo docela náročný, ale až tady teda dole. A myslím si, že ještě jsem dopadla dobře, protože jinakterat oparkování je tady docela obtížné. Až tady skončím, tak zase pojedu dál vyřizovací svoje osobní uřední záležitosti, které teda už mám takový seznam. Musím si dozáznám, když se všechno mám, nebo nemám, abych na něco nezapomněla, nevinechala. Vodpolé den budu vyzverávat vnoučet nejmenší, nejmlačí, které mám s školí.</t>
  </si>
  <si>
    <t>Lang-LBD_pilot_HC18</t>
  </si>
  <si>
    <t>0.7092198581560284</t>
  </si>
  <si>
    <t>0.4326241134751773</t>
  </si>
  <si>
    <t>0.8595189787093316</t>
  </si>
  <si>
    <t>0.0070921985815602835</t>
  </si>
  <si>
    <t>0.5985915492957746</t>
  </si>
  <si>
    <t>10.071428571428571</t>
  </si>
  <si>
    <t>0.6613355671779159</t>
  </si>
  <si>
    <t xml:space="preserve"> Pokud chcete na vštěj vynišný šumice, je to na jí východ od Brna. Nad východ těmo vynišným šumice je to hranice moravské okrasu a nebo začína tam drahanská vrchovina. Vědle jsou pozříce, směrem na hostěníce ochos a jílete směrem na macochu. Podálnic se tam jezdí. Pětně poslední dobou, protože se o Brna většně kolony. Je to z důvodu rekonstrukce. Dálnic se tady u Brna. Každej den, pokud já jezdím do práce modřit, takže pokud chci je domů odpoledné, tak každej den si losuju obišku, kterou se vidám domů, abych a spojně se dostel do večera dom. Počasí je přiměřený, s nich se rozpoští, takže silnice budou sízne. Záště budu můžu poprsat blízko vynišné šumice. Poslední obec okres Subrnovenkov. Dál začíná výškovské okres, vedle je blízko je Slavkov. Město proslavene na poleonem, nechvalnou bytvou. Dál na východ je potom Výškov, tož je...</t>
  </si>
  <si>
    <t>Lang-LBD_pilot_HC19</t>
  </si>
  <si>
    <t>0.7479674796747967</t>
  </si>
  <si>
    <t>0.42276422764227645</t>
  </si>
  <si>
    <t>0.8887595605066139</t>
  </si>
  <si>
    <t>0.6829268292682927</t>
  </si>
  <si>
    <t>9.461538461538462</t>
  </si>
  <si>
    <t>0.6923076923076923</t>
  </si>
  <si>
    <t xml:space="preserve"> Brněnská hromana doprava je velice dobře organizovaná. Do kampusu byla v Linnském holce postavená nová tramváva línhka. Připravuje se nová tramvává línhka, která povede vbytstvrci na Kamechy. Brně obdivují všichni náštěvníci i cizinci rozjezdy noční autobusové dopravy. Která obslouží každou část města. Jezdí v intervalu nejdříve v půl hodiny a potom hodinovi intervalu. Je to služba, která je perfektní, protože umožní náštěvů restaurací pozný. Nebo náštěvů dívadelních představení. Až kdy mám záruku, že se dostanu poměrně dobře a rýchle do svého bydliště. Hnistá hrmána doprava má na víci v Brně obsluhu lodní dopravy na Brněnské přegradě. Tam je hrajímavozě ty lodé jsou na elektrický bateriový pohon. Jezdí v sezône, ale zkutečně ty počty cestující jsou tam poměrně výrazné. Umožní náštěvů v zámku vyveří.</t>
  </si>
  <si>
    <t>Lang-LBD_pilot_HC2</t>
  </si>
  <si>
    <t>0.6052631578947368</t>
  </si>
  <si>
    <t>0.7934782608695652</t>
  </si>
  <si>
    <t>0.7675919668312557</t>
  </si>
  <si>
    <t>0.006578947368421052</t>
  </si>
  <si>
    <t>12.666666666666666</t>
  </si>
  <si>
    <t>1.9166666666666667</t>
  </si>
  <si>
    <t xml:space="preserve"> Jeli z ribou chce do Brna, tak jsme výjížděli asi po sedmí hodině. Víeli jsme na D8 a pokračovali jsme před Lovosice, Roudníci, Prahu. Až na D1, kdy jsme přijeli do Brna, tak jsme se tam ubitovali v hotelu a pak jsme jeli do Zlíná. Ve Zlíně jsme se taky ubitovali v hotelu a pak jsme pracovali, když jsme tam všechno vyřídili, tak jsme se šli najíst a jeli jsme do Pořitova. V Pořitově jsme měli Oslavu, Mělinky a Pejti. Pejti bylo 5 a nelince byli 3. Vždyli jsme Dord a všichni jsme si tukli na zdravý, koliké štětteřin. Potom jsme hráli hry Pejti a někdy začínáš Vindlava. Pejti asi to postaví a pamatuje si barvy, který tam nastrká a pak mělechce porazí. Minule mě porazil 13. Koliké štětteřin. Leto jsme byli ližovat, kouple jsem si nový liže a boty a jeli jsme do Itálie a tam byla nárdna sjezdovka Modrý Nebe.</t>
  </si>
  <si>
    <t>Lang-LBD_pilot_HC20</t>
  </si>
  <si>
    <t>0.6338797814207651</t>
  </si>
  <si>
    <t>0.5300546448087432</t>
  </si>
  <si>
    <t>0.7413793103448276</t>
  </si>
  <si>
    <t>0.8495678994622314</t>
  </si>
  <si>
    <t>0.03825136612021858</t>
  </si>
  <si>
    <t>11.4375</t>
  </si>
  <si>
    <t>1.9375</t>
  </si>
  <si>
    <t xml:space="preserve"> Tak žiju v malé ve vstničce Vrážné, která je vlastně mezi lesama. Je to u chorní Cievíčko a tam jsem se narodil. Vlastně teď, co mě naplnějí nejvíc vždycky čekám, když před ho vnůčat. Čekám, že přijedou, mám vždycky rado stají babička. A težíme se a chodíme vždycky. Když přijedou, chodíme do přírody, do lesa a všechno, pak klukov vykládám, jak je to bude bilo. Nebo co jsem tam nezážitky já, když jsem byl já mladý a snažíme se s ním prožívat to, co vlastně u nás je kluky. Ať nera tak jezdím na motorce, směřuju k motorce nebo nesměřuju. Já s toho spíšat, nemám rado stale. Oni spíš sami tím, k tomu je motorkám. A když přijedou, k nám se těší na motorky. A když to dnešuje, počasí, tak vezmeme motorku, jdem se projet. A oni z toho mají radoci, já mám radoci, když jak znovu podletikám se bojím. Máme velký obsak, kde se minuje Ron, ten má 68 let, je strašný mazel. Klucy ho mají rádi a taky vlastně, když mají přijed, už čeká podvratama. A přijedou projevuje strašnou rado skrátka.</t>
  </si>
  <si>
    <t>Lang-LBD_pilot_HC21</t>
  </si>
  <si>
    <t>0.7612903225806451</t>
  </si>
  <si>
    <t>0.36774193548387096</t>
  </si>
  <si>
    <t>0.8305084745762712</t>
  </si>
  <si>
    <t>0.9078988076468832</t>
  </si>
  <si>
    <t>0.5612903225806452</t>
  </si>
  <si>
    <t xml:space="preserve"> Dnes je to možné, že na moji rodiče byli velmi zdatní cestovatele. Takže od Maríčka jsem s nimi trávil, který volný čas a různý je dovolené. Na cestách, za mých Maríča jsou bohužel, nebyla možná cestování do Zemí západních. Takže jsme cestovali tady po východním bloku, po Rumunsku, Německu, Pálsku a tak dále tady těchto zemí radí zájemného zpravlské pomoci. Až teprve po revolucí vrací 1289 jsem se dostal k tomu, že nebo bylo umoženěno občanou české republiky cestovat i do jiných státnů, takže jsem toho vyvůžil. Myslím si, že měrou vrchovatou, o zlatu dobu to roko 1889, jsem naště vyruš, asi 70 zemi, ze všech neradějí teda cestů do Zemí, Azí, jedna která kůli pikrému počasí, kůli teplu a hlavně potom kůli jídlu, které znamáří, že tady zká kuchyně, větná zká kuchyně, čí zká kuchyně a tak dále. V těsně po revolucí jsem si udělal potapický kurs a vlastně od toho roku 1990 potápím.</t>
  </si>
  <si>
    <t>Lang-LBD_pilot_HC22</t>
  </si>
  <si>
    <t>0.6367713004484304</t>
  </si>
  <si>
    <t>0.4977578475336323</t>
  </si>
  <si>
    <t>0.7887323943661971</t>
  </si>
  <si>
    <t>0.848724359096733</t>
  </si>
  <si>
    <t>0.004484304932735426</t>
  </si>
  <si>
    <t>0.026905829596412557</t>
  </si>
  <si>
    <t>0.515695067264574</t>
  </si>
  <si>
    <t>20.272727272727273</t>
  </si>
  <si>
    <t>3.090909090909091</t>
  </si>
  <si>
    <t xml:space="preserve"> Nesráno jsem stával v šest hodin, pak jsem se nasní dál, oblákl jsem se a jel jsem do práce. V práci učím v autoškole, takže jsem měl dva žáky. Oba dva žáci dneska byli mladé dámy a jezdil jsem s nimi mezi 8 a 11 hodinou. Pak jsem se převlékl a vypravil jsem se do brna, kde byl poměrně velký problém zaparkovat ve výzkumně, nebo u výzkumněho ústavu CITEC. Ve výzkumněho ústavu byli nam jahodní, úsmívali se a právě jim tady mluvím do mikrofónu. Tak ještě, když budu něco pokračovat, tak bych jen doplnil, že zase musím odje domu a nejsem si úplně jistý, takže si auto najdu na svém místě, kde jsem ho postavil, protože jsem asi neparku na místě, které určeno pro parkování. Já si pevně věřím a doufám, že bude všechno v pořádku. Tak jestli ještě můžu pokračovat, tak až přijedu domům, tak si dam asi kávu a v pohodě si odpočinu po celodení těžké a namáhavé práci. Ještě něco mám pokračovat, kde by mnidu tápul je tak dlouha a dobře, tak ještě vám něco popovídáme. Asi se večer mlu něco na něco v televizi a zítra zase asi půjdu nějakou dobu pracovat. Takže o víkendu jsem celkem nic nedělá, protože bylo pěkný počasí, tak jsem akorát na záhradě omrknul, jestli tam je něco nového, bylo to všechno v pořádku.</t>
  </si>
  <si>
    <t>Lang-LBD_pilot_HC23</t>
  </si>
  <si>
    <t>0.7154471544715447</t>
  </si>
  <si>
    <t>0.43902439024390244</t>
  </si>
  <si>
    <t>0.7840909090909091</t>
  </si>
  <si>
    <t>0.8545041887766419</t>
  </si>
  <si>
    <t>17.571428571428573</t>
  </si>
  <si>
    <t>2.2857142857142856</t>
  </si>
  <si>
    <t xml:space="preserve"> Nes je pošmourno a proto nebudu na vycházku, původně jsem měl vůmyslujit na celý den na vycházku, ale program změním. Každopádně odpojedne bych chtěl jít do čítárny knihovny Mahena a večer na koncert Vyamu, který bude uvádět zpěv. Včera jsem byl taky na koncert Vyamu a byl to velmi krásný koncert. Doufám, že a spodně jeden den o víkendu bude takové počasí, že se přinutím jít ven na celý den. Už jsem dlouho nebyl lénku v přírode, tak si o toho dost slibuje, protože potřebuje jednak na čerstý vzduch do přírody, do lesa, k potobku nebo křetce. A jednak potřebuju pohyb, který mi v poslední době trošku chybí. A příště týde mě čekají práce na zahradě, pokud bude počasí a spojí trošku moudre.</t>
  </si>
  <si>
    <t>Lang-LBD_pilot_HC24</t>
  </si>
  <si>
    <t>0.7135678391959799</t>
  </si>
  <si>
    <t>0.41708542713567837</t>
  </si>
  <si>
    <t>0.8169014084507042</t>
  </si>
  <si>
    <t>0.8941596335061524</t>
  </si>
  <si>
    <t>0.02512562814070352</t>
  </si>
  <si>
    <t>0.5678391959798995</t>
  </si>
  <si>
    <t>16.583333333333332</t>
  </si>
  <si>
    <t xml:space="preserve"> Pada filmy a tak každý rok jezdím do Karlových Vár na filmový festival. Tam se stále tak nějak podle mě zhoršuju podmínky toho dostace na filmy, který člověk si vybere. A pár filmů nebuhužel v Karlových Varech Loni v roce 23 uniklo, ale k mě velké radości se objevou teďka a zrovna, kromě český holváště Oskara, jsou to i filmistá Karlových Vár a teď je hrozně moc. Takže my vlastně s manžalem máme takovou nonstopšníru momentálně, kdy chodíme pomalu obden na nějaký film. A včera, a to jsem tady zrovno asistentově říkala, mě pobavila jeden film, který jsem si myslá, že v mě nebude bavit, protože fantazin nemám ráda. Menovalo se to chudačci. Hlavní představitelka hrdinky dostala za to Oskara, menej se počkejte Emma Stone. Emma Stone nesměne znala, zahlí dla jsem nev nějakým filmu a byla naprosto bájčna. Další tři Oskari ten film dostal, byl blázň vej, byl fantazíní a přestopně prostě dostal, takže jsem se normálně v kýni musela smát na plípecky, byl hodně odvážné. A zároveň měli hlubou myšlinku do nějterá člověka, jak se výví je, co já není možný. Takže jako nebyl prázdny, tak jako hrozně doporuču. Tak to je jeden film, to bylo včera.</t>
  </si>
  <si>
    <t>Lang-LBD_pilot_HC28</t>
  </si>
  <si>
    <t>0.6820809248554913</t>
  </si>
  <si>
    <t>0.4624277456647399</t>
  </si>
  <si>
    <t>0.8664681646187857</t>
  </si>
  <si>
    <t>0.03468208092485549</t>
  </si>
  <si>
    <t>0.017341040462427744</t>
  </si>
  <si>
    <t>0.5317919075144508</t>
  </si>
  <si>
    <t>34.6</t>
  </si>
  <si>
    <t xml:space="preserve"> Tak já chodím do kulturní akademie a včera jsme měli arte terapii, kam jsem se přihlásila, protože mě to docela zajímá, protože vždycky jsem pracovala s nějakým vytvarným uměním a baví mě to. Včera na té arte terapii jsme mimo jiné taky měli spracovat nějakou svoju spomínku na děctví. Takže já jsem malovala, jako dětí seánikovali, protože jsem bydla v řebovřeskách na vrcholu kopce a vždycky bylo dost sněhu, takže jsme mohli od domu jeť až dolu skoro tam, kde dnes jezdí tramvaj, protože nikde nebyl žádný provost, tak jsme mohli jezdit i posilnicy a sněhu bylo dost. Tak to jsem nemalovala a pak ještě na tom obrázku bylo část našeho domu a vchod do dnešních kounicových kolejí, který byval vždycky ta brána byla zamčená a nás jako děti to hrozně mrzelo, že jsme nemohli do toho parku si chodit hrát. Na tom obrázku jsem teda použila jen malo barev, protože si sem mám ráda dvoření a vytvárku, ale malba zrovna není to, co by mě bavilo nejvíc, takže jsem to trošku zjednodušila.</t>
  </si>
  <si>
    <t>Lang-LBD_pilot_HC29</t>
  </si>
  <si>
    <t>0.8538661266153285</t>
  </si>
  <si>
    <t>0.021505376344086023</t>
  </si>
  <si>
    <t>1.8333333333333333</t>
  </si>
  <si>
    <t xml:space="preserve"> Nesem přijel na cítek na prvních pohovor. A trošku mě překvapilo, že už jsem testoval. Myslel jsem si, že to bude jenom základní pohovor, ale nicme jesem snad sem uspěl. Teď budu do bohuníc asi jezdit častějc, protože v nedělí se tady koná turnaj v dis golfu, na který se chcou podívat a vyzvednouci tam disky, které jsem koupil. Je to činnost, které se naše rodina poslední dobou začla hodně věnovat. Strašně nás to baví. Zniká po republice spoustu zajímavé dis golfového hřišť. Chodíme a hrajeme se utěžíme z přáteli. Je to zajímavá hra. Potom se tady chystám kousíček podcete do těch lesů podívat se, jak je to s hni s děním těch havranů, protože má se tady stavět lanovka do bohuníc, ale ornitologové protitomu protestují s odůvodněním, že tady v těch lesích nocují přez zimu havraní a že by je to rušilo. Tak by mě to samotného zajímalo, jak to s tím je a dokonce tady od nétologická společnost stali v neděli pořádá den otevřených dveří, kde provede a ukáže nám to hni s děním těch havranů. Tak se na to chcete taky přijít podívat.</t>
  </si>
  <si>
    <t>Lang-LBD_pilot_HC3</t>
  </si>
  <si>
    <t>0.6185567010309279</t>
  </si>
  <si>
    <t>0.5360824742268041</t>
  </si>
  <si>
    <t>0.7648581760383721</t>
  </si>
  <si>
    <t>0.6907216494845361</t>
  </si>
  <si>
    <t>19.4</t>
  </si>
  <si>
    <t xml:space="preserve"> V Rydan katastrofná území i městské části Brno bohonice bym uplinul ich let vyrostl ohromný kompleks jednak pro obchodní aktivity a především pro výzpuné a vďalávací aktivity. Výzpuné ústavy, kde je například Masaryková univerzita, někter odborné ústavy, vyskům neustavy, trvá cijtek a samozřejmě ty obchodní kompleksy, kde jsou zajímavé obchody od běžného tiska pro běžné nákupy občanou až po některé luksusní značky pro obuv, textil a podobně. Výzpuné ústavy, kde je například Masaryková univerzita, některé luksusní značky pro obchodní aktivit. Výzpuné ústavy, kde je například Masaryková univerzita, některé luksusní značky pro obchodní aktivit. A nebo u domů.</t>
  </si>
  <si>
    <t>Lang-LBD_pilot_HC30</t>
  </si>
  <si>
    <t>0.6486486486486487</t>
  </si>
  <si>
    <t>0.5135135135135135</t>
  </si>
  <si>
    <t>0.8289982940664496</t>
  </si>
  <si>
    <t>0.6266666666666667</t>
  </si>
  <si>
    <t>9.866666666666667</t>
  </si>
  <si>
    <t xml:space="preserve"> Ménuji se Alena, mám dvě cery a dvě vnučky. Vnučky se ménuji Laura a Sofia. Ráda s nimi trávím svůj čas. V létě jezdíme nadovolené. Moct rádi se koupeme, plaveme, opalujeme a hrajeme různé hry. V zimě jezdíme na líže a na hory. Vždycky si to moc užíváme. V zimě ližujeme, berem saňky, chodíme na dlouhé procházky. V létě plaveme v moři, v bazenu máme na fukovací lehátka, hážeme si z míčem a děláme různé hry. Jezdíme také na výlety, vždycky si pronajíme auto a jezdíme po okoli na různé památky, na různé výlety. Aby to malé holky bavilo, mají většinou sebou koloběžky. Když jdeme nějakou další cestu, tak aby je to bavilo, tak dělají blbosti na koloběžkách. Tak už se těšíme na letošní práziny, že pojedeme zase doufajme někám k moři a že to bude moc pěkné. Tět se těšíme na velikonoce, budeme barvi dvajíčka. Dobrý? Jo.</t>
  </si>
  <si>
    <t>Lang-LBD_pilot_HC31</t>
  </si>
  <si>
    <t>0.6111111111111112</t>
  </si>
  <si>
    <t>0.5601851851851852</t>
  </si>
  <si>
    <t>0.7196969696969697</t>
  </si>
  <si>
    <t>0.856583264167279</t>
  </si>
  <si>
    <t>0.032407407407407406</t>
  </si>
  <si>
    <t>0.5092592592592593</t>
  </si>
  <si>
    <t>6.333333333333333</t>
  </si>
  <si>
    <t xml:space="preserve"> Takže mluvit o čemkolí je dost težké, protože hodně banální, takže každý asi mluví o sobě. Tak dobře, takže já jsem důchod kine už kolik. No, důchod beru už 12 let, ale vlastně do opravdy do důchodu jsem šlap, a ještě po dalších s 6 leté, a jsem učila, iště v jazykové škole, pak přišel covid, takže to všecko skončilo, všecko se smrsklo na doma a rodinu zahrátku, což mi ta ra úbec nevadí, ale v poslední době jsem tak nějak přemýšlela, co dělat, a to mělo nějaký smysl, protože cokolit, co jsem se kdy naučila, tak jsem mě už do toho nechce, protože se mi zdá, že to nemá žádný smysl. Ráda jsem pletla, ale proč když, že všecko takhle vné, že jo, takže vařím třeba, tak když to všem chutná, tak jsem spokojena, což ta ra není zastak často. Zahrátka mě baví na jazy, když všechno zasadím, pak to něco se žeré, takže to už je horsší. Takže teď jsem se dala na malování z vnučko, která jeví teda značné umělecké sklony, je skvěla, takže se jí v tam snažím podporovat, tak jsme spolu teď, nevěd, vlastně já jsem napřed absolvovala kurs malby, pak jsme spolu absolvovali kurs o lejového, a snažím se jí ještě dál v tom nějak tak podporovat, to mě těší.</t>
  </si>
  <si>
    <t>Lang-LBD_pilot_HC32</t>
  </si>
  <si>
    <t>0.6624203821656051</t>
  </si>
  <si>
    <t>0.5095541401273885</t>
  </si>
  <si>
    <t>0.7403846153846154</t>
  </si>
  <si>
    <t>0.8420979894974588</t>
  </si>
  <si>
    <t>0.01910828025477707</t>
  </si>
  <si>
    <t>0.025477707006369428</t>
  </si>
  <si>
    <t xml:space="preserve"> Mou velkou zábavou a zálibou je vytváření kabelek nebo různých předmětů, který se hodí používat a to technikou japonzký proplitaný patchwork je potřeba nadělat slátky takový proušky a ty potom různě proplítat do různých obrazců a pak z toho šiu kabelky nebo brouzky nebo ječeště. Většinou kabelky brouzky rozdávám to s mým kamarádkám, většinou se jim to líbí a používají to na mobil některý naléky nebo na takové důležité věci pro holky nebo i pro starý babičky. To je asi všechno záliby. Další bou zálibou je sudoku. To mě baví vyplňovat, když se u toho dost natrápím. A celkem zajímavé je, že když k tomu sudoku, který se mi nepodařilo vyluštit, sednu třeba druhý den, tak to je úplně samo. Což mě připadá to snepohopitelný, ale zistila jsem, že to tak mají všichni, že k tomu sednu druhý den a už to funguje a de to. Tak ráda už tím křižovky. Nejlíp takový ty švécký velký časopis.</t>
  </si>
  <si>
    <t>Lang-LBD_pilot_HC33</t>
  </si>
  <si>
    <t>0.6824644549763034</t>
  </si>
  <si>
    <t>0.4786729857819905</t>
  </si>
  <si>
    <t>0.7638888888888888</t>
  </si>
  <si>
    <t>0.8927386246071091</t>
  </si>
  <si>
    <t>0.018957345971563982</t>
  </si>
  <si>
    <t>0.061611374407582936</t>
  </si>
  <si>
    <t>0.5402843601895735</t>
  </si>
  <si>
    <t>17.583333333333332</t>
  </si>
  <si>
    <t xml:space="preserve"> Můžu aji přímeni meno Hráková Miloslava, 58. ročník. V pišběh řekla takový zážitech ze včereška. Měli jsme akademi 3. věku, byli jsme na hvězdárně, na planetáriu, v přednáškovým jísnosti a měli jsme si pokusit zvopakovat něco s fyziky, byli to pokusy s optickými přístrojí, s lomením světla, prostě takové ty základy, které už jsem nějak si z hlaví vymazali a znova se vlastně jakoby očistili, oprášili. Bylo to hodně zajímavý. Pan lektor byl šikovny, snažil se nám těm duchodům, co jsme tam byli 60 až v podstatě asi 80 let, tak byl takový vstřícný, když viděl, že moc nechápem, tak nám to polopaticky vysvětlil. Bylo to hodně, hodně očalový. V podstatě od historie, od Galileova, Keplerová, Nytnová, daleko hledu jejich složení jsme se dozvěděli až polomení světla v optickém kabelu, využití optických kabelu. Jak historie, tak v podstatě dnešní současnost i to, co nás čeká, v Či let se buduje veliký, bych řekla takový speciální daleko hled, který nám umožení hodně věci, ještě doládit, jako řekl pán. Ale pán Alhitor bylo to takový, že to budou v podstatě průměr paráboli je 39 m, složení budé ze speciálních zrcadé ale ve tváru 6 hranů, propojení světelnými kabeli a měli bych se dozvědět něco v podstatě. Tom, co je mimo náš hvězdný prostol.</t>
  </si>
  <si>
    <t>Lang-LBD_pilot_HC4</t>
  </si>
  <si>
    <t>0.6572769953051644</t>
  </si>
  <si>
    <t>0.8852777681372185</t>
  </si>
  <si>
    <t>0.004694835680751174</t>
  </si>
  <si>
    <t>0.4953271028037383</t>
  </si>
  <si>
    <t>35.5</t>
  </si>
  <si>
    <t xml:space="preserve"> Bych mohl mluvit o tom, co bylo o weekendu, nebo co plánuju na weekend, ale by užel teda i ve svém věku, nepřát jenom napadá jedna věc a to je práce. Zvědním se to, tíž vyroby novin a to zabere spoustu času takže ani jako byduch od se nemám čas si napříliš věnovat koničku. Koniček by byl, je to zvolit lokomotiv, nebych ceno modely lokomotivné, že bych je vyráběl, ale spíše se připravují, že z nich vytvořím kolejště modelové, ale zatím na něho nemám ani dostatek prostoru, takže si s tím nemůžu vyhrát, to znamená, že opět zůstavám jenom u té své práce, kte nám měte na zabere maksimou času, který tam ho můžu věnovat. A to je asi tak všechno, co bych mohl si dovolit k tomuto říci. Ještě možná, že kdybych našel chvílku času, tak bych si samozřejmě s autem vyhlěněkám do přírody, nebo respektive, úplně nejvíce za poznáním a realizámky a tak dále, samozřejmě i trošku další trasy třeba k moři, který opravdu stojí za to. Když jsem měl ještě chvílku času na víc, tak jsem si samozřejmě k tomu moři vyrázil, tam jsme si poučili jak tu plachetnici a cestovali jsme po ostruvci jazranského morze, což samozřejmě stalo za to a nas běrali jsme spoustu a spoustu různých poznatků.</t>
  </si>
  <si>
    <t>Lang-LBD_pilot_HC5</t>
  </si>
  <si>
    <t>0.5605095541401274</t>
  </si>
  <si>
    <t>0.8056928578072786</t>
  </si>
  <si>
    <t>0.03184713375796178</t>
  </si>
  <si>
    <t>0.554140127388535</t>
  </si>
  <si>
    <t xml:space="preserve"> Znitli jsme s kamarádkou v moři. Rozhodli jsme se, že poletíme do Bulharska a jel bezcestovní kanceláře, že poletíme soukromě. Koupili jsme si teď letenky, doletili jsme do Sofie a v Sofii jsme zistili, že musíme přestoupit na další letadlo, které letilo na pobřeží do Burgasu. Než jsme se zorientovali a všechno zistili, kam máme nastoupit, tak jsme zistili, že jsme běli letet každá i na jiným letadlem a letadlo, jedno letadlo, prostě nám už uletilo. Takže druhá nastoupila do letadla, odletela do Burgasu a já jsem musela čekat na další let. Kdy se nastoupila do letadla, všechno bylo v pořádku. Pristálí jsme, já jsem istoupila z letadla a čekala jsem, až mě přivnesou, přivezou, tašku, vydají tašku. Taška ne, nikde. Tak spořád jsem čekala, taška nebyla, tak jsem šlá do kancáře, a že zeptace, co se děje, že nemám tašku. Gledali tašku, zjistovali, nemám, až někoho napadlo, jsem mě zeptat, kam vlastně letím, řekám do Burgasu.</t>
  </si>
  <si>
    <t>Lang-LBD_pilot_HC6</t>
  </si>
  <si>
    <t>0.3263157894736842</t>
  </si>
  <si>
    <t>0.8929713574018896</t>
  </si>
  <si>
    <t>0.010526315789473684</t>
  </si>
  <si>
    <t xml:space="preserve"> V pondělí se konečně rozhodné dlouhodový problém, který řeším už odledná. Asi se vybrala jsem tvar velikost druh okén, okéních výplní pro novou zelenou usporám, vybrala jsem dodavatéle, byla jsem na mnoha místech, abych vyskoumala kvalitu. Na konece firmu vybrala, paní byla velmi ochotna, po mnoha konzultacích jsme došli ke smlouvě. Smlouva byla poslána a přišel velký problém, protože manželostim nesouhlasí ve smyslu, že se bude cokoliv doma měnit, protože to on nemá rád, takže jsem musela odložit řešení tady toho problému a skoušet jiné varianty a na konec po třech měsících paní už prostě.</t>
  </si>
  <si>
    <t>Lang-LBD_pilot_HC7</t>
  </si>
  <si>
    <t>0.41875</t>
  </si>
  <si>
    <t>0.8303571428571429</t>
  </si>
  <si>
    <t>0.844113124134063</t>
  </si>
  <si>
    <t>0.025</t>
  </si>
  <si>
    <t>0.5341614906832298</t>
  </si>
  <si>
    <t>11.428571428571429</t>
  </si>
  <si>
    <t>1.2857142857142858</t>
  </si>
  <si>
    <t xml:space="preserve"> Dnes ráno jsem se probudil drží, než mi zazvonil budík. Pustil jsem si rády, vyl jsem poslouchal zprávy a potom jsem šel na počítač. Nasní dal jsem se a odešel jsem z domu do práce. Rozhodl jsem se, že pojedu na motorce, abych stihl zajít do caiteku. V práci jsem skontroloval všechno, co jsem potřeboval a znovu jsem sedl na motorku a odjel jsem do caiteku do bohunic. Cesta byla hezka, svítilo sluníčko, bylo mi teplo. Nevím co bych teď řekl. Kolik mi zbývá ještě dost. Už se těším až pojedu za se zpátky do mu, podívám se do práce a hned zmiznu a pojdu odpovedné zajdu s kamarádami na pivl. Nevím co mám říkat, to je těžký. Ještě nevětě, že těch 90-tyří nejde tak dlouhých. Člověk se pohráce vlíží po to učí. Čas, když má něco, někdy učíká strašně rychlé a někdy strašně pomalu. A já potom nestíhám o ně, če bych mluvit a vymýšlím si úplné hlouposti.</t>
  </si>
  <si>
    <t>Lang-LBD_pilot_HC8</t>
  </si>
  <si>
    <t>0.6928571428571428</t>
  </si>
  <si>
    <t>0.44285714285714284</t>
  </si>
  <si>
    <t>0.8041237113402062</t>
  </si>
  <si>
    <t>0.8410463418381088</t>
  </si>
  <si>
    <t>17.5</t>
  </si>
  <si>
    <t>1.625</t>
  </si>
  <si>
    <t>0.6651327043672198</t>
  </si>
  <si>
    <t xml:space="preserve"> Byly jsme minulý týden na novolené věseníkách, bydle jsme kousek od malé morávky v obcilu dvíkov, bylo tam moc krásně. Počasí nám vycházelo, opčasí se za... jsem tam spadla nějaká ta deščová kapka, ale jinak počasí na velice vycházelo. Procestovali jsme nejenom pěšky po okolí, ale zajeli jsme i do okolných vesnic a městeček. Prohlédli jsme si tam některé zámky. Na vychlíce jsme byli, byli jsme i na rejvízu, kde jsou rašelinová jezírka, jedno je přístupné, to větší, to mňši je neprístupné. Pro nějakou díváky nebo pro turisti potom jsme byli na pradědu, kde počasí bylo tak střídavě oblačno, ale nezmokli jsme, nebyli jsme až na hoře na vychlíce, je likož cenas výjezdná vychlítku je docela dost raha. V okolí byly 3-4 sítera hor, je likož bylo jako jasné počasí, viděli jsme i dlouhé stráne, které jsou momentálně vypůštěné.</t>
  </si>
  <si>
    <t>Lang-LBD_pilot_HC9</t>
  </si>
  <si>
    <t>0.7285714285714285</t>
  </si>
  <si>
    <t>0.7843137254901961</t>
  </si>
  <si>
    <t>0.8758639330690443</t>
  </si>
  <si>
    <t>0.014285714285714285</t>
  </si>
  <si>
    <t>0.5602836879432624</t>
  </si>
  <si>
    <t>35</t>
  </si>
  <si>
    <t xml:space="preserve"> Dobrý den dnes ráno jsem stala v sedm hodin a byla jsem velice potěšena, že v noci pršelo a bylo 24 stupňu a už není takové horko jako bylo včera. Hned jsem pomyslela na svého syna a jeho rodinu, tady jsou v Horvácku, ve Splitu, tam musí být asi velké horko, ale oni jsou moc říkovní a asi vědí, kdy se schovat a kdy jít na sluníčko. Moznáně vzpomínám, protože zítra už přijedou do Brna, pojedou v Lakem ze Splitu do Záhrébu, protože ReggioJet už teď nemá linku, tak se všechno můžeme přestěhovat z Horváckých drah zase na ReggioJet a pojedou ze Záhrébu do Brna přes noc. Jind mají tam luškové vozy, takže to je fajn, jsou 4 cela rodina v jednom vagonku, takže si můžou povídat a konečně budou mít čas si vykládat a hráci různé hry a podobně.</t>
  </si>
  <si>
    <t>Lang-LBD_pilot_P1</t>
  </si>
  <si>
    <t>0.6591928251121076</t>
  </si>
  <si>
    <t>0.4798206278026906</t>
  </si>
  <si>
    <t>0.7891156462585034</t>
  </si>
  <si>
    <t>0.8708800198770471</t>
  </si>
  <si>
    <t>0.017937219730941704</t>
  </si>
  <si>
    <t>0.008968609865470852</t>
  </si>
  <si>
    <t>0.5044642857142857</t>
  </si>
  <si>
    <t>7.689655172413793</t>
  </si>
  <si>
    <t>0.7931034482758621</t>
  </si>
  <si>
    <t xml:space="preserve"> Příběh opět za 30 tílesek v Laponsku. Nečekal jsem, že jsem se mě znovu podívám. A kamarác se ozval, on pracuje v luselu, že má vkyrně z chůzku. Taky pozval, aby chyel s ním, že si uděláme výkym v Laponsku. Žíkal jsem si, jak je ten. Budí hezky. Ale ono je trošku jiné. Testa začala dramaticky. Když jsem se na koncrollu štávky u Brna na autopedí. Svodřitě jsem zvouhítka dlouho. Dnes jsem do Brna zpácky, kůli Ren-G-Nu a kůli před odočetření. Už mě ujelí všechny spojené výdají zky letiště. Já jsem poslední spoje, ten ještěný odpoždění. Na veletě těště jsem příběhl po hodinu před 20 letr. Brna než se zavědala, co s tím stihl. Z toho holmu jsem jel lakem, jak už tím dlouho nejel. To zeméná vlakil asi 14 hodin. Ale byly pohlední přes noc. Jíl jsem sobímasu mimo jiné v laku. Tím začala už píperma na Sensever. Ale s něm bylo si být si, že jsem sní budel, a jsem čekal. Ale že byl, tohle bychom s ním nečekal. V jelí váre, za poladní korém byla už úplná zíma. A v Kýruň je mrzlo. Kýruň je zvláštný město. Je hornícké město starej, něco málo přes to let. Ale už se přesunuje, už je to nění místo. Prepodně jste mi se našli z národa. Ptá byl jsem tam celý den.</t>
  </si>
  <si>
    <t>Lang-LBD_pilot_P10</t>
  </si>
  <si>
    <t>0.5949367088607594</t>
  </si>
  <si>
    <t>0.8196107720808091</t>
  </si>
  <si>
    <t>0.006329113924050633</t>
  </si>
  <si>
    <t>0.02531645569620253</t>
  </si>
  <si>
    <t>0.47468354430379744</t>
  </si>
  <si>
    <t>15.8</t>
  </si>
  <si>
    <t xml:space="preserve"> Dneska jsem jela ráno do Zbláncka do Brná. Měl jsem je dvlakem o půl sedmé, ale hlásili, že vlak má spoždění a že pojede až v 8 hodin 10 minut. Ale bylo štěstí, že jel spěšný vlak za 10 sedům. Takže jsem byla v Brně o čtvrt na osům. Šla jsem na vlak na autobus na 40 a ten měl je 7 hodin 26 minut a taky nejel a jel až 7 hodin 40 minut. Takže jsem přišla na domluvenou zhůzku s dosť velkým spožděním asi tak 25 minut. Takže bylo to takový nepríjemný v jednou začas vyjedu a byla to smola, že akorát byli dvakrát spoždění. No ale dopadlo to dobře a tak stane se no. A jinak teď pojdu dobrna do města a podívám se po městě na zelný ring, podívám se po obchodech, projdu se po nám městí a pojdu zase dom do Blanska. A tak se měla takový hezký výlet a skrácení do ne.</t>
  </si>
  <si>
    <t>Lang-LBD_pilot_P14</t>
  </si>
  <si>
    <t>0.6184971098265896</t>
  </si>
  <si>
    <t>0.5086705202312138</t>
  </si>
  <si>
    <t>0.794392523364486</t>
  </si>
  <si>
    <t>0.802737221851828</t>
  </si>
  <si>
    <t>0.5144508670520231</t>
  </si>
  <si>
    <t>173</t>
  </si>
  <si>
    <t>30.0</t>
  </si>
  <si>
    <t xml:space="preserve"> tak dlouho, co jsem se zůčastil koncertu anglické kapely, mělo vlast svet Circus a ještě něco, teď už se nevamatují a bylo to výstale pekáredie, bylo tam fajn, a jsme si trochu zatančili a po to jsme ještě dalá sepojď do města vždycky ten náš závěr končí u Bolká Podívky v poslední lečí tam jsme se bavili dál, dál popíjeli až do půl druhy potom jsem teda odešel na travaj, bylo spětny na autobus na rozjezd a netrval to dlouho a už se byl doma manželku se zbudil, tam bude hledka řekl, co si myslí, že chodím tak pozdě domů ale i tak to bylo dobré, tak jsem se umil zuby vyčistil, umil oblyčej a samozřejmě jako obykl, měl jsem hlad, takže jsem se musel dojest a na to konci jsem všechno všel spad a až jsem u stům, tak jsem se mě zálo a kde vím co, většinou se pomenu na to, co se mě zdá když návazem zbudím a návazem se zbudil a už jsme mazali spodliště s manželkou na Chalupu</t>
  </si>
  <si>
    <t>Lang-LBD_pilot_P15</t>
  </si>
  <si>
    <t>0.7515527950310559</t>
  </si>
  <si>
    <t>0.391304347826087</t>
  </si>
  <si>
    <t>0.8099173553719008</t>
  </si>
  <si>
    <t>0.9091944212311164</t>
  </si>
  <si>
    <t>0.5962732919254659</t>
  </si>
  <si>
    <t>32.2</t>
  </si>
  <si>
    <t>3.6</t>
  </si>
  <si>
    <t xml:space="preserve"> Podzimně krásně roční období, kdy kato některé pozní květy, ale hlavně všechny visty se zbarví do oranžová červená, nekteré opadají sice, ale potom tí barvy jsou na zemi, takže vidíte silnice nejsou ty škarde, ale jsou už nuté, oranžové červené. A když pod něj chodíte po těch odnicích, tak je tam šumní, taký krásný krid vůduši. Podzimně taky nádherný, kový věnoklivým podinám, jednak samozřejmě javrička, hošty a jiné ohlace na zahráce, ale vidíme do vás takhle nejde, na sám tam nějaké houby. A vlastně si tam uděláme takovou krásnou ohlace, kdy si v čistí necháví, taky porademe se v tom lesec, a vlastně je to pro nás takové odpočiny. Podzimně také období pro spoletné setkání, protože už je vzatně sestný vádríve, takže vlastně máme do zčasu už večer doma, protože se stkáváme s rodinou, stkáváme se přírozných přilištostech, co tam hůzne svátky, od svátky, které jsme přezalí z různých kultů, až po vánoce, na konac bude teda vlastně se podzimt ředá.</t>
  </si>
  <si>
    <t>Lang-LBD_pilot_P16</t>
  </si>
  <si>
    <t>0.6822429906542056</t>
  </si>
  <si>
    <t>0.7945205479452054</t>
  </si>
  <si>
    <t>0.8161026911554304</t>
  </si>
  <si>
    <t>0.018691588785046728</t>
  </si>
  <si>
    <t>0.49056603773584906</t>
  </si>
  <si>
    <t>15.285714285714286</t>
  </si>
  <si>
    <t xml:space="preserve"> Dnešní den jsem zapomněl, nebo spletl si datum, že jsem nedodržel to, co jsem měl dodržet. A jináč chodím, dělám na zahradě a teď už připravuju na zimu všechno včetně rítí a prostě sklízený už je skoro všechno, co tam bylo. A budu nějaké sklízet výky a ty jsou do jížnějších oblastí, ale u nás už to všechno nedozraje. Sou dost blný, ale malý, nedozrají. Vysím si, že to uzušlím. A jináč na zahradě už teďka nebude celkem žádný problémy. Já jsem si říkala, že si budete horko, tak ještě tam mám výluh z česnek a z síbulu, že s tím zali už všechno ještě co přezímuje.</t>
  </si>
  <si>
    <t>Lang-LBD_pilot_P17</t>
  </si>
  <si>
    <t>0.6747967479674797</t>
  </si>
  <si>
    <t>0.5121951219512195</t>
  </si>
  <si>
    <t>0.7228915662650602</t>
  </si>
  <si>
    <t>0.8419538418312579</t>
  </si>
  <si>
    <t>0.056910569105691054</t>
  </si>
  <si>
    <t>0.5691056910569106</t>
  </si>
  <si>
    <t>5.3478260869565215</t>
  </si>
  <si>
    <t xml:space="preserve"> No jo, očem, že jo. Očem kolip. Tak já nevidím. Dneska jsem od rána nic nedělal. Šel jsem až k lejkari. Nevím, nevím, co mám. Nic, nic mi nejvědá. Víte, když je to svoje práci, kteřeba? Prostím. Przezvědělal v práci, kteřeba? On nechodím do práci už, no. Když jsem chodil do práce? No, tak řídil jsem většinou pírmi. No, ale nevím, no. Dneska nejdrám nic. Vájk se máte? Tak. O té robíc se vzluhli, chodí, nic nedělal, no. Nevím. Pojdejte cokolip. Cokolip. Já nevím, no. To byl dneska? Dneska vůbec necuhším. Co si dělal včera? Nevojezdím, ještě domala mě rysk máti. Děchávám sám vozit u bělý. Takže každý den je tam přivezovou bělý. A kým pádem mám o starost místná kupama a ziglama.</t>
  </si>
  <si>
    <t>Lang-LBD_pilot_P19</t>
  </si>
  <si>
    <t>0.6060606060606061</t>
  </si>
  <si>
    <t>0.8409655443190996</t>
  </si>
  <si>
    <t>0.003787878787878788</t>
  </si>
  <si>
    <t>5.739130434782608</t>
  </si>
  <si>
    <t xml:space="preserve"> Zostal se v roce 1987. Naš podnik stavil kutelný naplín. Já jsem jezdil sa autobusem a rozvážil v delnici. No, po 80, když byla po revovice, když už my jsme skončili, ale já jsem dostal tady ještě dva roky. Ptom jsem se znamil tady. Ale tak uženil jsem se tady, začal jsem žít. A celodobu jsem jezdil sa autobusem. Už mám 50 let autobusem. Zatím nemám žádná hávárka. Ani tresný bot nemám. Takže moc krat do mne naburali. A zatím na štěstí jsem nenabural do nikogo. A jedno jsem i zapalil tady autobus na kameni vrch. Už to bylo, už 15 lids spadky. Měl jsem linko 50. Bylo v zime. Ne, bylo flete. A na jedno to bylo rána vzadu. Ten klubák, já jsem si myslil, že bylo kolo. Ale diva jsem z petným zrátatku. Vždy se vzadu cestující začali křičet. Pan Jeredič, Pan Jeredič. Utevřil jsem dver, začali všechni venku prič. Já vy můžu. A nějaká ženska. Furt jsem motel okole mne. A to mám dělat Pan Jeredič. Vzadu můžu. Můžu, že nebyl růčný malý vózik. Pan Jeredič, pomůžte mi pomůžte mi. Já jsem nevidel. Furt jsem motel okole mne. A jsem vytopnout do prdele. Nevím co se stalo. Prostávete, jak jsem to sam, ten vózik jsem to sondal. A jsem sičil ten šel spadky do ten vózečkár spadky. Tak ryche dole. Vózik jsem, nevím, volal jsem Dispeching. Já byl vám vózik skóry. Ale fakt, vám to 3-4 krat. Takže, Nidriš přišlím chasíče. Potom policajti. Potom nakonec našich. Sanitka. A v dítky pár neco, stalo se někomo neco. A ne, tak dobře.</t>
  </si>
  <si>
    <t>Lang-LBD_pilot_P2</t>
  </si>
  <si>
    <t>0.6374501992031872</t>
  </si>
  <si>
    <t>0.5219123505976095</t>
  </si>
  <si>
    <t>0.8758485063311016</t>
  </si>
  <si>
    <t>0.01195219123505976</t>
  </si>
  <si>
    <t>0.00796812749003984</t>
  </si>
  <si>
    <t>0.5099601593625498</t>
  </si>
  <si>
    <t>20.916666666666668</t>
  </si>
  <si>
    <t xml:space="preserve"> Tuším to byl poprask na laguně, nevím to ale určitě. Tam byla scena, kdy dozorce vězňu je vyvedl z té z toho vězení na dvorek vězeňský a tam k nim držel přednášku a říkal vážení pánové. Když někdo dostané nemorální rozkaz tak má dvě možnosti. Bud ho uposlechné a v tom případě je zavřený až potom nebo ho neuposlechné a v tom případě je zavřený hned. A tak člověku nezbějvá než byť, byť, buď pořád zavřený a pořád opilí, já jsem si vyberal to druhé. A zase je zavedl zpátky, to jsem měl líbro. Dneska se pořád naznačuje, že od někuď dostáváme nějaké rozkazy tak jsem zvědal, kdo bude zavřený hned, takhle až potom. Kolik to je v Teřin? Ještě něco? Ježíš, Merya, co by to mělo byť? Nevím. Dejte téma nějaký. V fútbale jsem nějak možné zabývám, když vidím, co jsem kolem toho děje, že se tam perou a zapalujou auta, tak si říkám, to jsou opravdu teraz v sportovci reprezentantí. Hokej to ještě jen snesu, na ten si můžu koukat, protože když jsem byl dítko, školou povinné, někdy v roce 66-65, bylo nějaké mistrvci Hokej a ukíosku novýho kolem, kterého my jsme chodili do školy, měli tak za dvě koruny nebo za tři koruny, tak takovou brožůrku, kde byly namalované v hřiště, tam bylo namalované, kde je která čára a co znamená, co ukazuje sudí, tak to jsme si koupili za tři koruny a pečivě naštudovali. K fútbalu jsem nic takovýho nesehnal, tak mě fútbal neprirostl k srdci.</t>
  </si>
  <si>
    <t>Lang-LBD_pilot_P20</t>
  </si>
  <si>
    <t>0.753731343283582</t>
  </si>
  <si>
    <t>0.3805970149253731</t>
  </si>
  <si>
    <t>0.8217821782178217</t>
  </si>
  <si>
    <t>0.8846875923920795</t>
  </si>
  <si>
    <t>0.04477611940298507</t>
  </si>
  <si>
    <t>0.5522388059701493</t>
  </si>
  <si>
    <t>9.571428571428571</t>
  </si>
  <si>
    <t xml:space="preserve"> Jsem fanoušek sportu. Fanoušek to znamená zajímám se o sport lémpasivně, nikoli v aktivně. V minulosti jsem chodil si zahrát stolní tennis. Jako student jsme hrávali dost často fotbal nebo nohybal. No ale teď už jen pasivně sledují fotbal. Lémpasport, zajímám se o všechny sporty. V poslední době mě zaujál Beatlon, který se uskutečnil, kde se konalou mistrství se ta u nás znovu námoraví. Teda jsem byl překvapen, jak dalici francouzi a norové jsou nazbytkem světa lepší. Naši teda skončili, bezmedajili byli tam, dosáhlí jsme dvakrát umistění do 10. mista, ale to bylo všechno. To mistrství se konalou zrubila před 3 tydny. Teda se konalou v Norskou na středinskou holmenkovalen. Mistr se tový pohár v tom Beatlonu, kde teda naše tereza Voborníkova jedno zkončila 5. a jedno o osma, tak bylo toto dobré umistění.</t>
  </si>
  <si>
    <t>Lang-LBD_pilot_P21</t>
  </si>
  <si>
    <t>0.7471264367816092</t>
  </si>
  <si>
    <t>0.4482758620689655</t>
  </si>
  <si>
    <t>0.7384615384615385</t>
  </si>
  <si>
    <t>0.8649385977325978</t>
  </si>
  <si>
    <t>0.627906976744186</t>
  </si>
  <si>
    <t>6.6923076923076925</t>
  </si>
  <si>
    <t>1.0769230769230769</t>
  </si>
  <si>
    <t>1.2495932313699967</t>
  </si>
  <si>
    <t xml:space="preserve"> No tak... 맛있í rodina... Aust®! Tvs chewing farea. Přen sekali kečekky, rodina, svořití, děti je vnoučáta. Čech svořití chův a babiček. Myslím, že to docela jako vycházi. Takže jíme, je zjime společné akce. Máme nějaké společné zážitky. Věřím, že ty společné zážitky vycházejí všem jako sřic. Jsou všichni spokojení a žijí takhle pohromadě v dneši dobu a celkem to vycházi. Takže máme to je zeslěvo, ale dyská odnotit. Tak jsme s rodinou všichni spokojení. Dofám, že pořebo robného doceni vyjde i v ostatných, které jsou členi rodiny.</t>
  </si>
  <si>
    <t>Lang-LBD_pilot_P22</t>
  </si>
  <si>
    <t>0.7010869565217391</t>
  </si>
  <si>
    <t>0.40217391304347827</t>
  </si>
  <si>
    <t>0.8527131782945736</t>
  </si>
  <si>
    <t>0.861298862694719</t>
  </si>
  <si>
    <t>0.059782608695652176</t>
  </si>
  <si>
    <t>0.46236559139784944</t>
  </si>
  <si>
    <t>9.2</t>
  </si>
  <si>
    <t>1.35</t>
  </si>
  <si>
    <t xml:space="preserve"> Já budu žalovat, sebrali mě kůli ménem oci řidičák, takže nemůžu sdiť autem. Auto se měli bylo ze všechny důvodů, který má chlap. Hlavně jsem se trošičku předvádil, že jsem se měl perfektní oba voráka. Toho jsem musel dén po zákazu porodat. A teď chodím všude pěške, je to problém, protože mám kase. Mě nevolej chodit s batiužkem, že byl jako dědek. Takže všechno odtáha sama. Já věděl ní dvě jenom jako doprovod. Takže to je taký problémový. Každopádně nevím, co mě to na té nemoci zloby vycestli. To, že nemůžu chodit, nebo je to vertik, že se vždyš pořád padám. Mám problémy výlezdou, to je takový nepodlný. Naprosto si věřím tomu, že spůstali díky hůř nemorsných. Ale jsem v životě nebyl, takže na to nejsou zvyklej. A vadím je to, nezmírně mě to vadí, že jsou odkázanej na tom mámku. Bojím se, aby mě nevodit. Aby se nějak nestrhala nebo nebo dítě nám. Uch, skoro 80 roku, takže každý krok na víc nás vadí. Ale já jsem se na přišel břečet. Takže myslím si, že by to mohlo natepil, dělal mi nati stačit.</t>
  </si>
  <si>
    <t>Lang-LBD_pilot_P23</t>
  </si>
  <si>
    <t>0.7336683417085427</t>
  </si>
  <si>
    <t>0.4020100502512563</t>
  </si>
  <si>
    <t>0.815068493150685</t>
  </si>
  <si>
    <t>0.909737882785415</t>
  </si>
  <si>
    <t>0.010050251256281407</t>
  </si>
  <si>
    <t>0.5778894472361809</t>
  </si>
  <si>
    <t xml:space="preserve"> Mám to nějak oslovit, nebo teprostě jedno začnulovit. Dobře, tak včera jsem pracovala na zahradě, protože mě dovezou kvitka, tak jsem potřebovala vyřešit tu půdu, na chystat místo. Mojí pejstánsy se na mě dívali, mám dva kluky a jedno holku, kluky krysaříky, holku labredovského retrývra. Makala jsem jak šroubeček, přemýšlela jsem, co udělám s tím dalším předzahrátkou, protože milný rok jsme dělali nový ploty, novou bránu, nový věst, protože jsme tam měli tři velký vzdrostli stromy, které jsme museli pokáceť, protože se kořeny rozlízali už k sousedům. Doneška je mě to hrozně lito, i když už je to víc jak rok, protože ty stromy byli nádherné. Je návímeště co bych řekla, chystáme se pozvánky, protože budeme mít světovéj den Parkin Zona, takže jsme roznášeli pozvánky. Taky musíme ještě udělat tabulky, protože se staráme o psi o lidi, co jsou sociálně znevýhodněni a bezdomová. Takým pečujeme o zdraví jejich pejsku, když mají nějakej problém, tak mě zavolejí. Já jim vyřeším veterinu a snažeme se to taky zapletit ve spolupráci s Armadov spási, která nám v tomhle pomáha. Takže zrovna minuloj páteck jsme jim dávali obojky proti blecháma klíšťatům a tablety na očervení a každému 3 kg pitlik granulí. Další akce.</t>
  </si>
  <si>
    <t>Lang-LBD_pilot_P24</t>
  </si>
  <si>
    <t>0.6744186046511628</t>
  </si>
  <si>
    <t>0.46511627906976744</t>
  </si>
  <si>
    <t>0.8597243561494785</t>
  </si>
  <si>
    <t>0.029069767441860465</t>
  </si>
  <si>
    <t>11.466666666666667</t>
  </si>
  <si>
    <t>0.5988718751052705</t>
  </si>
  <si>
    <t xml:space="preserve"> Tak jsem se zase dneska přebudil jakož vždycky. Všechno mě bolí, šíleně, kolena. Čera jsem vůbec nespál, protože ta bolesť je hrozná. To jsem v obědnané na podzim, že mě to uríznout tu nohu a něco tam dají kus železa. Já to se nepodáří stát. Tandardně se koukám z okna, odtočný železí koukám se z okna, jak lidi chodí na autobus. No je tam zima, poráme je tam zima, tě těžíš žela zima není. Takže co, tak vy dokupevny. Tam si vatu do zubu, protože mám vstět měl kousek zubu asi před půl rokem. A kvůli takové blbostí, protože jsem udělal chybu, zaváhal jsem a nemám standardního zubaře, jenom odborníka, které dělá implantáty. Tak jsem musel jinou ordinaci hledat, tak jsem naše, olesně. Už jsem tam byl 4x na dentání očistě. A potom teda mě ten zub náhradí a vypláznout to asi 4500, jak mám v plány, jak mě to naplánovali. Takže jdu do lů a protože 7 hodin, tak si bude prášky na chvoro, kvůli které tady jsem. A mezi tím...</t>
  </si>
  <si>
    <t>Lang-LBD_pilot_P25</t>
  </si>
  <si>
    <t>Lang-LBD_pilot_P26</t>
  </si>
  <si>
    <t>0.738255033557047</t>
  </si>
  <si>
    <t>0.3825503355704698</t>
  </si>
  <si>
    <t>0.8363636363636363</t>
  </si>
  <si>
    <t>0.8788904642411114</t>
  </si>
  <si>
    <t>0.5771812080536913</t>
  </si>
  <si>
    <t xml:space="preserve"> Jako dlouholetý technik firmy, která se zabývá automatickým splachováním budu hovořit o pisoárech. Mnoho lidi určitě přemišli nad tím, jak ten pisoár pozná, že má splachnout po použití. Něch systémů, které sní mají, to po použití je několik. Nejstarší systém je optický. To znamená, že elektronika vysíla infracervený paprsek, který se odrazi od předmětu, který od člověka. Vrátí se zpátky do příjimací elektroniky, tato vyhodnotí a poté, co ten odraz skončí, to znamená, že člověk odejde, tak splachne. Tento systémá výhody i nevýhody. Výhody jsou, že je relativně spolehlivý. Nevýhoda je v tom, že pokud má někdo hodně tmavý oblek, tak fyzikální zákony platí Bohužel i propisoáry, tak se paprsek špatně odráží a nemusí dojít ke splachnoutí. Říkáme, že to funguje na ředitele, protože ten chodí v černém obleku, tak všem ostatním to splachuje a panu řediteli to nesplachuje. Takže to je jeden systém. Další systém je systém teplotní.</t>
  </si>
  <si>
    <t>Lang-LBD_pilot_P27</t>
  </si>
  <si>
    <t>0.6473684210526316</t>
  </si>
  <si>
    <t>0.7723577235772358</t>
  </si>
  <si>
    <t>0.8320659169766307</t>
  </si>
  <si>
    <t>0.5392670157068062</t>
  </si>
  <si>
    <t>63.333333333333336</t>
  </si>
  <si>
    <t>5.333333333333333</t>
  </si>
  <si>
    <t xml:space="preserve"> Dnes ráno jsem se probudil o pulpate, vstal jsem, zapnul jsem radiátor, vyčistil si zuby, oblékel se, šel do kukyně, sněl jsem si prášek, začal jsem si vafit snídaní. Mezi tím se probudil pez, tak jsem ho odnesl na zahrátku, aby se vycůral, vrátil jsem se, nasnidal jsem se, potom jsem si uvafil kaffe, oblékel se, podíval na hodiny, měl jsem ještě část, tak jsem se podíval do novín a za 10 min, v 8 jsem vyšel z domů, 08 měl autobus směr menlovo náměstí, přesledel jsem na 25 kuk, tam je zavizla do bouhuníc, šel jsem pěšky do sejtiku, kde mi uvítala přijemná slečná, neopaním ladá, zavědla mě do místností, kde jsme probírali prvně nějaké dotazníky, potom jsem dělal různé úkolí, protože už je skoro poledné, předpokládám, že budeme končit, pojedu domů, ne, urbědvám se, tam mě bude čekat dnučka, všechno všechno zelený 4. chystám, že s ním půjdu na zelené pivo, protože jsme se dlouho neviděli, jistě si dobře povýkládáme, co je nového uní a co je nového u nás, půjdeme se kvělku projít a potom se ještě chystám odpoledné do kostela na večer, protože je zelený 4.</t>
  </si>
  <si>
    <t>Lang-LBD_pilot_P3</t>
  </si>
  <si>
    <t>0.5720524017467249</t>
  </si>
  <si>
    <t>0.5851528384279476</t>
  </si>
  <si>
    <t>0.8202386030645262</t>
  </si>
  <si>
    <t>0.013100436681222707</t>
  </si>
  <si>
    <t>0.056768558951965066</t>
  </si>
  <si>
    <t>0.49145299145299143</t>
  </si>
  <si>
    <t>32.714285714285715</t>
  </si>
  <si>
    <t>5.428571428571429</t>
  </si>
  <si>
    <t xml:space="preserve"> Tady je leto, takže jsem pořád na záhradě, když to trošku dělá. Bo už jsou teď velké horka, takže musíme jenom větký ráno brzí, třeba odpěti do 9 a potom už do domu, zase si dělán doma věci. Ale mám tam kitky, mám tam ryby, smaliny, ostružiny, mám tam angrešt, ale hlavně tam mám kitky, které hrozně mám ráda. Takže chodím každý dělán tam zalívat, aby to měla tam pěkný, aby to pěkný tam vypadalo, a hlavně nehlavně, aby to bylo jako by celou dobů, jako by krásně to, protože kdyby se to nezalilo, tak to uvadne a nejé to úplně na nic. Takže krásně tohle leto si je krásně leto, samozřejmě pro děti nejvíc, protože je teplo, takže si to účitě užívají. Ale bohužel teda prostarší lidi, jako si já, tak už je to docela náročný, protože ty teplasou strašně veliký, a je to docela, jako by se už špatně dýchá, prostě se toho, takže se člověk musí přispusobit asi tak nějak, než prostě naríkat, nebo prostě dělat věci, které prostě nejdou sami od sebe. Takže já si jen nakoupím jednou za týde nebo za 14 dní a to je všechno, takže doma si všechno udělám sama, můžu jezdit autem pořád, takže je to bezvadný, takže si můžu potřebu dojet sama, ne musím nikogo o to oprosit o to, aby s mě to vezlněkám, takže to je bez.</t>
  </si>
  <si>
    <t>Lang-LBD_pilot_P5</t>
  </si>
  <si>
    <t>0.6063348416289592</t>
  </si>
  <si>
    <t>0.8350276680277117</t>
  </si>
  <si>
    <t>0.02262443438914027</t>
  </si>
  <si>
    <t>0.03619909502262444</t>
  </si>
  <si>
    <t>0.5203619909502263</t>
  </si>
  <si>
    <t>27.625</t>
  </si>
  <si>
    <t xml:space="preserve"> Koncem července mě vzal můj syn, kamil, který bydli v bylovci u Ostraví na dovolenou do nabistřičku. Jelí jsme tam celá rodina, byla to taková velká halupa, bylo nás tam 15, jako od kamarádky, no od přitelkyni, to ani kamarád, přitelkne. Co s njou bydli a s dvoma klukama, tak jsme tam jeli všichni celá rodinka. Bylo to tam velice pěkný, přijeli tam její rodíče, a já jsem tam byla jako a její bratr, jako s tím zesiném a vod tatinka jejího tam byla Cera z Prahy, z manželema s tím, s klukem, a pak další cetáři jako švica, která bydli v postolo prtěch, tak tam byla z manželema taky zesiném, bylo to tam velice moc pěkný. Byly jsme tam tak asi 5 metrů, ani nejde 2 metry od toho, od té bystřičky, od té řeky. Hoďili jsme se každý den ráno koupat a večer zase, takže to bylo tak vypěkný. Vdol vezli jsme si tam plno alkoholu a jídla, protože tam se nevarí a řekli mě děvčat, že já jsou stará pani, takže budou mývat nádopě, že budou věci tak jsme si ho vzdělili prácu. Mezi tím byl tam dole ten pimponkovým, tohle tak tam klucy hráli s dětma, bylo to tam velice pěkný, byli jsme tam týdé na pakní klucy, a vezdle do holomou cahila se dobr na domů.</t>
  </si>
  <si>
    <t>Lang-LBD_pilot_P6</t>
  </si>
  <si>
    <t>0.6222222222222222</t>
  </si>
  <si>
    <t>0.5481481481481482</t>
  </si>
  <si>
    <t>0.8036009804720058</t>
  </si>
  <si>
    <t>0.02962962962962963</t>
  </si>
  <si>
    <t>0.014814814814814815</t>
  </si>
  <si>
    <t>0.4740740740740741</t>
  </si>
  <si>
    <t>10.384615384615385</t>
  </si>
  <si>
    <t xml:space="preserve"> Dnes jsem přijel z Vyškova, kde mě dovezle moje sela, která tam bydlí a s manželem. Jsem se vrátil, dnes v 8 hodin a připroval jsem se na tento pohoval. Přitom jsme si pouštěli na televízi zplávy, kde jsme se dívali s manželkou a s sedou. Potom jsme šli na koupit a vrátili se zpět k nám domů. Bydlím na zářebské zžavinách a jsem spokojení. Myslím, že se tam dohrze bydlí. Je všechno blízko, v chodinu všechno je tak jako rád. Vše vše nevěvujete. A proto jsem rád, že jsem se dostal do toho to sídliště, kde bydlím už s kdá se jdu skoro 40 let. Od během jsem tady zaměstnán i jsem chodil do školi. Všechno se bylo tak zájště. No skrátka se mě tady líbí. Je to hezké, líbí se mě tady moc.</t>
  </si>
  <si>
    <t>Lang-LBD_pilot_P7</t>
  </si>
  <si>
    <t>0.8173076923076923</t>
  </si>
  <si>
    <t>0.8969238262374167</t>
  </si>
  <si>
    <t>27.2</t>
  </si>
  <si>
    <t xml:space="preserve"> Dobrý den, ráno jsem vstala, nachystala jsem snídani, nasnídali jsme se, mandžil se šel koupat do bazénu, bylo hezky, tak si pěkně zaplaval a já jsem jela, jsem cesta byla dobra, sice byla trochu kolona a nějakej kamioně, ksi stoup do dvou průhu, takže se nedalo ani v jednom ani v druhým průhu, ho předjet. Je jinak se tady dobře zaparkovalo a teď za chvíli pojedu domů, budu obědvat, oběd mám doma nachystaní od včerejška, protože jsem počítala s tím, že bych ho dneska už neuvářila. Odpovedné, nevím, jestli se půjdem projít, včera jsme byli u kostela Vranov, byla tam pouť marijánska, bylo to tam krásné, v lese jsme se také byli projít, ale nicme nenášli. Lidé nosili z blanenská košíky, hup. Když jsme přijeli domů včera, tak už byl dost pozdě, nachystali jsme si večerši.</t>
  </si>
  <si>
    <t>Lang-LBD_pilot_P8</t>
  </si>
  <si>
    <t>0.3684210526315789</t>
  </si>
  <si>
    <t>0.42105263157894735</t>
  </si>
  <si>
    <t xml:space="preserve"> Vlává cestu je bila se není tím, že jsem byla na Maradheji, tepok se jsem byla na Výmzelandě a na Kuby a na Sri Dance. Mám pánou čas, si nesí hraju hodně. Mám dvě holky, 1-14 roku.</t>
  </si>
  <si>
    <t>Lang-LBD_pilot_P9</t>
  </si>
  <si>
    <t>0.38333333333333336</t>
  </si>
  <si>
    <t>0.8043478260869565</t>
  </si>
  <si>
    <t>0.8177371394588162</t>
  </si>
  <si>
    <t>0.5666666666666667</t>
  </si>
  <si>
    <t xml:space="preserve"> Vychodila jsem základní školu v dolních kounicích a pokračovala na studiu na střední škole v Ivánčitsích. Po absolvování střední školy v čtyřletého gimnázia jsem se přihlásila ke studiu na medecínu. To jsem absolvovala od roku 1972. Do roku 1976 se narodil kluk 78. V roce 1976 jsem něnarodil syn, který vystudoval tež vysokou školu technického rázu. Nyní pracuje jako ajťák.</t>
  </si>
  <si>
    <t>PD_HOME_long_PDHOME10</t>
  </si>
  <si>
    <t>0.7628205128205128</t>
  </si>
  <si>
    <t>0.36538461538461536</t>
  </si>
  <si>
    <t>0.8319327731092437</t>
  </si>
  <si>
    <t>0.9068831967816597</t>
  </si>
  <si>
    <t>0.5859872611464968</t>
  </si>
  <si>
    <t xml:space="preserve"> Učené neska bylo nahovořit. Obsekto neska máme, mám štěně, už je to roka půl, pejsek a je to taká měční potvora. Co může, tak je hrozně ulísaná, mazliva, poslušnější jak velka, ale co může, tak to zebere, utrne na potřebu pro něj menší výběch. Tak jsem si zjenal menší zahradu z ruba 4,5-4-4-rečních oplocenou u lace, kde je chcud věnčit, protože vlastně vím, že tam odcud mě nutečil a že ten prostor jim bude stačit. Jnáč, momentálně jsem skončil v zaměstnání, dal jsem vypověd s zdravotních důvodů a budu si pomalé hledat jináčí práci, která neběh náročná na nefyzickou práci, ale vlastně námahu. A hlavně kde byl při kolektiv, kde není stupidní menežer, který vlastně nezná výrobu a snaží se korigovat zaměstnance, aby zišlali k tempo, tempo, tempo. I načinu chtěl jsem očiněži hovrít. V autě to je klasika rodina, teď komentálně si ty nezabívám a bych se starám sam o sebe.</t>
  </si>
  <si>
    <t>PD_HOME_long_PDHOME13</t>
  </si>
  <si>
    <t>0.6193181818181818</t>
  </si>
  <si>
    <t>0.8073394495412844</t>
  </si>
  <si>
    <t>0.8056409732150133</t>
  </si>
  <si>
    <t>0.6079545454545454</t>
  </si>
  <si>
    <t>17.6</t>
  </si>
  <si>
    <t xml:space="preserve"> Tak jsem z race králové, mám doma psa, je to kavalier Kim Charles. Je z ním je spolvo na halupu, které mám v ordičských hrách. Mám tam ještě malou halupku, takže práce v okolo hodně, ale už na to nejstačím. Takže se kám trakturčem, mám tam hles, hodím na houpy, si cijenom zachatů z berlema, takže vopčas padnu do lesa, ale je to všechno. Co se, dobrý. A vynag jsem tam chodím v okolo, je malý nejchce se mu tam nikde chodit, takže běh většině zalíze domů do Pelechu. Mám tam mámu, o kterou se snažím starat, tak jak mě to ještě zdraví dovolí. To je taky na tom docela špatně, má zarený zákal, má plicní nedostatečnost, takže tam je většině sama, takže to mám blbý podsít, no ale do hrace k tam nechce jít. Takže se snažím tam jezít co nejvíc, jak to jdeme. No, jinak tam co se týká počasí, tak tam máme většinou zimu, no jsou to hory 1000 m nad mořem, takže vzimně tam je strašně sněhu, letě tam je zase vedro.</t>
  </si>
  <si>
    <t>PD_HOME_long_PDHOME15</t>
  </si>
  <si>
    <t>0.6785714285714286</t>
  </si>
  <si>
    <t>0.47619047619047616</t>
  </si>
  <si>
    <t>0.8769232332171318</t>
  </si>
  <si>
    <t>0.03571428571428571</t>
  </si>
  <si>
    <t>16.8</t>
  </si>
  <si>
    <t xml:space="preserve"> Tak říkala, že jsem začala v Kosice na východě slovenska, pak jsem šel studovat do Vánskéj bystryce, pak do Výškova na Maravě a pak jsem vkočil v Tachově. Takže jsem téměž sprošel celým Československém jako podobu myslel aktivní služby. Zkončil jsem ruku 2009, ale dva roky předtím jsem se ořenil z mojvý rázkou, velkou a teď žijeme spolu v Koutovici. Byly jsme tedy veletě nadolene v Damalorce. Počasli bylo takový řekl, bych nevysil nám to. První čín bylo hezký, krásně, ale poslední čín bylo dokonce se nám zažíl slavší orkán. Našel nauče onemocnil, takže se musel hlidat nauče do pokoji, takže poslední čín bylo leháro na pokoji u televize. Ale hlidat byl hezký, líbil se nám tam, to bych ještě mohlo tak zjít, ale tohle tedy mě tedy neslává problémy. Když musím brát leky, a někdy mám tu krizový stav, tak mě je těžko mluví, nebo chodí, tak na to musím brát ohled, a všechno přispůsobovat tomu. A co mě najvíce na tých nemocíštvě je, že nemůžu plávat.</t>
  </si>
  <si>
    <t>PD_HOME_long_PDHOME22</t>
  </si>
  <si>
    <t>0.7130434782608696</t>
  </si>
  <si>
    <t>0.40869565217391307</t>
  </si>
  <si>
    <t>0.8292682926829268</t>
  </si>
  <si>
    <t>0.8394405891064531</t>
  </si>
  <si>
    <t>0.5775862068965517</t>
  </si>
  <si>
    <t xml:space="preserve"> V roce 1969 jsem dostal polace rozkáz na zakladní vojenckou službu do Kroměříže. Pět hodin zráno měl vlak a v 9 hodin jsem to razel na Kroměříšské nádraží. Ten nás čekal vojencky Anton, který nás rozvezel do jednotivých vojenckých kasaren. Dostal jsem se k tankojom praporu do opravarského střediska. Nejpě jsme v podostodnícké škole plůd roku a pak jsem se dostal do opravarských dílen. Ježdějí jsme opraváli tanky T54. Přížeme celkem dvakrat na veletě. Jedno jsme byli v vysokých tatořách a po druhé jsme byli v Praze. V roky vojiny běhli jak voda a vrátil jsem se opět to pracovního režímu. Pod oletech přišel opět polací rozkaz na vojencké třičení do přáslavic a pak doplzně.</t>
  </si>
  <si>
    <t>PD_HOME_long_PDHOME23</t>
  </si>
  <si>
    <t>0.7581699346405228</t>
  </si>
  <si>
    <t>0.35947712418300654</t>
  </si>
  <si>
    <t>0.8448275862068966</t>
  </si>
  <si>
    <t>0.8848552799853282</t>
  </si>
  <si>
    <t>0.0196078431372549</t>
  </si>
  <si>
    <t>8.052631578947368</t>
  </si>
  <si>
    <t>0.5789473684210527</t>
  </si>
  <si>
    <t>2.4267534399545996</t>
  </si>
  <si>
    <t xml:space="preserve"> V letošním roce je to celá zajímavý rok pro nás. Je to jedna, která budu mít kula těny, ale hlavně mít dva šikovní klucy. Budou mít to celá významný, taky věc. To významný životní. Je to maturita meho mlačího sená, pak je to zároveň starší syn dokončit, dokončit studium na bakaláře, na kiberneticé. Sou to kucy šikovní. Jsem rád, že máme spůvod dobré vztahy. A letosletě bychom měli skusit nějakou dovolenou. Když to se mnou nevím, poslním je moc jednoruché. Dovolená takhle, co se týká... Nákech mých koníčků nebo o tom vyšel asi moh tady. To by asi být v právní možná to nejlepší. Už hrdina ví tak dávám dohromady... Dávám dohromady tu... Tům můjí genovilickou knihu, Rockman. Stím budou ještě menáky práce. Pořád jako... Akorát budou potřádit to nějakým fůsem, tak dávám dohromady po stránce, po stránce, už teda. Tekstové, protože už materiálů mám spoustujem, si na to nají ten správný čas.</t>
  </si>
  <si>
    <t>PD_HOME_long_PDHOME24</t>
  </si>
  <si>
    <t>0.7268041237113402</t>
  </si>
  <si>
    <t>0.3711340206185567</t>
  </si>
  <si>
    <t>0.8652482269503546</t>
  </si>
  <si>
    <t>0.8770637620796748</t>
  </si>
  <si>
    <t>0.02577319587628866</t>
  </si>
  <si>
    <t>21.555555555555557</t>
  </si>
  <si>
    <t xml:space="preserve"> Čeré jsme jeli schalupit, dříve do Prahy, aby jsem stěhol koukat na OK, které jsme se hráli ve mě krásně. Bylo to krásné odkrání. To je ještě z krásnějších koncem, když jsme vlastně pár vteřím před koncem, dalí druhou bránku, a celko je jsme vyhráli v Danuma na Čevícářském. Půžde na tomto padli švedove, kteři se cítili, že budou nejlepší. Taky všechny odkrání vyhráli až na to poslední, které se hráli s návami, které potom vypadli. Co se týka Český návroce jako odzatná gána spojel a vlastně fan dělal se na všaklo na všechno návměstí, které všech hospodák ve fanzoloně, odzatně nemluvím, plus přímoval o tu a dne, kde vlastně mýne finále probíhalo. Učastnici si stěžovali na halu v Ostravě, které by je zastanališí a vlastně klimatizace nestíhá dobře chladit na což některý hráč nejsou zvyklí, že se málem jak říkali, brodili ve hodě a nezděli na bruslých. Tak nám skončí hlasně OK a v dnešní jde my se zase můžeme slédovat fotbál, tenhle na fanesí sportu mám jen stále co vslédovat a můžeme to kontrolovat. Co se týka fotbálu, stavulka se rozdělila na 3 části, sparta spraha u řemistrem ligy má dostatečný náskok.</t>
  </si>
  <si>
    <t>PD_HOME_long_PDHOME25</t>
  </si>
  <si>
    <t>0.8118436697923747</t>
  </si>
  <si>
    <t>0.5816993464052288</t>
  </si>
  <si>
    <t>3.619047619047619</t>
  </si>
  <si>
    <t>26.98215443669734</t>
  </si>
  <si>
    <t xml:space="preserve"> V lednu se měla dolázní, do Lohačovic, po prvé. Potkala jsem tam kamarádku, kterou se... ...sledu se teď bavíme... ...po telefonu hlavně. A co...co...co...co mi tam nejvíce, jako se nejdí být na těch lásných... ...těch Lohačovicích, které příredala tam... ...a všechno kolem. No. Kamarádka byla taky výborná, ménu menej se Liduška... ...hlavně, že v noce nechrápala. To bylo velmi důležitě, protože by se navyspala. No. Co mi tam stalo? Přijela jsem třetího, šestého jsem upadla... ...narazala jsem si bok... ...také by potom vezli do nemocnice na vmkne, jen jsi do vám zlomené. Nen...nen...nen...nen...n...na štější zlomené to není. Já...nen...nen...nen...nen jde naražené. No...tak... tak jsem tam zapadla... ...pak si ješel do pochodu a nadnatála jsem si Lidko vysvál. Samozřejmě je zase bolesti. No...tak...co tam se naůdělali nic, že... ...sniželi mi... ...a dábli tam se... ...nali mi kyslíkové... ...kyyslíkové... ...procedury.</t>
  </si>
  <si>
    <t>PD_HOME_long_PDHOME26</t>
  </si>
  <si>
    <t>0.7295081967213115</t>
  </si>
  <si>
    <t>0.8242881489192254</t>
  </si>
  <si>
    <t>0.009615384615384616</t>
  </si>
  <si>
    <t>0.4807692307692308</t>
  </si>
  <si>
    <t xml:space="preserve"> Máme rara kočky pro ich hebchou sest, chlasných výjasvů oších a povídí přítunost. Měl jsem kočku Mourinku, kdy to mohli jsme měli bytě miši. Je to směchní, ale v Praze v výšetě typace přemějí miši. A nikdo mi poraděli, když se lehám kočku poběhnout bytem, takže už tam myši nebudou. Moje kamaráta byl měl 3 nása kočku jako dárek, tak jsem měl kočku. Děti, když se možela, a pak jsem měl 3 kotóry na jednou. Dvaz jsem si poříděl, byl jsem to bez dých a to brekete, seríšek a pak jsem přiběl sámíček. Byl nás na skoušku, příš nása ho kamaráta mího sina, na skoušku, 17 nás na skoušku. Já dělám, když se to doželi, a dávící ty dvá doželi 18 lat a 20 lat. To byli děláci, pěkní. A teď mám nic, a je mi smutno. Musím si něco porídit, ale nevím co, kočekom kočku vrát, jednu, dvě, nevím. A je mi smutno. A byli děláci, když se měl, a čekali za dnešmán. To jsem mám vydro, když se o neměkával, už tě stály. A teď si tři se nám je vyhlej, já nevím, že to mám dělat dřív. Bylo to mojící klucy, ale působěž se jen do toho. Bylo to se jen humordno, jen to bylo.</t>
  </si>
  <si>
    <t>PD_HOME_long_PDHOME27</t>
  </si>
  <si>
    <t>0.6746411483253588</t>
  </si>
  <si>
    <t>0.46411483253588515</t>
  </si>
  <si>
    <t>0.7943262411347518</t>
  </si>
  <si>
    <t>0.8594364090299047</t>
  </si>
  <si>
    <t>0.014354066985645933</t>
  </si>
  <si>
    <t>0.019138755980861243</t>
  </si>
  <si>
    <t>0.5471698113207547</t>
  </si>
  <si>
    <t>1.0526315789473684</t>
  </si>
  <si>
    <t>0.6574977689593934</t>
  </si>
  <si>
    <t xml:space="preserve"> Iménuju se Stanislava Smetanova, narodila jsem se jako průšová v sladčo-jelhodě, číslo 15. Na základném školu jsem vchodila do Lukavce a do sladčo-jelhoty. Potom jsem bila do kvučení a po učení jsem všládná hotelovou školu do Valkého Meziříčí. Poukončení školy jsem vy začala pracovat v jednodném ženěnskem druhstvu jako vydoucí závodní hdy. Potom jsem bila vydoucí prodejny a pak jsem se dala na podníkání. Bylo to těžký, ale zvádla jsem to. Vždycky jsem se vyžil, jsem měl skoro dvě práce, aby se ve mě se do věději užively. Přestovoj jsme velký dům, který byl náročný, ale povedlo se. Vám dva syny, Lukáše a Zdenka. Zdenek má 3 kluky, zdenek má 2 děti, kdo vítka ve rungu. Kluci se meneu Vojta kuba matě jako 3 m2 ději. Ještě fut? Kluci se meneu ději, jsou to zlatíčka blondáčkové. Rozstavl mi, čekám, že si teda přijedou na obět. Když nepríjedou, pérou do muž, byli štrávní nadovalenoj, těži se si na mámu. A já budu měl se sama, ale to nevadí, vytržím to. Pérou taky někam, v neději péreme na svatou horu. Aby se se podělal za panenku Maria, poprosil ji pomoci a... Víš, už nevím. Poprosil ji pomoci na plom, pojedem do mu, budeš je prénovit na tlodí, nebo někam.</t>
  </si>
  <si>
    <t>PD_HOME_long_PDHOME30</t>
  </si>
  <si>
    <t>0.7010309278350515</t>
  </si>
  <si>
    <t>0.4536082474226804</t>
  </si>
  <si>
    <t>0.820949260602217</t>
  </si>
  <si>
    <t>0.010309278350515464</t>
  </si>
  <si>
    <t>0.5463917525773195</t>
  </si>
  <si>
    <t>12.125</t>
  </si>
  <si>
    <t xml:space="preserve"> V sobotu jsem se vratil zdovolené v Turecku, v Antálii, v oblasti SIDE. Byl to velký šok, protože v Turecku byl trvalé 30° a víc, a při zme přistávali moštově bylo 10°. Takže to byl tepevný šok pro celý organizmus. V dovolená to byla pěkná, v Turecku je to pěknější a lepší dovolená, jak v řecku, protože Turci nejsou tak venivé, jak řeci. Hotel byl 5 vězičkový, všude čisto, personal strícný. Može pozvolný stup do može, ručníky za rámo, myslím ručníky o sužky na plážové ručníky. Može bylo teple 28°. Ospora byla otevřená, trvalé jako buffet, myslím.</t>
  </si>
  <si>
    <t>PD_HOME_long_PDHOME31</t>
  </si>
  <si>
    <t>0.46099290780141844</t>
  </si>
  <si>
    <t>0.8777904260899556</t>
  </si>
  <si>
    <t>0.014184397163120567</t>
  </si>
  <si>
    <t>0.04964539007092199</t>
  </si>
  <si>
    <t>0.4647887323943662</t>
  </si>
  <si>
    <t>20.142857142857142</t>
  </si>
  <si>
    <t xml:space="preserve"> Mojí přátle jsou mimo jiné chovatelé koní a mají i pro své děti a děti s vých přátel koupení malý zvíř poníka. Jenak děti s toho mají jako strašnou rados. Naši mě klucí se mě poradilo přesvědčit, že když je nechají někdo, s jakmi kamarádů svéz na koni, takže by mu měli být v čomu koni v dětni. Na to, aby ho rewelsovali jsou iště malý, ale na to, na pomoc přikrmění, při čištění, jako sáni není jako problém. Klucí se úplně těšili, a když jsme udělali okruh, jako na koni, tak zavedy koně dostáje a nakrmily. Zajímavé je, že jí spetelně vělka, ten mladší sýn, ten byl úplně za toho zážaraný a tě zvíratová ho měla velice ráda. Vždyť starší chlapěc jako ten, než by se neval, ale nebyl ten sach, nebyl k těm zvíratům takový jako u toho mladšího.</t>
  </si>
  <si>
    <t>PD_HOME_long_PDHOME33</t>
  </si>
  <si>
    <t>0.7351351351351352</t>
  </si>
  <si>
    <t>0.41621621621621624</t>
  </si>
  <si>
    <t>0.9105675376338486</t>
  </si>
  <si>
    <t>0.016216216216216217</t>
  </si>
  <si>
    <t>12.333333333333334</t>
  </si>
  <si>
    <t xml:space="preserve"> Mennu jusej Jan Hudeček narodil jsem se 21. letna 1954 v Rakovníku, kde jsem chodil i na základní a střední školu. Potom jsem se odstělal z rodíči do Prahy, kde žiju do sud. Jsem ženatý, mám dvě děti, syna a cero. Dohromady 3 vnoučata. Jednu vnučku, dva vnuky. Mojí velkou zálibou je Pč o rodinu. Z toho důvodu jsme vybudovali halupu z ruba 45 km od Prahy, kde se při význačných výročích a svácích scházíme. Je tam připravené místo z hruba pro 16 lidí, takže je to velká rodina. A mojí zálibou je dodržování tradic. Takže když jsme na vánoce, dodržuju všechny staré vánoční tradice, čemu se vnoučata někdy smějí. Některé jsou takové byzární. Na příklad jsem si přečetl, že v mnulosti, aby rodina zůstal soudržná, tak omotávali čidrovečerní stůl s ozdobným řetězem, který měl symbolizovat pravět u soudržnost té rodiny. Scházíme se teda nejenom v vánocích, ale i o význačných svácích nebo narozeninách všech členů rodiny. Jak jsem říkal, členů rodiny je hodně, tá šerští rodina čítá zhruba těch 16 lidí, a ten stul, který jsme vybudovali, musí tu těž, tohle to všechno pojmou.</t>
  </si>
  <si>
    <t>PD_HOME_long_PDHOME35</t>
  </si>
  <si>
    <t>0.3838383838383838</t>
  </si>
  <si>
    <t>0.7676767676767676</t>
  </si>
  <si>
    <t>0.5218168962622697</t>
  </si>
  <si>
    <t>0.6770833333333334</t>
  </si>
  <si>
    <t>49.5</t>
  </si>
  <si>
    <t>go dachteniu. Třiclinou kamaň na pomyslu no a tam svoje závodě dělal božářo co je dživost, závodě dělal kamaň kamaň svoje závodě dělal kamaň svoje závodě dělal kamaň dělal do doktorat a v roce závodě dělal 13 nojard do do senturu svoje závodě dělal kamaň závodě dělal kamaň závodě dělal kamaň do ostroměř takhle dělal pískovec a to je svoje závodě mají tady mají tady dělal svoje závodě to je závodě do docentru svoje závodě no a teď už v roce závodě dělal dělal do mduchu takhle zvížeme mdru mdru itálie křetsko závodě závodě závodě závodě závodě takhle vzdělal</t>
  </si>
  <si>
    <t>PD_HOME_long_PDHOME36</t>
  </si>
  <si>
    <t>0.7052023121387283</t>
  </si>
  <si>
    <t>0.4277456647398844</t>
  </si>
  <si>
    <t>0.8114754098360656</t>
  </si>
  <si>
    <t>0.8702445703533905</t>
  </si>
  <si>
    <t>15.727272727272727</t>
  </si>
  <si>
    <t xml:space="preserve"> Dobrý den, drá rodino, sešli jsme se proto, abychom se podívali spolu a popřemýšleli, jak budeme zacházet s našim starým autíčkem. Našemu starým autíčku je asi 45 let, to je ještě poněco více než se mám já. A ovšem schováva v sobě nějaké záludnosti, které musíme najít a musíme je opravit. Takže prvně se musíme obleknout spravně, protože nářadí a oblek dělá se meslníka. Takže každý, podívejte se, co máte na sobě, jaký kalhoty, jaký bundy, botičky, pozar kroužetovemku. Dávete si veliký pozar, když se vám náhodou stalo a ukrouzli jste, tak rychle staňte, ať se vám to zahojí. Zatím je to všechno v pořádku, tak teď budete se mnou kontrolovat, jak to autičko vypadá ze spodu. Tak k tomu jsme v hráži, to tam necháme, kdyby náhodu zapršelo, tak bychom museli. Bylo těžko bychom utíkal, až teby jsme vydypromáčení ze spodu. Tak budeme tady ještě ještě vedle do sklepa, do chodbíčky, dejte si peláštěnky. A jdeme na to, nevodete za chvíčku, skončí ten dejšt, tak pořece uvidíme, jak se to bude vyvíjet.</t>
  </si>
  <si>
    <t>PD_HOME_long_PDHOME37</t>
  </si>
  <si>
    <t>0.732824427480916</t>
  </si>
  <si>
    <t>0.8804473984250253</t>
  </si>
  <si>
    <t>8.1875</t>
  </si>
  <si>
    <t>0.5625</t>
  </si>
  <si>
    <t xml:space="preserve"> Patek jsme byli na naště v Malešovicích, tam mám ceru, dvou mám vnuky. Byli hrád fotbal. Máčí Tomášek je můj srdumlet, hraj za dolní kounice. Bylo postaven týmu a dál si dva goly. Po stupověcích máme další dva vnuky, to je odcina. Ten starší hraj je fotbal za bohuňce, tatran bohuňce. Velký sportovec, nemůže vynechať žádný zápas. Mlačí František, ten by zkoušel od každého všechno. Ten byl basketbal, fotbal, hazenou hrál. Prostě, co se můj zalibi všechno zkouší. Ale nevidržu, že by ničho dlouho. Race váže, je takový jako spíšna zvířátka. Bych chtěl do ovečku, by by nároznějí. Práci ovečku, že by by měl ovečku ménem dunaika. Nebym prž dunaika, ale jasně se můžu zalibyla. Maminka by měl nároznějí s ním, povědá, aby maminka by měl druhou ovečku, aby měla kamarádku.</t>
  </si>
  <si>
    <t>PD_HOME_long_PDHOME9</t>
  </si>
  <si>
    <t>0.5178571428571429</t>
  </si>
  <si>
    <t>0.8655478962422583</t>
  </si>
  <si>
    <t>0.022321428571428572</t>
  </si>
  <si>
    <t>0.49107142857142855</t>
  </si>
  <si>
    <t>18.666666666666668</t>
  </si>
  <si>
    <t>2.3333333333333335</t>
  </si>
  <si>
    <t>0.5797941730685606</t>
  </si>
  <si>
    <t xml:space="preserve"> Není vždycky snad nehovořit z patra o něčem, co by ostatní lidi mělo zajímat, ale zkusme třeba výuku hraní na saxofon. Já jsem se začal učit hrad na saxofon ve 4,40 letech a bylo pro mě poměrně obtížné sehnat učitele. Proč srovna saxofon nevím, docela jsem mě líbil tento nástroj a snad od mládí jsem tak trošičku po něm pošil hával. Ve 4,40 letech jsem si je okoupil, nevěděl jsem o něm vůbec nic a začal jsem obvolávat učitele s hudebních škol. Všude říkali, kolik vám je 44, to je moc, to ne, to ne můžeme, takhle vás ne můžeme učit. Až jeden pan ládí a kudlík říkal, a tak víte co, ven tě ten saxofon napřítte, ale musíte mě slíbit, že nebudete do té doby na to hrát. Proč bych neměl na to hrát, ale slíbil jsem mu to a nehrál jsem. Přišel jsem za ním a začal mě učit, chodil jsem v němu rok a půl. Za to dobu jsem se naučil, že vlastně z saxofonu je možno vyludit nejenom zvuk, ale i tón. Až ten tón může mít různou výšku a že ta výška nezávisí jenom na počtu zmačknutých klápek. Ale závisí také na síle v dechu a na síle stisknutí plátku. Saxofon ačkolif je nástroj s většinou splechu udělany, tak patří mezi dřevěné hudební nástroje, dřevěné proto, že...</t>
  </si>
  <si>
    <t>PD_HOME_pilot_hanacekpredstim1</t>
  </si>
  <si>
    <t>0.5078534031413613</t>
  </si>
  <si>
    <t>0.6701030927835051</t>
  </si>
  <si>
    <t>0.7651428661274663</t>
  </si>
  <si>
    <t>0.4635416666666667</t>
  </si>
  <si>
    <t>8.304347826086957</t>
  </si>
  <si>
    <t>1.565217391304348</t>
  </si>
  <si>
    <t xml:space="preserve"> Máme mnoho dikočky. Tí kločky jsou krásné. Dostali mi odčat, od malých dnoučat. A bych by by připět bych by bych bych bych bych bych bych bych utracil. Takže jsme prostě dostali, aby chválili. Jedna je rezava, a druhá je strakatá černá. Ta rezava je samiče kosovra, druhá je kočka. A oba byli tí kočky, jsme jechali vykastalat, a už byli nárosný. Takže tí kočky jsou celé pěkné, přitulné. Věnčil pěkně, když si hradli, když jsou, když se hradli. Kremu je tak hrad dne, kremu je hradlá večer. A když, když dlouho nemá ji řádlo, tak počekají se o srdu. Když se hradli, když jsme dva dne, dříme, tak počekají se o srdu. A když se nesmít, tak se hradli. Těkočky jsou dovedali, že když nesuchytneme to je na toho ur. A představí na toho ur. Řeška, krtka, mýš, režisk a tak dalé. Takže se na toho ur. A tam se ty pochlubí. Je to se nežerovat, s tím, když se nesmít. Takže, ty kočí jsou prostě velmi spritulné a my se fajn. Tady jsou mnou šestná, že jsou prostě, že můžu dostať. Že jsme musíli mít, že jsme musíli mít.</t>
  </si>
  <si>
    <t>PD_HOME_pilot_hriczopredstim1</t>
  </si>
  <si>
    <t>0.7364341085271318</t>
  </si>
  <si>
    <t>0.3798449612403101</t>
  </si>
  <si>
    <t>0.8674205229632774</t>
  </si>
  <si>
    <t>0.015503875968992248</t>
  </si>
  <si>
    <t xml:space="preserve"> Zpomínková. Jako bychom nezamestával zamistánec dvůzku můžu stávout zravočnické techniky. Vzpomínková. Zatvělám z otvřeným ústěm úžasem nezobrazovala se techniky než či od ne. Před 30 je, když jsme načinali dávaly pro osmům stroje, dvinových kaménů, takhle naš maximální kumpuře byl 486 a X-ko, a to byli to nevětší dnevší techniky, co se mnou měli dostat. Neská se dívám na techniku, na ty počeku techniku, jako na malý zázrak. Dvinových kaménů dvinových kaménů dvinových kaménů dvinových kaménů dvinových kaménů s udělání stavu kůž kunačná st Soupale by har tento stavu spevdající podchěřifu Stara tura takto jsme pendingali pod symmetryt文, v dneši v Evropě, jen nájdoktor, vymysel všechno v rodovr a program, jaký spůsobem by se v té říkali, na to, tělá, to tělá, tělá, stělá, stělá, pringeringenu všah pacienta.</t>
  </si>
  <si>
    <t>PD_HOME_pilot_povazanovapredstim1</t>
  </si>
  <si>
    <t>0.835904592877934</t>
  </si>
  <si>
    <t>0.04296875</t>
  </si>
  <si>
    <t>0.5719844357976653</t>
  </si>
  <si>
    <t>19.692307692307693</t>
  </si>
  <si>
    <t xml:space="preserve"> Dobrý den moje práce mě baví, chodím do práce doplzně umakra. Já vstávam v opůl šestí, potom když tam přijedu čekají na mě balíky. Když tam přijedu balíky si sama sundevám zpásu, pak je dávám na zem. A potom dostanu do ruky pípák a všechny balíky musím napípá a všem přijde SMS-ka. Když přijde to SMS-ka některí lidé mi volejí a volejí, že to chtějí dovez někam jinama nebo to chtějí dovez třeba až večera, ale to já už spolnět nemůžu. Potom následuje to, že se pro deru z Pazenickou dopravou a pojedu zpátky do depa a tam z běle balíky zase vyndavám. A ty co jsou na svost, to znamená, že na parcel šopu čekají další balíčky, tak si se dávají do jiného okna. Potom na mě čeká na edispečinku slečna, která mě řekne kam, co, jak a kam mám dát peníze a jest je mám správně. A potom sednout do svého auta, vodem knosí bránu a projedu zpátky zase skrspolzení. Když potom přijedu do můj do plas, tak tam na mě čeká pes, druhý pes, dvě ovečky, šest slepice, potom nová kůřátka a pak tam na mě čekají šterej kočky, amanžel. Když přijdu do můj, podívám se, jestli zbel nějaký obět a ten obět já budí s ním a nebo myslím, že vždycky ho sní můj moj. Potom se lehnout na gauch, a dělám, že spíjím, aby mě nikdo nerušil. Rovnou si naředím budíky na druhé dne a na druhý den a potom ránov stanu a k celé kolo teď se opakuje.</t>
  </si>
  <si>
    <t>preDLB_HC-1#1</t>
  </si>
  <si>
    <t>0.7345679012345679</t>
  </si>
  <si>
    <t>0.8736898811658288</t>
  </si>
  <si>
    <t>0.006172839506172839</t>
  </si>
  <si>
    <t>0.5060975609756098</t>
  </si>
  <si>
    <t>27</t>
  </si>
  <si>
    <t xml:space="preserve"> Včera odpole dne jsem se vypravil na horskem kole na medvědí česnek, který roste upotoka mezi holasicemi a vojkovicemi. Jel jsem mimo silnice, to znamená hlavně po ciklostece, abych nebyl v provozu mezi vozidli. Když jsem se blížil k tomu místu, které jsem objevil asi před dvěma týdny, tak jsem předížděl skupinu maminek a dětí z ruksáčky na zádech. Měl jsem se věděl, jak moje první obava byla, aby náhodou třeba najeli také na medvědí česnek, protože to místo, kde rostel, je poměrně malá omezená taková plocha vedle potoka. V mojej odbavy nicméně byly planej, protože když jsem příl na to místo, tak tam nikdo nebyl pouze ptáčci cvrlíkali, bylo tam nádherně slunečno a medvědí česnek byl v krásném, ve velké fázi listy už až s nad do 20 cm. Takže já jsem měl takovou hadrovou tašku, tak mi to netrvalo snad ani 10 minut a měl jsem to množtví, co jsem asi tak si chtěl odvězd, měl jsem na zbí ráno.</t>
  </si>
  <si>
    <t>preDLB_HC-13#1</t>
  </si>
  <si>
    <t>0.8984534335842269</t>
  </si>
  <si>
    <t>0.025806451612903226</t>
  </si>
  <si>
    <t xml:space="preserve"> Můžu život, je velmi pestry. Mám 4 vnoučata, které jsou ještě poměrně malé, nejstarší vnouče má 6 roku. Je to holčička, druhé vnouče má 3 roky, je to také holčička, ty jsou od starší cery. Od mláčí cery má 2 vnoučky. Ten starší bude mít v květnou 3 roky a ten maličky je maličky, ten se teprve srpnu národil. No, je to hodně starostí a jí hodně radości. Doma u nás jako úmě a umého manžela máme hospodáství, máme domeček a hospodáství, takže chováme různá zvěřata, to znamená třeba máme s vapice kačený, takže děti mají velkou radoz když v nám přijdou. Ach, prostě pořád takhle do kola. Nejlepe se mě mluví tady o tomto, protože je to hrozná radoz pro mě, mém věku. V nedělí jsme jeli stoutří letou vnoučkou na kole, na město podívat se na hračky, potom jsme přijeli k ním zazná spět o ní bydlí v tom stejném městě jako my.</t>
  </si>
  <si>
    <t>preDLB_HC-14#1</t>
  </si>
  <si>
    <t>0.621301775147929</t>
  </si>
  <si>
    <t>0.5443786982248521</t>
  </si>
  <si>
    <t>0.8274180233907749</t>
  </si>
  <si>
    <t>14.083333333333334</t>
  </si>
  <si>
    <t xml:space="preserve"> To je normální proces, kdy se spojví dva materiály různou metodou. V metodí máme 3. Máme růčný svažování, obalenou elektrodou, svažování ochranej atmosféře, svažování v inertní atmosféře. Plinu to znamená argonu, helia a podobně. A nebo taky máme svažování v aktivním plinu, to znamená to CO2, nebo s měs CO2 plus ostatních plinu. Vytvaří se houseňka, která se říká svár, které se říká svár nepo náopak. A po této stránce, jako je to spojení, má být kvalitní, nemělo by mít po vrchové ani vnitřní vady. A vnitřní vady se zkouší. Rengenem, ultrazvukem, povrchové vady se tvoří, nebo zkouší se různema nedestruktivními a metodama, to znamená magnetem nebo petrolem. A nakonec, s každý svár prověřit laková zkouška toho výrobku, nebo vybrační zkouška, který se odstraňuje vnutí po svažování v této oblasti. Některé výrobky se musí žíhat, některé se musí žíhat opakovaně, aby se odstraňalo tady tohle vnutí, které vyvedlo k destrukci celého výrobku. Výrobky, které se používají, nebo užívají v chemickém průmyslu, prostě nazíváme reaktory, autoklávy, výměníky a tak dále.</t>
  </si>
  <si>
    <t>preDLB_HC-17#1</t>
  </si>
  <si>
    <t>0.5934579439252337</t>
  </si>
  <si>
    <t>0.5700934579439252</t>
  </si>
  <si>
    <t>0.7244094488188977</t>
  </si>
  <si>
    <t>0.829214499576521</t>
  </si>
  <si>
    <t>0.004672897196261682</t>
  </si>
  <si>
    <t>0.07476635514018691</t>
  </si>
  <si>
    <t>0.5280373831775701</t>
  </si>
  <si>
    <t>19.454545454545453</t>
  </si>
  <si>
    <t>3.4545454545454546</t>
  </si>
  <si>
    <t xml:space="preserve"> Vráda, že jsem šla na tento výsku, musíc jsem z toho měla trošku obávy, protože jsem nevěděla, jak to bude vypadat a tak dále. No tak jsem ráno jako vztala a na snídala se udělala potřeby a celkem v pohodě jsem to tady našla. Sou tady příjemní lidé. No a teď kom, když potom výskumu pojedu zase domů, možná se stavím v tezku, možná pro banány něco se najím a půjdou do cvičení a ještě mám jako něco potom. A pak budu ráda, když si sednu a budu číst čtuř jako bohu mocně se mě moc líbi. A pak budu jako relaxovat, zítra se tě na chystám si na malování, zítra do malování. No a potom ještě odpolejde, aha, až těl půjdu do města, protože máme domluvenou schůzku na plánované cesty, máme na letošní rok. A potom zase pojedu přes městom domů. No a ve čtetek, co mám to v ten čturtek, ve čtetek, mám massage, aha, no to tak se ani nevyspím, ráno musím brzistávat, takže se těším napáte, kdy nebudu můse tít ráno nikam. No ale už bude výkend, na výkend jsem taky domluvená, no tak se těším, co bude mezi tím doma. No s kým se se jdu a kohauvitím, no tak to je takový nějaký běžný čas na nejbližší dobu.</t>
  </si>
  <si>
    <t>preDLB_HC-19#1</t>
  </si>
  <si>
    <t>0.6285714285714286</t>
  </si>
  <si>
    <t>0.8510874299603582</t>
  </si>
  <si>
    <t>0.06190476190476191</t>
  </si>
  <si>
    <t>0.48325358851674644</t>
  </si>
  <si>
    <t>16.153846153846153</t>
  </si>
  <si>
    <t>2.1538461538461537</t>
  </si>
  <si>
    <t xml:space="preserve"> Takže budu tedy vykládat chvílku o tím, že poutnici vznikli v Brně v myslní části v maloměřicích, kde já jsem bydlél a moji kamaráti chodili jsme Brnkar do parku s kitarama a všichni nás vobdivovali a v nov těn 70. roku začalo byt populární takový to country. Takže my jsme si řekli, že založíme kapelu. Nazvali jsme se ten krát Blue Monster, což bylo takový modry přišerí, my jsme měli takový modry Vesty, ale přišli jsme na první soutěš a tam už nebylo populární a ty anglické názvy, takže jsme vymysleli náze v poutnici. Takže poutnici vlastně od toho roku 1970 začali Brnkat hrávat, začali jsme soutěžit na různých oblastních soutěžích. Porta nás strašně ovlivněla. Ta porta nás dotáhláš k tomu, že jsme přešli vlastně na parofi dráhu. Sme držitele všechny ocenění na portě, co se můžou dát, protože jsme byli dobrý. My to víme, my jsme skromní, ale byli jsme dobrý. A ta porta ovlivněla všechny naše životy. Dněžka Robert Křesčán je profesionální muzikant. Já jsou duchodce profesionální muzikant, i řipí dělát, ale je taky duchodce profesionální muzikant a přitom jsme byli bez zdělání. My jsme ale strašně cvičili, jsme na sobě makali, protože nás to bavilo a ty lidi okolo nás to tak vnímali a měli nás rádi.</t>
  </si>
  <si>
    <t>preDLB_HC-2#1</t>
  </si>
  <si>
    <t>0.6441717791411042</t>
  </si>
  <si>
    <t>0.8552910481635791</t>
  </si>
  <si>
    <t xml:space="preserve"> Dobrý den. Tema, které zvolíme může být třeba cestování v současné době, které je komplikované cestování v našich regionech a podobně. Čekáme, že se uvolní a rozproudí se cestovní ruch tak jak býval kdy si. To znamená, že se uvolní i cestování do zahraničí. Chcete být jenom říct, že je to koníček spoustalí dí, kteří se rádi připravují na tyto aktivity a kteří provozují turistický ruch jak profesionálně, tak jenom aktivně ve svém bolném čase. V současné době je vidět pohyb a spoň v našich regionech, našem okolí, domová a podobně. Všichni se na to těšíme a doufáme, že všechno přejde a budou to jenom vzpomínky, které bohužel nebudou zrovna moc světle, ale myslím si, že si zaspomínáme i na aktivity, které jsme mohli vykonávat u nás doma. Ostatní věci, které nás čekají budou možná komplikovanější, protože vzledem ke ekonomice a k situaci, která nastane, bude všechno v rozjezdu, bude všechno aktivováno způsobem, který bude potlačen, možná zhoršenou ekonomikou v celém našem státě.</t>
  </si>
  <si>
    <t>preDLB_HC-21#1</t>
  </si>
  <si>
    <t>0.5868725868725869</t>
  </si>
  <si>
    <t>0.7039473684210527</t>
  </si>
  <si>
    <t>0.8539854600295135</t>
  </si>
  <si>
    <t>0.023166023166023165</t>
  </si>
  <si>
    <t>0.015444015444015444</t>
  </si>
  <si>
    <t>0.5115384615384615</t>
  </si>
  <si>
    <t>19.923076923076923</t>
  </si>
  <si>
    <t>2.769230769230769</t>
  </si>
  <si>
    <t xml:space="preserve"> Dobrý den, ménuji se Pavla Kunešová, za svoboda jsem byla Havlíková. Narodila jsem se starším rodičům a mince bylo skoro 40, tatinkovi skoro 50. Měle jsem starší sestru o 2,5 roku. Bydleli jsme na Janské ulici v krásném 3,5-pokojovém bitě, ještě s babičkou. Někdy k nám taky jezdil ještě pradedeček, který vlastně byl hodně starý, ale malíčkosýho jako dítě pamatuju. Bydlení tam bylo krásné, dum byl plný děti v našem věku podobně. Takže jsme chodili potom společně i do školky. Hrávali jsme si na dvoře, hrávali jsme si ještě dokonce i na ulici i s míčem, protože tehdy nebyl vůbec skoro žádný provoz a Janská ulici byla velice klidná. Hrávali jsme si tam a chodili jsme na Špilberg, tam jsme si hráli také. Potom jsem chodila do školky, také to bylo na Janské ulici a protože už jsem si připadla velka, tak jsem dokonce chodila sama. Jednou jsem mě stalo, že jsem potkala pejska a londzice nebyl moc veliký, ale já jsem byla ještě dost malá a on nějak je mě šel a já jsem se začala strašně bát. Od té doby už mamiňka musela chodit se mnou. No ale mám na to krásné vzpomínky a největší legerace je, že ta školka je tam do dneška a když do okolo tak se dívám do těch okén, které to bylo v přízemí a pamatuju si, jak jsem tam lehávala po obědě a jak jsem tam nechtěla pítěplé mléko a když ho jednou nutili, aby ho vypila, tak jsem se pozvracila a od té doby se měla pokoj.</t>
  </si>
  <si>
    <t>preDLB_HC-22#1</t>
  </si>
  <si>
    <t>0.6857142857142857</t>
  </si>
  <si>
    <t>0.44571428571428573</t>
  </si>
  <si>
    <t>0.8083333333333333</t>
  </si>
  <si>
    <t>0.8701737929426815</t>
  </si>
  <si>
    <t>0.5056818181818182</t>
  </si>
  <si>
    <t>43.75</t>
  </si>
  <si>
    <t xml:space="preserve"> Vyskům do Brna, moji ménu je Sylvester Tintera, jménu je dosti neobvykle, protože Sylvesteru je v našerepubice poměrně málo, ale ze svým ménem i křesním i přímením jsem měl v životě velké zajímavosti. Když jsem se narodil, tak se se měl měl měnovat Milan, ale babička, která byla mezi tím vlázních, to neprzenesla přesrce a museli mě jít do kostela překřtít na Sylvestera, protože její manžel se mnoval Sylvester, můj tatinek taky Sylvester, tak jsem skončil v rukách kněze, který mě znovu pokřtil a Sylvester byl na světě. Darší etapa meho života byla základka, tam mě všichni znali, protože znali moje rodíče, tak to nebyl žádný problém, ale nastalo období vojiny a to byla průtrž všeho nešváru, který se na mě zesipal. Přinávstvu, když jsem řekl svojí méno, že se meneví Sylvester těra, tak jsem byl otázán zda, si dělám zvojný švandu, musel jsem udělat deset až patná z kliku, aby odčinil to, co jsem řekl, ale po ukázání vojenské knižky, jsem byl omluven tím, že se tak menují a kliky už mi nikdo nevrátil.</t>
  </si>
  <si>
    <t>preDLB_HC-23#1</t>
  </si>
  <si>
    <t>0.7403314917127072</t>
  </si>
  <si>
    <t>0.3701657458563536</t>
  </si>
  <si>
    <t>0.8874066224685124</t>
  </si>
  <si>
    <t>0.022099447513812154</t>
  </si>
  <si>
    <t>0.5359116022099447</t>
  </si>
  <si>
    <t>22.625</t>
  </si>
  <si>
    <t xml:space="preserve"> Jo jo, olympijské hry v Pekingu 2022. Vzledem k tomu, že nás naše hokejste trošku sklamali, přes myslím, že myšlenou obecně vidím v tom neuspěchu, vidím i pozitivní věci, že konečně asi jsme tu poslední ránu potřebovali. Myšlenou ze sportovního hlediska a jak se posunou dál v hokejovém dění v rámci celého českého hokeje. Je smutné, že všichni komentátoři vidí jediný problém v českého hokej pouze v jedné osobie a to v panu generálnímu manžerovi a trenerovi, panu Pešánovi. Nejsem jého fan v klubu, ale tohle to řešení situace jeho předpokládanym vyhazovém problém vůbec neřeši, protože se by se to mělo vzít kompleksně. To znamená tě lidé, kteří ho nominovali. Není to jenom pan král jako předseda, ale celý výkon je výbor, by měli odstoupit zároveň s ním a přenechat tuto funkci, jiným, kteří mají teda vizi a tě by si na nominovali svoje lidi, jak do těch odpovědných výborů a tak i co se týče vedení reprezentace. Nejnom a mužstva, ale i všechno jednotlivých výběrů počínají a 15 kou, 16 kou, 17 kou, 18 kou, 19 kou a 20 kou.</t>
  </si>
  <si>
    <t>preDLB_HC-24#1</t>
  </si>
  <si>
    <t>0.6887417218543046</t>
  </si>
  <si>
    <t>0.4304635761589404</t>
  </si>
  <si>
    <t>0.8247204324310952</t>
  </si>
  <si>
    <t>0.5960264900662252</t>
  </si>
  <si>
    <t>15.1</t>
  </si>
  <si>
    <t xml:space="preserve"> V roce 1954 svojím rodíčům v Brně, v porodnici. Potom děctví jsem prožil v Tisnově, částičně v obci Vohančice, u své babyčky s dědem. Do školí jsem chodil na základní školu v Tisnově, potě jsem se vyučil prodovač masamásných výrobků. V roce 1972 jsem narukoval do armády České republiky na základní vojenskou službu. Tu jsem vykonával vboru utachová. Po abslování základní vojenské služby jsem nastoupil do uranových dolů na dolní rožince, kde jsem pracoval zhruba 15 let. Mimo jiné jsem si v té době rozšíchl vzdělání. Absolu vás jsem večerní studium na vežděáře na Cázavou, kde jsem vystudoval obor dobyvání rud a nerudných surovin v nevýbušném prostředí. Po určitě jech letech a o nemocnění jsem byl přeřazen na jiné pracoví štěnež v dole a to jsem byl lnucen potom opustit ze zdravotních důvodů a byl jsem věřazen z skádrů uranových dolů. Od těch dob pobíral jsem invalidní důchod ze zdravotních důvodů.</t>
  </si>
  <si>
    <t>preDLB_HC-25#1</t>
  </si>
  <si>
    <t>0.7739130434782608</t>
  </si>
  <si>
    <t>0.3826086956521739</t>
  </si>
  <si>
    <t>0.797752808988764</t>
  </si>
  <si>
    <t>0.8990969163495041</t>
  </si>
  <si>
    <t>0.5862068965517241</t>
  </si>
  <si>
    <t>7.666666666666667</t>
  </si>
  <si>
    <t xml:space="preserve"> Tak snídanějí zase ta ovesná kaše, bílej jogurt, kafičko, zlené čaj, potom cigárko. No a poslechnu si správi. Vezmůh do ruky. Sudoku budu luštit sudoku. Já si říkám hrozný blbosti. No a už se těším jako v bůlběhu vyšetření. Ještě nejsem si stačil vypnout mobil. Tak mysínek poslal správu, dlouho očekávano, že mě zve na večeři, všezd hodin. Takže už se hodně těším. A už mám láteďkou, teď jako dost velkým. No tak tyto nebudu přehánět s tím objedem, protože budu si šetřit místo ta večeře s ním, v restauraci bývá vádycky. Je vlice výborná. Já musím zepetat, aby mi určestní o to místo, kde se máme sejí. To je si přidej Brácha. Věho Brácha.</t>
  </si>
  <si>
    <t>preDLB_HC-28#1</t>
  </si>
  <si>
    <t>0.6544117647058824</t>
  </si>
  <si>
    <t>0.7303370786516854</t>
  </si>
  <si>
    <t>0.8361777162810937</t>
  </si>
  <si>
    <t>0.029411764705882353</t>
  </si>
  <si>
    <t>0.5441176470588235</t>
  </si>
  <si>
    <t>15.11111111111111</t>
  </si>
  <si>
    <t xml:space="preserve"> Dobrý den přišel jsem na vyšetření s halavou, ráno jsem se probudil a studoval jsem jak se sem dostanu. Autobus mi jak si ujel, takže jsem tady byl za 5 minu 12 jak se říká, ale všechno dopadlo dobře. Nyní probírám ošetření, ošetření, dneska vyšetření a čekám na výsledky, které se asi moc nedostaví. Nevím, co bych ještě povídali, že ještě ještě nál našli na to, že ještě připraven, co jsi dělal? No, nesměl jsem nic právě, takže už jsem dostal a jihlát a něco bych si šel koupit. Co mám rád? Tak hrát mám muziku, poslouchám dobré filmy, detektivky, čturát. V dníšku jsem si vzal sebo, veletronickou, ale ještě se mi neotevřel, nějak to tady nestíhám. Nevím, to je asi tak všechno. Ještě něco. Už se těším, že to skončí, protože to není moje parkete.</t>
  </si>
  <si>
    <t>preDLB_HC-34#1</t>
  </si>
  <si>
    <t>0.8899219651344646</t>
  </si>
  <si>
    <t>0.6038961038961039</t>
  </si>
  <si>
    <t>1.5454545454545454</t>
  </si>
  <si>
    <t xml:space="preserve"> Vyklím s manželem v panelovém domě v Pistrci, ale le to trávíme většinou na zahradě, kterou máme v Kohoutovicích. Je to na nás už taky velká zahrana, 1240 m. A bez pomoci děti už htěžko zvládáme manžel se stará ostromy, reže postřikuje a tak dále. A otrávníky a já se starám o záhony. Pěstojí zeleninu, ale to jsem zásal mrke v Petršal, černou hřebu, kopr a řektyčky. Řektyčky už jsme sklidili, bylo hletos hodně a byli hodně dobře. Kromě toho pěstujeme jahody, máme veliký záhony jahod, které teď zbíráme a užíváme sých. A pak máme jeden velký záhony z květinama. Květiny jsou moje vášeň, které vlastně zahrada je dlouhá 60 m a k kola chodníku pěstojí květiny. Takže mám spoustu druhů květin, květiny se i zajímám, koprla jsem si několik kních o pěstovalní květin. Takže mám větřválky, tak každý rok si pěstují do ma letničky, květin moc ne kupují, většinou si je sama vypěstují.</t>
  </si>
  <si>
    <t>preDLB_HC-4#1</t>
  </si>
  <si>
    <t>0.38425925925925924</t>
  </si>
  <si>
    <t>0.8525641025641025</t>
  </si>
  <si>
    <t>0.8911409826096004</t>
  </si>
  <si>
    <t>0.009259259259259259</t>
  </si>
  <si>
    <t>0.6046511627906976</t>
  </si>
  <si>
    <t>30.857142857142858</t>
  </si>
  <si>
    <t>4.428571428571429</t>
  </si>
  <si>
    <t xml:space="preserve"> Tak v těchto dnech začínají zahradní práce, na zahrace už mám spoustu sněženek, pomalu se chystají iriský jarní, lejtá tam celá spoustá ptáčku, mám tam sikory koniadry, sikory modrinka, brhlíka lesního, kosi červenku a všechno to ptactvo pořád krmím. Je teď ještě málo hmizu a toho hmizu bohužel asi nebude více ani v létě, protože je známo, že nám tady mizí díky hruzným agrochemickým ošetřením polí. Takže zdá se, že za chvíli už ani nebude hmiz, který by opiloval obiloviny, tak obávám se, že se máme na co těžit. Sobo to a v neděli hodlám na záhradce něco porít a začít čistit od plevele záhonky, kde je vysazený česnek a cibulka. A musím ostříhat ještě několik grůžiček a dalších keříku, tak je vyhra badkou se k trávníku, který v tuto zímu hodně utrpil, protože jsem v listopadu neměla čas v deštívem počasy trávník rádně vyhrabat, takže mě zbývá ještě pozbírat několik desitek ořechu a to je takový dobrý tělocvik na celý víkend. No korom něto potřebuji přenest několik kusů drzeva, několik kamenů, skontrolovat jak vypadá potok za záhrádkou a ostříhat několik náletových drvin, které tam bohuřel už povodí, respektive lesy města Brna přestali pečovat a všechno to tam nezapravila. Vždyť se to vám zbují a dívočí, takže i o to se člověk musí dneska postarať sám.</t>
  </si>
  <si>
    <t>preDLB_HC-6#1</t>
  </si>
  <si>
    <t>0.676056338028169</t>
  </si>
  <si>
    <t>0.45774647887323944</t>
  </si>
  <si>
    <t>0.8020833333333334</t>
  </si>
  <si>
    <t>0.8244936278148367</t>
  </si>
  <si>
    <t>0.6408450704225352</t>
  </si>
  <si>
    <t>8.875</t>
  </si>
  <si>
    <t xml:space="preserve"> Narodil jsem se 24. černá, 1949 v Opavě. Po absolvování základní nevytilete školy. Jsem nastoupená střední všeovesně vzdělávací školů v Opavě, kterou jsem zakočil maturitou. Následně jsem se přilásil na Vysokojškolu Vánskou, fakulta sojernské technologie, kterou jsem absolvoval pro se 1972 státní zkouškou. Poté jsem nastoupil na výstavu ostasou Karvinských dolů do odboru organizace a racionalizace řízení. Tam jsem působil 15 let. Poté jsem nastoupil do podniku potravěny ostrava, kdy jsem působil ve funkci technického náměstka. Později jako statutárního zástupce podnikového ředitele. Po revolusi jsem se podível na vzniku společnosti Euronová, kromokomanikní společnost, která byla společním podnikem Zlanskou společnosti A. Holt. A Holtu jsem nastoupil a působil jsem tam do roku 2001, jako výce prezident pro expanci. Po ukončení své činnosti U. A. Holtu jsem nastoupil do firmy Špár, kde jsem rovně zajíšťoval expanci firmy. A podíle se na výstavě Inter Špárů.</t>
  </si>
  <si>
    <t>preDLB_HC-8#1</t>
  </si>
  <si>
    <t>0.7071428571428572</t>
  </si>
  <si>
    <t>0.8398919464426188</t>
  </si>
  <si>
    <t>0.5642857142857143</t>
  </si>
  <si>
    <t xml:space="preserve"> Včera byla neděle. Ráno bylo pošmourné, padal sních, nic moc příjemné počasy. Ale musela jsem věd, a Uten ven. Nejprve jsem si musela odškrabat sních, sehnat k tomu lopatu, koště. A po té co jsem i podařil, sních odhrabat, jsem vyjela ven. Na silnicích byl taky sních. Občas projel odmetací vůz a mnoho aut na silnici nebylo. To byla ta lepší stránka věci. Přijelaj jsem k obchodu, zaparkovala jsem a vydala jsem se směrem do nákupního centra. V nákupním centru bylo málo lidí, protože venku nebylo pěkné počasy. V obchodě bylo plno zboží nabízející Mikulášskou nadílku, vánoční ozdoby, příležitostné nebo oblečení zimní hlavně. Tak jsem se podívala, co bych si tak koupila. Nakoupil jsem nějaké potraviny a něco k Mikuláši. Přijelaj jsem k samou obslužné pokladně, tam jsem udělala potřebné úkony a zaplatilaj jsem a vydala jsem se k domovu.</t>
  </si>
  <si>
    <t>preDLB_HC-9#1</t>
  </si>
  <si>
    <t>0.3709677419354839</t>
  </si>
  <si>
    <t>0.8700743712209003</t>
  </si>
  <si>
    <t>0.592</t>
  </si>
  <si>
    <t>17.714285714285715</t>
  </si>
  <si>
    <t xml:space="preserve"> V roce 1946, po roce jsme se odstěhali do Karlových varů, kde otec jako výučený batovec dostal zaměsnání vědoucí obuvi ve firmě batia. Vývorech jsme vydleli 3 roky v krásném bytě požidech, kteři se nevrátili z koncentračního tábora. Protože politická situace se zhoršovala, tak rodičně měli strah, že bude válka, tak jsme se vrátili zpátky do ižních čech, kde maminka pochází s vesničky, která se nazývá strela u strakonič. Bylej jsme ve strakoničích, otec i maminka byli zaměsnání v obchodě. Nějakým čase otec byl dostal zaměsnání pořád ve firmě ušve svid v písku, které jsme se teda přestěhovali. Byly to službní byty, 3x za tu dobu, co jsme v městě písku stěchovali a vždyšky do lepšího. Nakonec jsme skočili na náměstí, na protě radnicy.</t>
  </si>
  <si>
    <t>preDLB_pre-LBD-102#1</t>
  </si>
  <si>
    <t>0.7902012863273217</t>
  </si>
  <si>
    <t>0.027972027972027972</t>
  </si>
  <si>
    <t>0.013986013986013986</t>
  </si>
  <si>
    <t>0.42758620689655175</t>
  </si>
  <si>
    <t>15.88888888888889</t>
  </si>
  <si>
    <t>3.3333333333333335</t>
  </si>
  <si>
    <t xml:space="preserve"> Když jsem byla malá, nebo před školák, tak mě můj otec nutil, že bych se měla učit hrát na hůstle. Ale protože když jsem naše třída přišel učitel zpěvu a vybral si asi 5 dětí, ale já jsem to nebyla. A to odce tak strašně zaskočilo, že se vynužil za tím učitelem a řekl, že já musím hrát na hůstle. Tak jsem hrá, tak jsem začala hrát na hůstle. Byla jsem z toho strašně neštěstná, protože až pozdějí jsem si objedomovala, že nemám sluk a že hra na hůstle je to nedostlíkavého. To je velice, velice špatné. A to, jak otec, který byl vysokoškolský, zdělany, tohoto nepadlo. Já kdybych chtěla na něco hrát, kdybych bych byli zpětně, tak by chtěl hrát na klavír. Tam člověk nemusí ten tón hledat, ale jak je to na hůstlích, ale jako je to jedno, jedno, jedno, jedno.</t>
  </si>
  <si>
    <t>preDLB_pre-LBD-104#1</t>
  </si>
  <si>
    <t>0.7410071942446043</t>
  </si>
  <si>
    <t>0.4172661870503597</t>
  </si>
  <si>
    <t>0.894704635666704</t>
  </si>
  <si>
    <t>0.007194244604316547</t>
  </si>
  <si>
    <t>0.014388489208633094</t>
  </si>
  <si>
    <t>0.6402877697841727</t>
  </si>
  <si>
    <t>17.375</t>
  </si>
  <si>
    <t xml:space="preserve"> Jmenují se Jozef Tománek, jemi 73 let. Iž jsem ve starobním důchodu, pracoval jsem drív jako učitel, chemie a ekologie na střední průmyslové škole chemické tady v Brně. Jsem ženatý, manželka byla magistra farmacie, je už taky ve starobním důchodu. Máme jednu ceru barboru, cera je vdaná, manžel se nenuje Miroslav. Jsou dvě děti, vnučka Marketka, má 10 let, chodí, jsem v Bohunicích na základní školu vedlejší ulicé. Máme vnučka Richarda a rýša, mám 8 let, chodí taky na základní školu do testéjné školy na vedlejší ulicé. Zvnoučat máme radoz, jsou šikovní a celkem nám dělají radoz. Oni bydlí na ulici Ukraínská, mají dvou pokojový byt, je to byt celkem malý, ale zatím se jim nepodářilo se hnat nic většího, protože neská je taková býda, že bydy jsou strašně drhé a museli by zaplatit kolik miliónu za výměnu bytu.</t>
  </si>
  <si>
    <t>preDLB_pre-LBD-11#1</t>
  </si>
  <si>
    <t>0.4830917874396135</t>
  </si>
  <si>
    <t>0.8106060606060606</t>
  </si>
  <si>
    <t>0.8366443684830435</t>
  </si>
  <si>
    <t>0.004830917874396135</t>
  </si>
  <si>
    <t xml:space="preserve"> Dobrý den, menuji jsem Hleda Travničkova. Narodila jsem se ve znojmi, teď 50 let byl jim v Brně. Dožila jsem se stáří, mám jednoho vnoutka, z kterého máme radost. Rada jezdím na výlety, teď už jsem vsunemoc, takže on moc nemůžu. Jezdila jsem do Karlových varů k sestře. To už nebo ho užal umřel. Takže už Karlový varů těžko budu vidět. Jezdila jsem tam na festival, což byla pěkná zábava. Hlavně tam ty filmy byly dobrý. Pršel tam, teda po každý, protože tam je to v Kotlině, tam s konem jsou lesy, tam pořád pršel, pršel. Ale jinak je tam pěkně. A jí to okoli je v krásním byly se podívat na religiář sa tyho mávora, což je opravdu nád hra. Je to pěkně zrestourovaný, ten zámik je taky pěkně udělany i okoli v toho městečka. Je to taky malý městečko vislahu. Byly jsme na hradě loket se podívat. Byly jsme se podívat v mučerně, kde tam chudáky mučili, zazdělí tam jednu ženu. Bylo tam pěkně, je to taky opraviny městečko, dá se tam dojít pěšky, až svat ošklin skala, což je krásný skalní utvar. Pripomí na to svat buteče, tam řeká o hře, jsou tam z vplavci, na lodíčkách je z díky, když je pěkný poč.</t>
  </si>
  <si>
    <t>preDLB_pre-LBD-110#1</t>
  </si>
  <si>
    <t>0.6716417910447762</t>
  </si>
  <si>
    <t>0.5074626865671642</t>
  </si>
  <si>
    <t>0.8450859120960545</t>
  </si>
  <si>
    <t>0.6323529411764706</t>
  </si>
  <si>
    <t>11.166666666666666</t>
  </si>
  <si>
    <t xml:space="preserve"> Mám ráda lidi, přírodu a zejířat tam. Od malička jsem žila na hájence a měli jsme vždycky kočičku, pejsky. S psu jsme měli jezevčíky, do dneška je mám velice ráda. Sasícetet mít nemohu, ale kdybych mohla pořidila bych si zase tuto rasu. Pořidila bych si nějakého menšího, abych ho unestl, nebo ho mohlo ho zit sebou, na kole po případě v nějakém zavazadle. Do přírody chodím stále ráda. Věnuji se hodně zběru bilin. Ráda se učím stále poznávat nové květiny a roztlyny. Protože mám ráda přírodu, jezdím na chatu, kde často okopávám různé biliny a pěstuji. Snažím se poznávat motíly, brouky a nové květiny. Trénuji si tím také paměť a dělám je to velice dobře. Protože mám ráda lidi, mám dobrou partu přátel, se kterými jezdím také do přírody a do hóra ráda turistují.</t>
  </si>
  <si>
    <t>preDLB_pre-LBD-112#1</t>
  </si>
  <si>
    <t>0.7213114754098361</t>
  </si>
  <si>
    <t>0.4262295081967213</t>
  </si>
  <si>
    <t>0.7743419422746048</t>
  </si>
  <si>
    <t>0.5901639344262295</t>
  </si>
  <si>
    <t>10.166666666666666</t>
  </si>
  <si>
    <t>5.54778900119309</t>
  </si>
  <si>
    <t xml:space="preserve"> Nesěneděli, tak s trhsem o sedmé hodině a pohraní... ...to nevím, pohraní snidaní jsem se věnovala v práci... ...chystání oběda a nejdrživ jsem musela jít ještě nadvůl dát snidaní pejskovi a kočičkám... ...no potom jsem se kystala v koupědu postavila jsem si na porívku... ...neska jsem važila v polívku s dorupku a taky stala jsem si zelení no... ...mám v suchopuse...</t>
  </si>
  <si>
    <t>preDLB_pre-LBD-114#1</t>
  </si>
  <si>
    <t>0.6836734693877551</t>
  </si>
  <si>
    <t>0.4642857142857143</t>
  </si>
  <si>
    <t>0.8876924652465512</t>
  </si>
  <si>
    <t>0.5435897435897435</t>
  </si>
  <si>
    <t>11.529411764705882</t>
  </si>
  <si>
    <t>1.5294117647058822</t>
  </si>
  <si>
    <t xml:space="preserve"> Tak já jsem měla 3 siny. Ten je nejstárší je ženatej, má dvě vnučky. Jedna chodí do, teď jde do druhé, třídí, tandro jde do páté. Přoutoro snomí holčičky, ten prostřední sin má. Sem mu narodila teď malá vnučka, patnáci ho července. Takže mám snohor a dostatím sem mu ještě neviděla, nevím kde jí uvidím. Protože se bojím za ním se je letet podívat. Řeklám, že říkala, tam úbec neletím, že jsou tam velký horka, že by mě to vadilo. Když bych by stoupila z letadla a tam byli přes 40-45°C, takže by mě to mohlo blížit, tak je tam neletím. Tak se věnů, teď v oprázinách těm mnučkám. Když mají voní čas, když nemá náhodu o nějakej svůj koníček nebo kamarádky, vidím je jednou za čas, když jim to víde. Většinou o víkendusí je beru k sobě a jsou u mě. Tak uvidíme, jak dlouho to vydrží. Ty prázdníny tak rychle utíkají, nejsme se nadáli tak už je měsíc prázdnín za sebou. Byli na táboře, pak byli na dovolenou, na dovolené. A vidím jeho pravdu, když mají čas. A zatím mají ještě vom je zájem za pár let, už nebudou mít zájemu bobabičku.</t>
  </si>
  <si>
    <t>preDLB_pre-LBD-115#1</t>
  </si>
  <si>
    <t>0.8339119731188247</t>
  </si>
  <si>
    <t>0.609271523178808</t>
  </si>
  <si>
    <t>50.333333333333336</t>
  </si>
  <si>
    <t xml:space="preserve"> Dobrý den, menej se šťastná a nezbych chtěla říct, jak můj probíhá den od rána. Ráno se probudím, nastidám se, potom něco dobrého dopoledné uvaříme, najíme se s manželem a někdy k nám přijede sestra Olinka, takže spolu si vypíme to kafíčko, pak se oblékneme a jdeme na vycházku do lesa, jsou tam koníci, kravíčky tam má anetka svobodová a rádi se na to díváme a rádi chodíme do lesa, přes tam získá člověk takovou pohodu vnitřní a rád se dívá zase co nového tam přibylo jaké květinky nebo ty bilinky, nebo ty bilinky tam jako se rozkvetli a které se můžou zbírat. Chodíváme tam rádi a často, bědeme i sebou své pejské betinku a sestrama dadinku, takže se proběhnou, rádi se podíváme i okolo chát, kde je hodně nových domečku postavených, tam jdeme dovolné přírody, kde jsou srnečky, vždycky na ten tak se na ně díváme na poli jak hde.</t>
  </si>
  <si>
    <t>preDLB_pre-LBD-116#1</t>
  </si>
  <si>
    <t>0.86</t>
  </si>
  <si>
    <t>0.8473758388311464</t>
  </si>
  <si>
    <t>0.5185185185185185</t>
  </si>
  <si>
    <t>8.4375</t>
  </si>
  <si>
    <t>0.3125</t>
  </si>
  <si>
    <t xml:space="preserve"> Tak dobře. Po prvním životě asi mluvím do mikrofonu, ale tohle je jedno úplaspo, popisovat toho místnost, které se nacházím. Je s umělým osvětlením, oprostřed na stropě je 4 hranate světla. Stěny jsou šede, jsou rozdělené tyčkami. Vidím tady spoustu přístroju. Jeden vypadá úplně jako toustovač, je právě naproti mě. Vydle toho na stěně jsou zásufky, elektrické zásufky. Jejich jsou tam 4. Předemnou jsou další přístroje, napojene na elektrínu. Siedím v takové kabině, která je vystužena takovým jako houbyčkami. Na levé strany ode mny jsou skřínky, pověšeny, mají zelenou barvu. Na obou chňapků jsou rozdělené na dvě. Na obou chňapkách jsou klíče, pověšeny. Na zemi je asilinoleum, je gespringlet, vám vás ich nich to včechyž, ale to už je jedna, stejně na to mne záleží. Já sedím na takovéhezké zidličce, která se otáčí. Jímnak useteším,</t>
  </si>
  <si>
    <t>preDLB_pre-LBD-120#1</t>
  </si>
  <si>
    <t>0.4596774193548387</t>
  </si>
  <si>
    <t>0.7701149425287356</t>
  </si>
  <si>
    <t>0.8542865224138526</t>
  </si>
  <si>
    <t>0.024193548387096774</t>
  </si>
  <si>
    <t>0.07258064516129033</t>
  </si>
  <si>
    <t>23.0</t>
  </si>
  <si>
    <t xml:space="preserve"> přišel jsem na vyšetření msků protože zdobnívám, že postupně starácím paměť nevím sám bez přičínění tady tohoto zařízení jak si dá paměť svičit zdobnívám, že se tady něco naučím a pokud se s tím bude moc něco dělá takže odstraníme pro mě dost problemovou věc nevím, jestli říká se, že mozek je svál ale svady jako takový se dalí procičovat prostě nějakou záhtěží, ale na ten mozek nevím jaké cvíky se pomáhají procičení protože takový trá křižovky nebo takto nejsou úplně zastánce to, protože to jsou pořád opakující se slova takže člověk vyrůžtí 20 křižovek a už pořád opakující se popoušek na 3 a já nevím co, takže to jako mě nebaví a takže to nedělám v súdoku neumím takže tomu jsem nějak neporozuměl</t>
  </si>
  <si>
    <t>preDLB_pre-LBD-13#1</t>
  </si>
  <si>
    <t>0.3697478991596639</t>
  </si>
  <si>
    <t>0.8732752806341625</t>
  </si>
  <si>
    <t>0.5798319327731093</t>
  </si>
  <si>
    <t>39.666666666666664</t>
  </si>
  <si>
    <t xml:space="preserve"> Mojí zálibou je myslivost, kdy v přírodi se odreagují a psychicky uklydním, když toto je zálibav od měch mladých let a trvá do dnes. Jednak celkově přírodu mám velmi rád a dál se zůčasnijou turistických akcí se skupinou známých osob, kdy to provádí nebo se zůčasněme takových turistických výletů To je měř každý týden nebo jednou za těchž 14. Jednou jednak v okolí tady byly vštěl, brně, tak i v rámci Jomorovského kraje I v dalších částech republíky, naposledy jsme byli v pár dubicích, mnoly týden, což se nám taky vybilo A to jsou kromě to zajímám zahradnictví, zahradnitění let, které če no a běžné život s rodinou, kde se jak je volný část tak někam taky vyrazíme společně</t>
  </si>
  <si>
    <t>preDLB_pre-LBD-15#1</t>
  </si>
  <si>
    <t>0.7622950819672131</t>
  </si>
  <si>
    <t>0.8627499715735332</t>
  </si>
  <si>
    <t>0.03763440860215054</t>
  </si>
  <si>
    <t>0.5161290322580645</t>
  </si>
  <si>
    <t>20.666666666666668</t>
  </si>
  <si>
    <t xml:space="preserve"> Takže já mám 3 nebo 4 kamarády s děctví. Známe se odmaterské školky a stále se stýkáme a chodíme z hrát, tenis. Chodíme každý ponděli a já chodíme z jedním z nich ve středu. V ponděli je to takový společenský, má to dvě části, tu sportovní a další říkáme kultury. V tej kulturní chodíme na pivo, probereme co se událou v tenisu a probereme taky co se událou ve sportu. Obykle jeden z kamarádu vypije tak 3 až 4 pýva, já patřím mezi ty slapsší, takže já končím u dvojky. Vždycky si povykládáme co se událou u nás za týden a v minulí týden jsme to měli rozšírene, ještě osetkání z manželka. Včer pěkně proběhl, ale pršehlo tak, že jsme ani tenisy neharáli a setkali jsme se jenom z manželkama, všichni žení si povykládali, my jsme si povykládali, probrali jsme sport a všechno možný rado jsme měli ze zbrojovky, která bude v první líze. Všechno vždycky proběráme vškery tenisy, které se odehráji, analizujeme různé hry, jak probíhali, jak záhrála děvčat a žení, jak je rozdílt, třeba mě si muži, zvlášt u našich tenistů nebo ve světě.</t>
  </si>
  <si>
    <t>preDLB_pre-LBD-16#1</t>
  </si>
  <si>
    <t>0.6987951807228916</t>
  </si>
  <si>
    <t>0.43373493975903615</t>
  </si>
  <si>
    <t>0.8103448275862069</t>
  </si>
  <si>
    <t>0.8590599708236477</t>
  </si>
  <si>
    <t xml:space="preserve"> V Brně je na Bratislavské ulici, druhý vchod je s ceilu, takže je mezi Bratislavskou a ceilem. V roce 2019 vlastně si připomělo 70 let profesionální činnosti. To dívatlo bylo založené z hruba po roce 1945, což jako by neodpovídá tomu, co jsem řekl předtím, ale v té době tady v Brně byl výzkumný ústav pedagogický. V zniku budoucí hodiného v Brně je oslovil svého kolegu a přítele merošlava Matouška, který je v měřko byl hodiný syn. Protože předtím byl v dosta významná osobnost amatérského lódkářství českého. V té době je ještě nejprofesionální, teda zopakuju, tak nazvali je zase radost, protože předtím měl 3 radosti ve zlíně v Brěcslavy a teď už nevím zrovna to 3. To byl opravdu jako pán v oblasti amatérského, pro významná osobnost. A zároveň se stal zakladatelem a prvním ředitelem toho pozdějšího od roku 47 do 49 bylo to divadlo jako polo profesionální. Provůz byl takový už jako pravidelný, hrál pro školy, ale měl v tu dobu asi 3 placene zaměstnance.</t>
  </si>
  <si>
    <t>preDLB_pre-LBD-17#1</t>
  </si>
  <si>
    <t>0.8163265306122449</t>
  </si>
  <si>
    <t>0.3469387755102041</t>
  </si>
  <si>
    <t>0.8405159936314952</t>
  </si>
  <si>
    <t>0.5102040816326531</t>
  </si>
  <si>
    <t>9.8</t>
  </si>
  <si>
    <t xml:space="preserve"> Takže pracují na výrobě nudlý, do práce chodím. Pěšky asi jeden kilometr na 6 hodin do večera, je to 12 hodinová směna. A další tedy nezasté noční směna, která začina vod čestí do rána. Pristávky máme 1,5 hodinovou za tyhle 12 hodin a 2,15 min. 15 min.</t>
  </si>
  <si>
    <t>preDLB_pre-LBD-18#1</t>
  </si>
  <si>
    <t>0.681592039800995</t>
  </si>
  <si>
    <t>0.46766169154228854</t>
  </si>
  <si>
    <t>0.781021897810219</t>
  </si>
  <si>
    <t>0.8713779569824212</t>
  </si>
  <si>
    <t>0.004975124378109453</t>
  </si>
  <si>
    <t>0.4752475247524752</t>
  </si>
  <si>
    <t>18.272727272727273</t>
  </si>
  <si>
    <t xml:space="preserve"> Dobrý den, menej se Iva Seďová a nastala u mně v životě změna, protože jsem se rozhodla od prvního čeru na odejít do přečastnýho důchodu o rok drív. Mám čtyři vnoučata a mám taky mami kostatinkem a tchyni s chánem, kteři jsou nemocní. Takže proto jsem se rozhodla se jim nějakým způsobem věnovat. Zatím jsem 3 měsíce takhle a jsem strašně spokojena, protože stíhám daleko víc, než kdybych chodila do práce. Věnuji se dětem, věnuji se rodíčům. Tědečka pohožel jednoho, jsme museli dát do domovat, takže chodím za ním do domovat, protože má Alzheimer a není na tom už dobře. Snažím se věnovat svým rodíčům, jezdím nachatu jednak s dětma, jednak s ním. Myslím si, že jsem udělala hodně dobře, že jsem se takhle rozhodla a ten život je takové klinější, pohodovější a jsem ráda, že jsem to udělala. Nevím, stačí? Jo? Nebo, ešte. Byla jsem z dětmána táboře, když jsem jezdila s jednou vnučkou, teď jsem zala dvě vnučky, ale bylo to dost náročný pro mě, protože jsme byli li v chatce a ten program nebyl úplně pro malý děti, ale pro větší. A zlem to může jedna má 4 roky, druhá 6, tak to bylo pro mě dost náročné.</t>
  </si>
  <si>
    <t>preDLB_pre-LBD-2#1</t>
  </si>
  <si>
    <t>0.6553398058252428</t>
  </si>
  <si>
    <t>0.45145631067961167</t>
  </si>
  <si>
    <t>0.837037037037037</t>
  </si>
  <si>
    <t>0.839656337801256</t>
  </si>
  <si>
    <t>0.5707317073170731</t>
  </si>
  <si>
    <t>25.75</t>
  </si>
  <si>
    <t xml:space="preserve"> Dobrý den. Musím vám říct, jaká byla moja cesta pracovní v minulétí den utři středa. Pondělí jsem se pěkně vydela vlakem, jsem nejela vlakem 23. tak jsem se vydela vlakem do Prahy. Došla jsem na nás, dupyšte, měl je vlake z Břeclav Brno, česká třebová pardubice Praha. Tak jsem si říkala, když jezdím ty autobusem, tak to kráčku s tým vlakem. Tak jsem nasedla na vlake, teda lidí tam čekalo dost, ale všechny stáli na jiné straně říkán, tak já se posunu dál do zadu. Tak jsem si myšlel, že tam nikdo nebude, ale byl tam, tak jsem si sedla a říkám si, no teď bych si mohla dřímnout, a nebo se budu dívat po krásach té krajiny, ale vláček je al tichúnko, český dráhy, to byly čistotné jako nové, krásně se tam mělo bylo tam ale jo šestcestujících, než jsme dely do pardubice všetci vysedli, tak jsem tam jela pěkně sama, byla se máž zadných vangolnej, a teď jsem dojela do tej, taky jsem si zdřijemla, ale to krásný bylo jenom tady kolem blánska, skalice, ještě po této třebovů, ale tam potom až měly z teh pardubic, tak tam to bylo takové špatní škaredy, škaredá příroda, to tam bylo, nevím kde se to tam zalo.</t>
  </si>
  <si>
    <t>preDLB_pre-LBD-24#1</t>
  </si>
  <si>
    <t>0.7346938775510204</t>
  </si>
  <si>
    <t>0.3741496598639456</t>
  </si>
  <si>
    <t>0.8518518518518519</t>
  </si>
  <si>
    <t>0.8620894760586273</t>
  </si>
  <si>
    <t>0.5033557046979866</t>
  </si>
  <si>
    <t xml:space="preserve"> na vtívím ceru v Bavorsku, která bydli vřezně, tak jsem naplánoval asi 13 vtěvy s tím, že ona přijede taky 3x za mnou, já 3x za ní a že naplníme tady tím setkáním, vškerí rodiny potřeby. Opak se stál pravdou, v republice se vyskytl covid a tím pádem se všechno překazilo, nedá se takhle už mezi republikama na vštěvovat podle normálních pravidel a musí to byt zvyšená pozornost na kontrola, na ovlivnění tětou to nemocí a podobně. Takže jsme se na všechno vykašlali a máme už jenom zbývána Facebook, když si sednem a nakonec povídáme dvě, tři hodiny a tím pádem naplníme tady tu podstatu neosobní návštěvy, ale naštěstí to tímto způsobem můžem dotáhnout dokonce. Náradou mě však je na kontakt osobní další, cérka, která má dvě vnučky, jednoho vnuka a tím pádem se dostáváme do kontaktu, všechno se spravi, naplnuje a bavíme se téměř každý den.</t>
  </si>
  <si>
    <t>preDLB_pre-LBD-28#1</t>
  </si>
  <si>
    <t>0.5736842105263158</t>
  </si>
  <si>
    <t>0.7105263157894737</t>
  </si>
  <si>
    <t>0.8449854801527411</t>
  </si>
  <si>
    <t>0.015789473684210527</t>
  </si>
  <si>
    <t>17.272727272727273</t>
  </si>
  <si>
    <t>3.3636363636363638</t>
  </si>
  <si>
    <t xml:space="preserve"> Je lepší, jak velká práce, protože s ty práce mě běl někdy tak ruce, že odpočívám celou sobotu. Ale radši bych byl vejnku, protože když jsem viděl, že začíná sluníčko, tak tady je krásný, tady je les, stromy, tak by bylo taky krásně. No, koníčky, jako vláchalo mě vždycky výtání, nevím proč, motory. A takhle tady lék mám plnou, ale mám to v hrozném bordelu, mám toho moc, potřeboval bych asi se toho zbabit a nechat si nenom tím menší, protože je to taky náročný koníček. A chcem mít člověk věci v pohrátku, protože když toho je moc a je to v neporátku, tak to taky začišuje. No, nevím po čem bych mluvil. Do práce chodím, protože jako jsem si říkal, co doma. Každá koruná dobrá, ale tady, jak jsem nastoupil do práce, tak je to náročný. Protože je toho moc a dvanácky věčinou a vede to švícár a s těch lidí, co jsou pod ním má vyložení jak nevolníky. Já jsem měl tu výhodu, že jsem měl klid. Dvakrát se tam byl podívat, když na halu zašel kůli materiálů, kůli tomu, co tam je na vystěhování nebo na prdání.</t>
  </si>
  <si>
    <t>preDLB_pre-LBD-29#1</t>
  </si>
  <si>
    <t>0.554945054945055</t>
  </si>
  <si>
    <t>0.8670168264818938</t>
  </si>
  <si>
    <t>0.016483516483516484</t>
  </si>
  <si>
    <t>0.6162162162162163</t>
  </si>
  <si>
    <t>10.11111111111111</t>
  </si>
  <si>
    <t xml:space="preserve"> Mám pejska bibinku. Každý ráno nežídu do práce, s ním musíme na procházku. Až v přídus práce tak jdeme znova na procházku. Má ráda strašně pejsky, takže chodíme kde jsou pejsty. Na večer jdeme zase z pejskama na procházku. A tak toho děláme každý den. Strašně ráda si hrají z míčkama. Musí mi doma kopat tenisáky. Vyběre si co s čím si chce hrá. Tak si sněl musím pohrát kvílku. Jsou ráda strašně že jú mám, protože mě vytahuje ven, aby chodila, abych nesedila doma u televize. Má ráda hrozně pamlesky, taky dávám pamlesky, aby poslouchala. A jináče, když jú pustím tak v něm moc neposlechny, takže jú většino vodím na voditku. Brávala jsem si vají dobrna, že jsme jezdili vlakem, autobusem, šalino. Tak to se jít taky líbilo, když byla se mnou. Měla to moc ráda, teď si už neberu, takže děláme na jíší budově, kde už tě pejski tak moc nemohl, takže tam si neberu. Ale zase chodíme na další vycházky o to víc. Večer spí v pelíšku, když může tak něj skočí na postel, ale jenom když tam nejsou.</t>
  </si>
  <si>
    <t>preDLB_pre-LBD-30#1</t>
  </si>
  <si>
    <t>0.6328125</t>
  </si>
  <si>
    <t>0.5234375</t>
  </si>
  <si>
    <t>0.7530864197530864</t>
  </si>
  <si>
    <t>0.7974076282331405</t>
  </si>
  <si>
    <t>0.4765625</t>
  </si>
  <si>
    <t>10.666666666666666</t>
  </si>
  <si>
    <t>1.1666666666666667</t>
  </si>
  <si>
    <t xml:space="preserve"> a byla rozvedena, takže u sebe měla to nejstarší sestru. A já se s nejstarší sestrou, jsme z druhou nejstarší sestrou, jsme vůstali u babičky. Vdala jsem se ve 20 letech, měla jsem, nebo mám, céru jednu. A v jejich 17 letech jsem si vzává do Pěstonské Pči, 15 letou kamarádku. Rozvedla jsem se, když byly cérži asi dvá pulo roku po 4 letech manželství. Pracovala jsem ve zdroutnictví. Napřed jsem dělala u svaté ani na interně. Potom jsem pracovala jako upečovatelské služby. A když jsem se vdala, přestěvala jsem se do Nimburka. V Nimburce jsem pracovala na Higěně, na krajské Higěně a jako laborantka. A potom jsem přešla do nemocnicé na oddělení dlouhodobě nemocných. Odtama jsme se přestěvali z 5 dobrná, kde jsem mě potom národila cera.</t>
  </si>
  <si>
    <t>preDLB_pre-LBD-31#1</t>
  </si>
  <si>
    <t>0.6902654867256637</t>
  </si>
  <si>
    <t>0.4778761061946903</t>
  </si>
  <si>
    <t>0.8349375099160938</t>
  </si>
  <si>
    <t>0.008849557522123894</t>
  </si>
  <si>
    <t>0.672566371681416</t>
  </si>
  <si>
    <t>4.52</t>
  </si>
  <si>
    <t>0.12</t>
  </si>
  <si>
    <t xml:space="preserve"> Dobrý ráno, dnes bude krásný den. Podlouhé zimě nám opět svítí slunce. Těším se jak vyrazím ven. Půjdu se podívat na přehradu k vode. Čekám něco z trama. Doufám že nebude příliš plná. V době koronavidu trama nerať jezdíme. Výknož na přehradu je příliš daleko. Nemám na vybranou. Jedu brzo poránu. Dnes se lidé proberou. Na přehradu si dám kávu. Něco sladkého. K kekávě projdu se. Vrátím se kolem řeky v zoologické zahradě. Potom se trama vrátím do města. Půjdu do domu. Dám si něco na obět. Doufám že počas si vydrží. Odpoled nebych chtěl se projít. Po brně. Vící na Špilberg. Je tam krásný výhled. Potom se vrátím do můho. Vůdu odpočívat.</t>
  </si>
  <si>
    <t>preDLB_pre-LBD-32#1</t>
  </si>
  <si>
    <t>0.6140350877192983</t>
  </si>
  <si>
    <t>0.5877192982456141</t>
  </si>
  <si>
    <t>0.6714285714285714</t>
  </si>
  <si>
    <t>0.7905318318250849</t>
  </si>
  <si>
    <t>0.47368421052631576</t>
  </si>
  <si>
    <t xml:space="preserve"> Já jsem spokojený s tím, co je. A teď se Jaro je pracovně silnější na záhradě. Ale já su aji rád, že můžu jít na záhradu. Mám to za barákem. A velice rád, když mám posnídaní a manželka je v práci, chodí do práci, tak jdu na záhradu a tam se nějakým způsobem vyžívám. Je toho štěri aáry máme toho. A tím pádem tam je zeleněný a nějaká tráva. Když si chcem odpočnout, když já slunko nesnáším, tak mám to rád relaxuje a já si jdu rád či dom a do překvábku něco čtu a něco. A ty křižovky, co tam jsou dělám vyplňují, ale jenom v překvapení. Jí náč jsou slábej na to.</t>
  </si>
  <si>
    <t>preDLB_pre-LBD-33#1</t>
  </si>
  <si>
    <t>0.6602870813397129</t>
  </si>
  <si>
    <t>0.44976076555023925</t>
  </si>
  <si>
    <t>0.8527829876714245</t>
  </si>
  <si>
    <t>0.0430622009569378</t>
  </si>
  <si>
    <t>0.023923444976076555</t>
  </si>
  <si>
    <t>0.5167464114832536</t>
  </si>
  <si>
    <t>52.25</t>
  </si>
  <si>
    <t xml:space="preserve"> Dobrý den, iménu se Hanna Ištánkova a v novinách jsem si přečetla takovou nabídku z účastnice výskumu. A protože mám v poslední době pocit, že mě ta hlavá začíná malinko trošičku jako hůr sloužit. Jsem roztřitá, někdy si nepamatuju co udělám musím se jít podívat znovu, jestli jsem to udělala, protože myslím už na něco do předu a těžko se třeba soustředím, ty myšlenky měně přeskakují, uskakují z tématu na témat, tak jsem se rozhodla, že se toho výskumu z účastním začátek nebyl jednoduchý, protože jsme byli do mluvení na určitou hodinu a já bohunice z nám jenom tak vzdáleně a nikdy jsem tam nejela a necestovala ani. Jeli jsem je tam s manželem, autem ale manžel řídil, já jsem nám byla v nemocnici, takže jsem se moc jako kolem sebe nerozlížila a připadalo mě to úplně jednoduchý, že vždyž přijedu do Brna a obejdu tesko, tak tam zastavují autobusy, tak tam nastoupím a pojedu jenom, že tam do bohu nic nejelo a zastavil autobus číslo 50, který pan řidič mi řekl, že jeho trasa je taková hodně dlouhá a převezl mě k nádraži a ukázal mě zdálky, kde mám nastoupit do autobusu číslo 40 a to jsem si pamatovala, že tam mám jako vystupovat na konečné v kampusu.</t>
  </si>
  <si>
    <t>preDLB_pre-LBD-34#1</t>
  </si>
  <si>
    <t>0.6598639455782312</t>
  </si>
  <si>
    <t>0.5238095238095238</t>
  </si>
  <si>
    <t>0.7216494845360825</t>
  </si>
  <si>
    <t>0.8477884237067445</t>
  </si>
  <si>
    <t>2.4166666666666665</t>
  </si>
  <si>
    <t xml:space="preserve"> Všel jsme měli navštěvu, bavili jsme se vzbain, zájemné byl to Bratranets ode mne, který došel na mrskačku za manželkov. A pak jsme si vykládali různé věci, pak došli další z námi a nebo rodina. A z malým klukem, který ještě za tím moc nemluví, ale je veselej, chodí už. Takže bylo to taky docela zábavné. A mezi tým jsme si trochu popíjeli, jedli. A tak prostě to učas ubíhal, až bylo pět hodin, tak bratranets zbalila a odešel. A tím skončila navště odpovrde, tak jsme zustali s manželkov samý. A tak jsme se bavili s mít dva o všeobecných věcích, co jako nic se nedělo. Nebylo nic zblášního u nás, takže bylo to taky zajímavé. Mám ještě dal, a musím dal mluvit. Tak prostě jsem se na večerze, ale díval jsem se na televizí, což mi docela bavilo taky. Protože jsem posloukál hudbu, tu mám rád.</t>
  </si>
  <si>
    <t>preDLB_pre-LBD-35#1</t>
  </si>
  <si>
    <t>0.7264150943396226</t>
  </si>
  <si>
    <t>0.4339622641509434</t>
  </si>
  <si>
    <t>0.7792207792207793</t>
  </si>
  <si>
    <t>0.8590358228203989</t>
  </si>
  <si>
    <t>0.05660377358490566</t>
  </si>
  <si>
    <t xml:space="preserve"> Vstával, dobře jsem se na snidál, připravil jsem se na toto akci. Odpovedné bych chtěli nakupovat, potřebuje něco důležitého nakoupit. A o weekendu cechy stám někam jít zajed do okolí Barna na nějakou procházku, něco objevovat, něco nového. Po zbytek času bych ještě něco si vymyslil nějakou domáci práci, která je neodkladná a měl bychy, ne měl jsem čas ji udělat, měl bychy jako dokončit. Pokud by měz byl nějaký volný čas, tak se budu dívat na televizi, čistkinišky, křížovky, křížovky a podobné věci. Nemým co bych bych měl, myslím, že toho je dost do najbližších dnů a myslím, že budu celkem z těch akci spokojen.</t>
  </si>
  <si>
    <t>preDLB_pre-LBD-37#1</t>
  </si>
  <si>
    <t>0.7055214723926381</t>
  </si>
  <si>
    <t>0.4049079754601227</t>
  </si>
  <si>
    <t>0.8434782608695652</t>
  </si>
  <si>
    <t>0.8640806408381042</t>
  </si>
  <si>
    <t>0.588957055214724</t>
  </si>
  <si>
    <t>13.583333333333334</t>
  </si>
  <si>
    <t xml:space="preserve"> Takže dobrý den, já vám chci povypravit, jak pěstují budinky. Mám je v líští na terase, pravidelně zadívám. Teď už jsem sedil semínka například lihochřeřišnice, která je vyníkající na podporu immunitý těla, krásně květe žlutými červenymi kvítky. Mám tam například pažítku, petržel nasazenou celéru a občas se na to pochodnáne. Teď jsem byl natrhat medvědí česnek, který třeba rozteni dalekou makra, nebo taky v omicích. Výborný je zase na celou funkci těla. Jednak se dá našlišit, dá se čerství na chlebí, dá se z toho dělat zvajíčka a mýchanými zamrazit. Takže to bys měli k těm bylinkám něco třeba o tom, kde jsem mě nejvíc líbilo. Byl jsem třeba v Brazílí, u vodopádu Iguásu, krásná země nebo v Indonezí. Byl jsem taky se podívat třeba té měř v sobce na etně na vezuvu. V noc mám obribený řím, kde provázím turistí, ukazujím zajímavé historické místa včetně kolose a nádherné fontány třeba v římě nebo v paržíži. To jsem si taky mozo bří byl.</t>
  </si>
  <si>
    <t>preDLB_pre-LBD-41#1</t>
  </si>
  <si>
    <t>0.6995884773662552</t>
  </si>
  <si>
    <t>0.41975308641975306</t>
  </si>
  <si>
    <t>0.8294117647058824</t>
  </si>
  <si>
    <t>0.8955458916568796</t>
  </si>
  <si>
    <t>0.01646090534979424</t>
  </si>
  <si>
    <t>0.00823045267489712</t>
  </si>
  <si>
    <t>22.09090909090909</t>
  </si>
  <si>
    <t xml:space="preserve"> Z hledem k tomu, že moc nevím, o čem bych vykládala, tak asi začnout o svým nejmělejším tématu, což je moje vnůčka a nička. Národila se před třemi roky, je hrozně šikovná, nímavá a teď, co se stala tady ta situace koronavirus a matka musí do práce, tak se mě dostalo ctiře, že už převážně pořád hlídám. Jediný můj volné den je středa a víkendi, ponděli útery, čtvrtek pátek, suhlídací babička, takže si spolu užíváme spoustu zábaví. Děcko je to šikovný, ze všim mě chce pomáhat, pečeme cukrový, sázíme kítičky. Když bylo trochu sněhu, tak jsme jezdili na saník, stavily sněhuláky, taky má hodně ráda, když si čtu a vykládám pohádky a nebo různí vzpomínky s děctví. Takže čteme knižky, spíváme písničky, malá tancuje, hraje si na dámu, převlíká se do měch šatů, navliká si korálky, na krknáramky, na ruce, u toho vyspěvu, je tancuje. Bezvádný tříletí dítě, takže už se těším, až skončí tady doba a budu s ním moc začít jezdit na různí atrakce. U nás býval každoročně poď, kterou si o nivůbec neuzíla k vůditěm všem možném zákazům, takže letosnat už si užijeme do vyškova, na dinosaurí, do zoologické, na přehradu, na párník. Takže porád vymýšlím, co tak asi všechno budeme moc dělat. Je to už nás to zlobí, že je porád taková zima a nemůžeme být kolodně venku, takže teď co bylo těch pár krásných dní, tak jsme to využili teda na maksimum. To jsme běhali po venku, řádili.</t>
  </si>
  <si>
    <t>preDLB_pre-LBD-44#1</t>
  </si>
  <si>
    <t>0.6137566137566137</t>
  </si>
  <si>
    <t>0.5291005291005291</t>
  </si>
  <si>
    <t>0.7672413793103449</t>
  </si>
  <si>
    <t>0.8172246395576315</t>
  </si>
  <si>
    <t>0.005291005291005291</t>
  </si>
  <si>
    <t>0.5396825396825397</t>
  </si>
  <si>
    <t xml:space="preserve"> Mělo je týdé, jsem se rozzel, že plyl na kole. že se projdu na kole. Vám chalupu u velké býtyže a slyšel jsem, že na přehradě je nový uděláná steska takže si zajdu k přehradě, obydují kolem by kola a pak se se vrátím. Měl to by dohrobat zrba asi 65 km. Tak jsem vyrazil, napřehrus jsem dojel celkem v pohodě, po té nové cyklo stéste se měl, bylo to fajn. Pak se se chvilko dostavil na Kozí Horce, tam jsem se chtěl najist, ale začalo tak jako foukat a zvidal se výtaj výtr. Tak jsem se rozzležit, takhle vyrazil měl se přeceboještě 30 km. Výtr byl ohrobit a velký, silný, kdo to ještě trochu jako by pršelo. Takže se měl prostě na plnou silou, ale tak kolem v 10 km hodině. Trvala mi zrba hodiná povězdy, přilet se jen v plně promoklý a zdičený. Na konec dál se si teplou vadnu a bylo to v pořádku. Prepoklám, že ještě kálovin tak půl minutí a už nevám co. Takže nevím co bych řekl, ale na halupě musel se trochu poklidit. Národil se dobyčky, to jsem zaplel a voda jela.</t>
  </si>
  <si>
    <t>preDLB_pre-LBD-45#1</t>
  </si>
  <si>
    <t>0.746268656716418</t>
  </si>
  <si>
    <t>0.43283582089552236</t>
  </si>
  <si>
    <t>0.9005217451845295</t>
  </si>
  <si>
    <t xml:space="preserve"> Zatím nemají žádný potomky, i když už jsou to staří fousove, z Denálkoví je 34, Jakuboví 31. Ani nejsou ženati, ani nemají děti. Syn má z prvního manželství Sina, který moje 26 roku, taky svobodnej, bezdětnej. A pak mám vnučku konečně Gabinku, kterou má s druhou ženou. To je 13 roku, a je to hrozně šikovná a chytrá holka. Je to miláček můj, ale všichni se máme hrozně rádi. Klucí za mnou chodí na nám vštěvy a prostě fakt jako jsme spolu moc za dobře. I moje děti, žádný hádky nebo nějaký. Nikdy nebyli i když manžel umřel, tak v děcka plně perfektně se zachovali. Jako sou bezvadní skrátka. Dobře jsem je vicepovala. Ale když svým vnukům řeknu, kdy už konečně se dočkám do ho pravnou čátka, tak mě řeknou, baby obradce na Gabinku.</t>
  </si>
  <si>
    <t>preDLB_pre-LBD-47#1</t>
  </si>
  <si>
    <t>0.4049586776859504</t>
  </si>
  <si>
    <t>0.8625914758675568</t>
  </si>
  <si>
    <t>0.024793388429752067</t>
  </si>
  <si>
    <t>0.03305785123966942</t>
  </si>
  <si>
    <t>0.4297520661157025</t>
  </si>
  <si>
    <t>17.285714285714285</t>
  </si>
  <si>
    <t xml:space="preserve"> Opůl sedme je a nachystám všem snídaní, jak podle toho, kdo co chce. Teď takhle chystám dnes v nučce na odpoledné sebou jídlo. Všechno jsem nachystala na objet k masu, který tedy jsem veřila včera. Oni si to v poledné vezmou a já až přijdu. V nučka přijde potom večer, 11 hodin taky vždycky něco připravim, něco jenom žádný přílohy, jenom šumku a jenom tak na zajezení, protože váží tolik, že to je báha, jak ne člověk. Je to hrozný, tak co naděláme, že je to nebude, k tomu si záležet na její hlavě, co ona si vymyslí, nebo rozmyslí, nebo vůbec nemyslí. Co můžeme jinak dělat? Je to neheský a nezdravý a vidí, že mi takový nejsme, když já už.</t>
  </si>
  <si>
    <t>preDLB_pre-LBD-49#1</t>
  </si>
  <si>
    <t>0.7046979865771812</t>
  </si>
  <si>
    <t>0.8633773686861801</t>
  </si>
  <si>
    <t>16.555555555555557</t>
  </si>
  <si>
    <t xml:space="preserve"> Mým koníčkem je, kromě jiného, i cestování. Třeba, že jsem letel po prvé letadlem v svéch 1,50 letech, tak jsem mi do posud podařilo, kromě Antark týdy. A austrá je pro je celý svět, byl jsem na všech kontinentech největším zážitkem pro mě, protože jsem i vývali sportovec, tak byl letetský výlet do Brazilie, kde jsem byl v 3. 20. stoperu 2013 na stadionu Maracaná. Byl poloprázny, bylo tam pouze 40 tisíc lidí, a byl to zápas dvou Rio de Janeirozských týmů. A neviděl jsem, koum mám fundit, tak jsem fundil těm, kteří vyhráli na konec. A co se týče atmosfery na hřišti, na Maracaná, tak bylo tam bezpečno, byli tam rodiny s dětmi, všichni spořádaně všech 40 tisíc lidí, zpořádaně nastoupilo, přišlo, byla tam velice boužlivá atmosfera nádherná, vlajky vlajkonoší, obrovské vlajky, pokřík a tak dále. Takže cítil jsem se tam velmi bezpečně i všichni ostatní diváci.</t>
  </si>
  <si>
    <t>preDLB_pre-LBD-5#1</t>
  </si>
  <si>
    <t>0.6473988439306358</t>
  </si>
  <si>
    <t>0.7321428571428571</t>
  </si>
  <si>
    <t>0.8517983551653207</t>
  </si>
  <si>
    <t>0.5202312138728323</t>
  </si>
  <si>
    <t>28.833333333333332</t>
  </si>
  <si>
    <t xml:space="preserve"> Pokud mám o něčem vyprávě, tak mám za to, že i poslední krát jsem tak nějak hovořil o muzice, o muzicírování, protože k hudbě mám blisko a mám jo velice hrát. Takže jsem hned ve škole, jsem se začal učit na hůstle, dva roky jsem chodil do hůstli, dva roky jsem chodil na harmoniku. V podziejší době jsem se tomu až tak moc nevěnoval, takže až jsem přišel k tomu muzice na vojně, kde jsme zakládali takovou kapelu, takže tam jsem s tou kapelou začal hrát, kdy jsem přišel s vojiny domů, tak protože jsem se trošku něco navučil, tak kamarád mě přitáhl do kapely vrouchované, který to byl takový první taneční orkhéstra, kterým jsem hrával, a potom jsem přešel do třebiče a ten to byl lepší. Taneční orkhéstra říkali, že si názef měl elitex a s tím jsem hrával asi 15 roku. Bylo nás celkem jedená, měli jsme dvě zpěvačky, hrali jsme širokým dalekým okolí. Velice rád na to spomínám, protože to byla jednak dobrá parta, zažely jsme hodně legerace, hodně dobrého.</t>
  </si>
  <si>
    <t>preDLB_pre-LBD-51#1</t>
  </si>
  <si>
    <t>0.41040462427745666</t>
  </si>
  <si>
    <t>0.8360655737704918</t>
  </si>
  <si>
    <t>0.8612017290812478</t>
  </si>
  <si>
    <t>0.5314285714285715</t>
  </si>
  <si>
    <t xml:space="preserve"> Umít a udělat hygienu, po hygieně jsem se nasnidal a šel jsem do skliniku upravovat věcích, co mám ve skliniku zasazené, co je potřeba zalít. Celí tady tento úkoně trval dozdlouho, jelí, kož tam mám toho víc, zasazeného jako květa, kedlubén, salát, okurek a toto. Každá z těch roztrů má jiný způsob zalévání, to je na příklad úsalátu, můžeme zaljevat jenom s konvou, s brzbozdřením blízko stříny moc daleko, aby to na to nepadalo pruce. Za to naopak co jsou jiné, jako kedlubén, to to takto můžeme jako lév zalévat, nemá to žádný specifika, ale je potřeba dávat pozora, by se to nepřelilo. A poslední, co jsem dělal, to bylo v okurky a v okurky se se nedají zalývat z vršku přez listy, protože to by zvinilo, a nebo by chytli plýseň, takže se zalývají přímo česně okolo stónku u země. Potom jsem celé spracoval, zavřel jsem z klivník, odevřel jsem jedno klín, aby to lehce větralo, zatím přitéto teplotě není potřeba víc, a odešel jsem na další úkodice, jsem si dal doma.</t>
  </si>
  <si>
    <t>preDLB_pre-LBD-52#1</t>
  </si>
  <si>
    <t>0.6945812807881774</t>
  </si>
  <si>
    <t>0.43842364532019706</t>
  </si>
  <si>
    <t>0.8700122478921033</t>
  </si>
  <si>
    <t>0.024630541871921183</t>
  </si>
  <si>
    <t>0.019704433497536946</t>
  </si>
  <si>
    <t>0.9523809523809523</t>
  </si>
  <si>
    <t xml:space="preserve"> Mám doma kočičku. Je to můj miláček. Je to už druhá kočička. Předtím jsem měla kocourka, menoval se Don Giovani. Byl se mnou 18 let a byl to takový mazlik. Sysinka je z útulku. Je to velice ustrašená kočička. Měla náročný začátek, kdy teda po narození hned člověk ukázal, jak dokáže byt zlý. Proto je tak celá ustrašená, nemůže se z toho dostat. Je u mě už osmlet. Prosto to není vyloženě kočička k mazlení. Nedá se chytnout, nedá se mazlit, musí sama přijít. Když se samozřejmě trošičku zlepšila, ale přijde sama. Může se mazlit, ale jak měle nechce, okamžitě odchází. Abych si třeba sama vzala ze země, že jí pomocinkám, tak to vůbec neexistuje. Jindak se mnou spává v posteli, je to, jak jsem říkala, můj miláček. Už si to bez ní nemůžu ani nechci nějak představovat, moc mi pomáha i po psychické stránce. Ale říkám, je to opravdu trošku náročnější s tou kočičkou, která teď je. Jindak se zajímám o modu, prodávám v obchodě s modou, od jakživa, dělala jsem modní přehlídky, ale to už je opravdu dávno, ale byla to krásna zkušenost. A velice mně zajímájí hlavně obchodní domíkt a hatkutir Dior Chanel. Velajímájí oblečení a těžká taková pevna kryčovina.</t>
  </si>
  <si>
    <t>preDLB_pre-LBD-53#1</t>
  </si>
  <si>
    <t>0.7355371900826446</t>
  </si>
  <si>
    <t>0.4380165289256198</t>
  </si>
  <si>
    <t>0.8819001183334516</t>
  </si>
  <si>
    <t>0.008264462809917356</t>
  </si>
  <si>
    <t>0.5967741935483871</t>
  </si>
  <si>
    <t>13.444444444444445</t>
  </si>
  <si>
    <t xml:space="preserve"> Dělal bych dělat rozšiřování ulu, budu rozšiřovat nedáví, zvedat nástavky a připravovat se na snušku v čal. Myslím, že bude dobré počasí a tento týden by běl by dobro přínoz týdneho výkendu. Využilte ho a připravím se na dobrou snušku. Po tomu bude nyni čekat, aby bylo kvalitní počasí, sloníčko, neprašelo a byl co nejvíčší přínoz medu. Mezi tím musím připravit věci na vytáčení, po případě další zpracování medu. Musím nachystat rozšiření v čel, to znamená oddělky a namnožení matek. Budu potřeba k tomu občité pomůcky, abych mohlo rozšiřit matky. Musím se připravit na to, že bude išpatné počasí, bych musela udělat útřité úpraví, abych zamzil strátám. A po připadě do krmil včelstvo invertem, bojiným přípravky, co k ném s medem.</t>
  </si>
  <si>
    <t>preDLB_pre-LBD-57#1</t>
  </si>
  <si>
    <t>0.651685393258427</t>
  </si>
  <si>
    <t>0.4887640449438202</t>
  </si>
  <si>
    <t>0.8414031004922388</t>
  </si>
  <si>
    <t>0.03932584269662921</t>
  </si>
  <si>
    <t>0.0056179775280898875</t>
  </si>
  <si>
    <t>0.547486033519553</t>
  </si>
  <si>
    <t>17.8</t>
  </si>
  <si>
    <t xml:space="preserve"> Ménuji se na Macháňová, jsem v důchodě ve starobním a chodím u klízet. Dělám u firmy, která se jmenuje Reda. Jezdím na letiště, uklizim tam malou kuchynku, malý záhudek, malou šetničku, malou koupelnu, jsem tam sklád, protože jsem šikovná, to se musím pochváliť, protože něfirma vybrala. Tak to zvládnul za hodinu a za dvě hodiny to mám zvládnout jejist z cestou domů. Zaměstnavatel je se mnou spokojený, dělala jsem tam už drívě jako uklizečka, ale pod jinou firmou. Tam mě bylo ublíženo z mého letiska, protože videucina mě začela ječet, že jsi jsem jenom uklizečka, ono je mojej nadřízena a já jsem jenom uklizečka. Neměla jsem problém s tam u firm skončit, protože se rozjel opět koronavirus, tak jsem považovala za velké riziko, protože mám novanžela, aby jsem ten koronavirus přinesla domů. Ale ta firma byla se mnou natolik spokojená, že mě po 3 měsících oslovili a nabídli mě tu přiležitost 2 dny v týdnu, 3 hodiny deně. Tak jsem to přijal a jsem velmi spokojná. Protože jsem aktivní člověk, mám ráda lidi, protože se se vyjčila prodavačkou.</t>
  </si>
  <si>
    <t>preDLB_pre-LBD-58#1</t>
  </si>
  <si>
    <t>0.5961538461538461</t>
  </si>
  <si>
    <t>0.8168348747546953</t>
  </si>
  <si>
    <t>0.004807692307692308</t>
  </si>
  <si>
    <t>0.6172248803827751</t>
  </si>
  <si>
    <t>20.8</t>
  </si>
  <si>
    <t xml:space="preserve"> Je také připravo se kdinského guláše. Nejprve se musí nakoupit z roviny, to znamená ve prve masy, mělo by by trochu prorostlé. Kizaki se nás metaná, cibule, učitě koření, mlétá papriká, nejlepé je sladká. A potom se může připračit přistoupit k přípravě. Maso se nakrájí na pravidelné menší klosdky, stejně tak i cibulka, ta se nakrájí nadropno. A ta cibulka se osmahne na sádle. Potom se na ně osmahne maso, na pruto, by zrí mělo by tam mít několik minut, tak se maso vyn dá, potom se osmahne mlétá červená papriká a spět vlžíce, a pak se zalí je vahrící vodou. Potře se tam přidá maso, přidá se tam kisané zelí, zaluje se z větší části, by to mělo byt ponořené, zaluje se to v rovci vodou, a nechá se to udušit, může to trvat asi tak hodinu, mohli má víc, mýň, ale prostě do podmastu nebudou měké. A v závěru se přidá, potom zakycena smetena, a ta by měla byt zahučená, měkůn hladkou mloukou, mělo by jít tam být tak přiměřené, aby to bylo prostě tak, jak srácních poslabuje. A v závěru se může ten produkt dochodit, a to tě tě znamená, dosloudit, dosladit, dokyselit, ale myslím, že v případě tohoto kytaného zelí už to nebude potřeba.</t>
  </si>
  <si>
    <t>preDLB_pre-LBD-59#1</t>
  </si>
  <si>
    <t>0.8511617929461908</t>
  </si>
  <si>
    <t>0.02702702702702703</t>
  </si>
  <si>
    <t xml:space="preserve"> Když se někým potká člověk, tak když potkám ty starší ročníky, ten už jenom se ptá, že člověk doktorový nebo nezakoupit. I nače to všechno točí okolo politiky a koronavíru, jak jsou poslánci chytří a v ostatní soublby. Tak to je takový teď divný podcí, jakoste se ma politikám, protože to je takový nenormální. My jsme specílní jako češí. Inac všechno výkládat celá vo všelice, bo na ryby jsem ještě letos nebyl, nebo nebyl na to čas. To byl takový zaklěščený. Nevadilo mě to, protože napívo nechodím do ospody a pívo si dám vícemeně v letě. To je dobré nápoj na žízeň a inac ne to nic neřiká. A teď ještě, jak jsem spadl, tak si nedá člověk ani jeden z nelepších nápoj už tam padlušli o více nebo vína, protože je to nedělá dobře. Víceme, že vám to rozprávím, tak na to požáláni, že mám neco výkládat.</t>
  </si>
  <si>
    <t>preDLB_pre-LBD-61#1</t>
  </si>
  <si>
    <t>0.6484848484848484</t>
  </si>
  <si>
    <t>0.5272727272727272</t>
  </si>
  <si>
    <t>0.7289719626168224</t>
  </si>
  <si>
    <t>0.8579455443364685</t>
  </si>
  <si>
    <t>0.006060606060606061</t>
  </si>
  <si>
    <t>0.509090909090909</t>
  </si>
  <si>
    <t>33</t>
  </si>
  <si>
    <t>4.4</t>
  </si>
  <si>
    <t xml:space="preserve"> Mám ráda přírodu, ráda chodím do přírody. Nikdy jsem si nemyslila, že příroda pro mě bude tak důležitá, ale v tomto zvláštním období, které teď prožíváme více jak rok, jsem se víc soustředila ve svém životě na sebe, na své okolí, více vnímám to, co se děje mě, co se děje v mém okolí. Možná je to také tím, že jsem skončila se zaměstnáním, kde jsem pracouvala velmi dlouho, a začala jsem se rozhlížet, co dál, co budu dělat, čemu se budu věnovat. V stahy v rodině jsou uspořádane, mám velkou holku, a což jsem ráda, že tady ta doba, která příšla, mě zastihla už ve věku, kdy se mám starat, nebo můžu starat sama o sebe, a nemusela jsem se starat o malé dítě, tak jak mnohé moje některé známe. Abyvalé kolegině, které na Facebooku vypisovali o tom, co jim ten zvláštní stav, to zvláštní doba teď přinesla, a jak vlastně tráví ten čas s rodinou, s dětmi, jaká jsou to ta zvláštní specifika.</t>
  </si>
  <si>
    <t>preDLB_pre-LBD-62#1</t>
  </si>
  <si>
    <t>0.4247787610619469</t>
  </si>
  <si>
    <t>0.7926829268292683</t>
  </si>
  <si>
    <t>0.846649120249372</t>
  </si>
  <si>
    <t>0.5663716814159292</t>
  </si>
  <si>
    <t>12.555555555555555</t>
  </si>
  <si>
    <t xml:space="preserve"> Ráno jsem se zbudil asi 7 hodin 25 minut. Pokud jsem si dobře všíml. Porani toalete, jsem snidál, měl jsem menší karejíče chleba, vajíčko a kávu s mlákem. Když jsem se oblikl, tak jsem všechno dola, sedle jsem do auta a pustil jsem si navigaci. Když to tady vrnem, to je celkem dobře znám, ale šl mi, který jsem v tomto areálu nebyl, tak bych se se rozuměl. Posluchal jsem po cestě čestský rozhlas dvojku, posluchám nejčastěji, nebo čestský rozhlas plus. Světšinou tohle je politický komentář a rozbory. Někdy posluchám kántry rádio Brno, kántry muziku mám docela rád, posluchám i rok, ale s ešteho měho celkem mladšího obdoby. To muziku jsem desátých let.</t>
  </si>
  <si>
    <t>preDLB_pre-LBD-65#1</t>
  </si>
  <si>
    <t>0.7724867724867724</t>
  </si>
  <si>
    <t>0.328042328042328</t>
  </si>
  <si>
    <t>0.8698630136986302</t>
  </si>
  <si>
    <t>0.9164053753380857</t>
  </si>
  <si>
    <t>0.021164021164021163</t>
  </si>
  <si>
    <t>18.9</t>
  </si>
  <si>
    <t xml:space="preserve"> Víte, že je to po mě nemůžné, protože vědět, co já dělám, každý zem dělá nic jiného. Obykle rán vstanu, což je to dám malo pravděpodobné, že ano. Ale poté by se hodilo se nějak začít živit. Tedy podledné, jak je který, ale většinou bychá i v mém duchosovském věku všechny stejné, tak stávám kolem 7 hodiny, ale do přejvcí tohle kluxusu, že do půl osmé zůstávam ještě v posteli. Pak nezbývány stánout a připravit si čaj, a k tomu namáznou nějaký tenků z chleba, z másem nejradějště s medem, postní dat. A pokud to jde a je čas, tak se vrhnout na dení tisk. Čte se zdejmě na, jak to bývá u chlapu, vychle odzadu do předu, takže nejdří se musí projít z patelní stránka, a pak teprve v nasto, no půstle na udalší. Ale nejen toto zábavou můžeť, že byť člověk, takže já musím také přemýšlet, co bych si měl pořídit na odpolední slačinku, eventuelně večeri. Obět mám zajištěny, ten mi dováží až podnos. Takže zrozmyslem si napíši na lístek, protože moje moskove závytičné stačí, už toto tolik informaci, čeřci 3 rohlíky, kousek se jíra a salám.</t>
  </si>
  <si>
    <t>preDLB_pre-LBD-68#1</t>
  </si>
  <si>
    <t>0.3391304347826087</t>
  </si>
  <si>
    <t>0.8829692572164382</t>
  </si>
  <si>
    <t>0.5826086956521739</t>
  </si>
  <si>
    <t>16.428571428571427</t>
  </si>
  <si>
    <t xml:space="preserve"> Rozhodlíme se s zesinem, že definitivně dokončíme drobnosti na našem srubu, který byl postaven už v roce 76. A neodkladně musíme kolem srubu rozprostřit několik laviček na konstrukci, které jsme předem vobjednali. Jedná se o takzvaný dřevěny sedáky, které budou mechanické oddělávací, že v období dešťu, sněhu se s konstrukce větklu té dořemě jenom oddělají. Dálé jsme nechali odborníkem přebrouzit v celé podlaží a nechali jsme je napustit díky dobré radě roztokem takového speciálního vozku. A celá podláha dopadla na jedničku, je to nádherné. Dálé jsme vyměnili zadu všechny dveří a dali jsme místo dřívějších bílých dveří koupený na tržišti krásné dřevěné dveře. A mohu říct, že naše stavba je v současné době před dokońčením.</t>
  </si>
  <si>
    <t>preDLB_pre-LBD-69#1</t>
  </si>
  <si>
    <t>0.5533980582524272</t>
  </si>
  <si>
    <t>0.5728155339805825</t>
  </si>
  <si>
    <t>0.777847437756869</t>
  </si>
  <si>
    <t>0.07766990291262135</t>
  </si>
  <si>
    <t>0.5194174757281553</t>
  </si>
  <si>
    <t xml:space="preserve"> Takhle, jako netechnického mučlověku, že mě saujíme, protože tam je taková spousta zajímavostí, že si tam vyber je v opravdu každý. A pro děti je tam taková úžasná atrakce, taková herna, kde si můžou vyskoušet spoustu věcí a nejvíc se tam, že tam líbí takovej, to je jako by černá díra, tomu říká, a tam si je to vlastně takový úho, jako by děti po obvodu hodí kuličku a ona pořád se točí, točí, točí a nakonec propadne dolů a to se dětem hrozně líbí a oni to vydrží dělat strašně dlouho. Potom se tam dá různě točit na něčem a zkoušet různí věci a mě se to tam líbilo. Vždycky jsem byla rád, když jsem tam měla službu, protože tam jsem si vlastně hrála, ale byla jsem v práci, že jo. Tam jsem se vlastně v tom muzeu tak jako osmělila, co se týká komunikace z lidmi, protože jak jsem se tam nudila, když jsem byla v nějaké expozici, kde jsem jenom pozorovala lidi, tak jsem vždycky si někohot tak vyhlídla a tak jsem překla, podějte tady ste něco. Poza poměly, to je hrozně zajímavé a tak jsem jen to upozornila a řekla o to něco. A slovo dalo slovo a tak jsme si povídali.</t>
  </si>
  <si>
    <t>preDLB_pre-LBD-70#1</t>
  </si>
  <si>
    <t>0.7195121951219512</t>
  </si>
  <si>
    <t>0.8135593220338984</t>
  </si>
  <si>
    <t>0.8729408347594749</t>
  </si>
  <si>
    <t>0.018292682926829267</t>
  </si>
  <si>
    <t>0.4817073170731707</t>
  </si>
  <si>
    <t xml:space="preserve"> O čem začit hovořit tak náhle? Myslím, že asi o roli náhradní babičky. Protože sama v noučata nemám, tak mi děti chybějí. A proto jsem se pídila potom, jak bych se k té dětské společnosti dostala. A natrfil jsem na organizaci Trojlístek a pomociní. Tam jsem byla vyšetřená, důkladně velký dotazník, obšírný. Byla jsem moja data, byla zadána do systému, do katalogu a z něj prí. To já jsem toho nebyla si. Rodíček, kteří měli zájem o pomoc nějaké babičky, či eště lépe dědečka. Ale ty na toto nemají náladu, zřejmě je ich strašně málo. Takže ti to se tam moc neviskytují. A já jsem se dostala do rodiny Mladých Manželů. A mají měli dva teda chlapce. Pěti lety a sedmi lety. A v mým úkolem bylo jim vypomáhat. V nejprve jsem začala s tím sedmi letým, s francíkem, do školí, počkat před družinou, přečkolou, do školí už se tehdy nemohlo. Takže počkat přečkolou a závez ho, buď to domů a nebo do kroušku.</t>
  </si>
  <si>
    <t>preDLB_pre-LBD-71#1</t>
  </si>
  <si>
    <t>0.7425149700598802</t>
  </si>
  <si>
    <t>0.38922155688622756</t>
  </si>
  <si>
    <t>0.9013651986778098</t>
  </si>
  <si>
    <t>0.03592814371257485</t>
  </si>
  <si>
    <t>0.6227544910179641</t>
  </si>
  <si>
    <t>8.0</t>
  </si>
  <si>
    <t xml:space="preserve"> Na zahradě už můžem práce na zahradě to je v obnáši mnoho věcí, protože tak jak jsou povětnostní vlivy, které nemožeme ovlivni, tak podle toho se volí ten spůsobráci, který je tam potřeba vykonat, protože jak měle tráva přeroste, tak jsou problémy s vlastněn sečení použití k té patřičné techniky, která je potřeba na tu patřičnou činnost, protože tráve je nijak výstřitým spůsobem více, vysoká, tak nereze vyprovádit tím předpokládanym stavem, jak člověk byl připravena, musí zase improvisovat a přemýšlet, jestli má nasadit strunu nebo nějaký sekacinůž, nebo obráceně úplně nejprimitivnější věc, třeba vzít kosu do ruky jako drív a se síti tady tutrávutin to spůsobem. Je to tedy práce náročná po té stránce, že ji nemůžeme ovlivniť a je to práce nekonečná, protože stále něco uděláme a zase s nádrhlem konci nám to zase zaroste úpravou. Stačí? Ještě, ještě, ještě mám vytvářet něco, protože jsou tam také kytičky, které vylízají, jsou toci různé cibuloviny, ty mají různou dobu své vegetace, takže musí dávat pozor těch část.</t>
  </si>
  <si>
    <t>preDLB_pre-LBD-72#1</t>
  </si>
  <si>
    <t>0.8568640756551554</t>
  </si>
  <si>
    <t>17.333333333333332</t>
  </si>
  <si>
    <t xml:space="preserve"> Máme jednoho syna a ten nás obdařil dvě masiny taky našimi vnuky. Našemu staršímu vnukoví bude 25 roku a mlačímu vnukoví je 20 roku. Máme s nich s obou radosť a od manička jsme je hlídali a velice rádi, protože já sama jsem odešla na mateřskou dovolenou, když bylo sinový. Jsem odešla z mateřské dovolené, když bylo sinový. Pět měsíců a vlastně jsem si vůbec neůžila jeho ranný věk a celé vlastně jectví až asi do 6 a půl let. Potom to bylo všechno jinak. A pak utekla doba, syn se ořenil a za pár let měli právě tady tyto dvá vnuky, které jsme. Strašně máme je rádi, čekali jsme na ně dosť dlouho a hrozně rádi jsme s nima trávili čas. Asi cet tak, že jsme si vnuky brávali, bučtok nám do bytu, nebo jsme si li měnili ze synem a ze snachou byt, a byli jsme s nimi v jejich malém a starém domku.</t>
  </si>
  <si>
    <t>preDLB_pre-LBD-8#1</t>
  </si>
  <si>
    <t>0.6774193548387096</t>
  </si>
  <si>
    <t>0.8596286707693214</t>
  </si>
  <si>
    <t>0.01935483870967742</t>
  </si>
  <si>
    <t>12.916666666666666</t>
  </si>
  <si>
    <t xml:space="preserve"> Vyrostle jsem na dělině, a kamarádo moří, nekeří zemřevi, a nekeří žijí stačité, nebo ještě fut. Nekeří ještě žijí, scházíme si na fotbály, které se neký hrával, nebo chytával, si jim pak jsem dál přece, pak jsem trenová žáky, pak jsem chytával přece dělá, a po 70 se jsem se na to bych vykašlalo. Zostává se Vasyču do pěta 70, jsem dělá veletela, a tam jsem děl taky nechal, pak už těchto neprzestával baví všechno. No, ty se starám v obnou čat a v záhradu, se tam neco děláme, ze synem nebo druhým synem. Znažím se jim pomáhat, je už taky na půlůvazku. Likon je zlábe. Dědská roztvou, cest vnučka je v dna nauč. Uvůvujte, takový dalí mojí. A sura, že jsou staré, protože být jin, že to neběhra brym. Vychová v naučat je úplně najným, podle nás poslějné systém života. Mě zeměj víc práci, dneska tý dědská má jí mojílej počítači. Mě to roštílejí.</t>
  </si>
  <si>
    <t>preDLB_pre-LBD-80#1</t>
  </si>
  <si>
    <t>0.5982142857142857</t>
  </si>
  <si>
    <t>0.5580357142857143</t>
  </si>
  <si>
    <t>0.7388059701492538</t>
  </si>
  <si>
    <t>0.8479773239934161</t>
  </si>
  <si>
    <t>0.026785714285714284</t>
  </si>
  <si>
    <t>0.48214285714285715</t>
  </si>
  <si>
    <t>2.9285714285714284</t>
  </si>
  <si>
    <t>0.6377207859111534</t>
  </si>
  <si>
    <t xml:space="preserve"> Tak budu hovořit o svoji vnuce když zojince, které jsou 3,5 roku. Je to naše nejmenší, nejmlačí vnouče, nejstarší bude mít leto z 24 vnoučka, jedna bude mít tedy v červenci bude mít 20. Dálší vnučka bude mít 20, dělat tedy 22, vnouček bude mít 15 a to je naš vene k teda bude mít v letnu 3 roky 3,5 roku má. Hrozně rádak nám chodí a měluje nejvíce všechny v rodi dědečka a jak vidí dědečka, tak dědečku, dědečku. A skáče podem, dědeček i všechno odělá co zojinka chce. Bez dědečka a dědána, když vidí dědečka, když přichází knap, tak za babičkou neběží. A babička na to je zvyklou všechno vnoučat a zojinka tam běží za dědečkem. Ale já v tomu říkám, že to jsou takové nítky bez lidmi a ty tam budí jsou nebo nejsou. A ona od malička můje víc chlapy, jak řeřenský, když já se bych hlídala od 3,5 roku, jsem jedno-dakrát za týdensem chodila na návštěvu a pak už se bych hlídala třeba dvě-tři hoťky. Ale jak začala chodí dědeček, tak dědeček, dědeček. Ale tak oni taky hodně povolí, ze vším. A nedotále ty příkazy dokonce, tak dítě to pozná a prostě... Tu i to je to, že tam je větší taková taná konost. Ale to nevadí, já se vrádne, že to tak je.</t>
  </si>
  <si>
    <t>preDLB_pre-LBD-83#1</t>
  </si>
  <si>
    <t>0.6449704142011834</t>
  </si>
  <si>
    <t>0.7706422018348624</t>
  </si>
  <si>
    <t>0.832973910525719</t>
  </si>
  <si>
    <t>0.4823529411764706</t>
  </si>
  <si>
    <t>13</t>
  </si>
  <si>
    <t xml:space="preserve"> Nesráno jsem stala, osprchovala jsem se a upravila a šla jsem na zastávku. Pak jsem teda trolejbusem jela jednu zastávku, přestoupila na autobus, pak znova na trolejbus, no až jsem se dostala do sejteku. Mezi tím jsem si ještě na konečné zašla do obchodu, koupla jsem dvojčatům gumy, každý má něco jiného, jinou tvar a jinou barbu. No a pak jsem přišla jsem a doktor Braveneci mě převzál. Zítra pravděporobně nebo určitě kolem 10. pojedu k naším, protože budu hlídat 14. zvířádka, co tam mají. Máli čtěně a mají tam rybičky a mají tam hraboše a dvě kočky, tak to všechno já budu starávat a našli dou mezi tím k moři. Takže se na to těším a ne těším, že je to dlouhá doba, je to mimo brno. Budu muset za je do brna, abych zalila kítky. Mají tam bazen, tak doufám, že se asi půjde vykoupu. A bude se těšit na návrat. Ne, na jejich, ale až za spojedu dobrná, protože všude do mě dobře doma daj lip.</t>
  </si>
  <si>
    <t>preDLB_pre-LBD-84#1</t>
  </si>
  <si>
    <t>0.7065868263473054</t>
  </si>
  <si>
    <t>0.8629660052579347</t>
  </si>
  <si>
    <t>0.5269461077844312</t>
  </si>
  <si>
    <t>16.7</t>
  </si>
  <si>
    <t xml:space="preserve"> Dobrý den, já bych vám řekla něco málo o jednom svém koničku. Chodím ráda turistikovat, protože už nemůžu chodit běhat kuli zádům a chodí vám pěšky v horyzontu 30 km od Brno-Vinohrady. Vám tam dvě krásná místa a když se nikdy vracím, tak jsem si říkala, že by nebylo špatné si je vyfotografovat a to stejné místo si porovnat za jednotlivé měsíce kalendářního roku. A tak jsem začala loni v Rínu. Vždycky v pruběgu toho měsíce, když tam jdu, zastavím se na stejné místě, zády k ceduli směrovka ochos a vyfotím si rozcestí. Silnice, plevo a v pravo. A tak to mám za všechny měsíce, na posledy jsem to fotila minulou neděli. Mám to pěkně uložené v počíteči a protože jsem když si svým příbuzným a nejbližším dělávala takové ty knihy, fotoknihy, tak jsem si říkala, že možná si udělám prostoru, udělám si i pro sebe knihu. Takových svých spomínek. A tady právě ty fotografie stejného místá za 12 ročních obroví, to bude moje titulní stránka.</t>
  </si>
  <si>
    <t>preDLB_pre-LBD-87#1</t>
  </si>
  <si>
    <t>0.7878787878787878</t>
  </si>
  <si>
    <t>0.8547188832520682</t>
  </si>
  <si>
    <t>0.022727272727272728</t>
  </si>
  <si>
    <t>9.777777777777779</t>
  </si>
  <si>
    <t xml:space="preserve"> Tak menuj se Eva Dostálova, pracuju v domáci Pči, práce mě baví. Mám svoje pacienty, který každý den navštevuju a je to práce. Zajímavá svým způsobem i nenáročná. Pracují v Brně, dopravují se do práce. Městskou hra mladnou dopravou, protože nemám vřidičák. Popráci pracovní dobů mám každý den různorodou. Pacienty si můžu naplánovat podle toho, jak potřebují nebo jak je potřeba. Popráci mětšinou do města se projít a potom příjí do domu, protože tam nám čeká pejsek. Mám i do makučičky, takže mám se okohostaradný sudom a sama.</t>
  </si>
  <si>
    <t>preDLB_pre-LBD-88#1</t>
  </si>
  <si>
    <t>0.3111111111111111</t>
  </si>
  <si>
    <t>0.8611111111111112</t>
  </si>
  <si>
    <t>0.9092232579900694</t>
  </si>
  <si>
    <t>0.6370370370370371</t>
  </si>
  <si>
    <t>19.285714285714285</t>
  </si>
  <si>
    <t>1.5714285714285714</t>
  </si>
  <si>
    <t xml:space="preserve"> Tak nezráno jsem přijela do Brna, což je největší město. Moravi byla jsem tady na vyšetření moskové aktivity v centru krásného kampusu Moravské univerzity. Bydlím už vagrové na sídliští Liskovec. Odpoledné mám v plánu podívat se na sídliště Nový Liskovec, kde je provedená regenerace sídliště, v jakém si vyším levlu, kde je nejenom upravená plochá volných zelených trávníků. Jsou tady i zelené strzechy, svedena voda do jezírka s můstkem, a celá tato regenerace slouží jako příklad pro další sídliště v republice, která v této době regenerují pouze, plochy volné, hřiště domy, balkony, zatepluje se a podobně. Takže ta to rekonstrukce, ta to revitalizace je dobrým příkladem, a bude jistě prezentována na naší konferenci, kterou pořádáme v Ostravě na Černé Louce. Každé jaro za účasti zástupců jednotlivých, vysokých škol, samozpráv, a dejme tomu i bytových družstev.</t>
  </si>
  <si>
    <t>preDLB_pre-LBD-89#1</t>
  </si>
  <si>
    <t>0.5364238410596026</t>
  </si>
  <si>
    <t>0.763078552719495</t>
  </si>
  <si>
    <t>0.5629139072847682</t>
  </si>
  <si>
    <t>12.583333333333334</t>
  </si>
  <si>
    <t xml:space="preserve"> Něď ho nemohnem sobotu, tak sobotu ráno, jsem se nasný, prvně jsem šlapustit slepice, nasný dala jsem se. Vzala jsem si dvou kolák a jela jsem do pola. Tam jsem čistila dýně a vyvazovala rajčata. Přišla jsem dom, skoro v poledne, tak jsem si udělala obět, najedla, šela jsem si na dvě hodinki lehnout, pak jsem stala, dala jsem si s vačinkou a šela jsem pro změnu na zahradu. Tam jsem trhala trávu ze záhonu. Večer jsem byla utahana, sprchla jsem se trošku teda vysprchovala a šela jsem spad a nemohla jsem usnout. Usnula jsem až v opul štvrté v noci. V druhé den jsem byla unavená, utahana a v nedělí více méně mimo to, že jsem si udělala obět, jsem více méně proležela. Co dál? No. Dnes sem ráno stala a byla jsem unavená, utahana, takže zas. Slepičky se pokrmili, zvířátka, pezakoči dostali čisto vodu. Já jsem si posní dala.</t>
  </si>
  <si>
    <t>preDLB_pre-LBD-9#1</t>
  </si>
  <si>
    <t>0.6813186813186813</t>
  </si>
  <si>
    <t>0.44505494505494503</t>
  </si>
  <si>
    <t>0.8145161290322581</t>
  </si>
  <si>
    <t>0.8454335301000966</t>
  </si>
  <si>
    <t>0.027472527472527472</t>
  </si>
  <si>
    <t>0.5580110497237569</t>
  </si>
  <si>
    <t>16.545454545454547</t>
  </si>
  <si>
    <t xml:space="preserve"> Nesránu jsem vstal v celku dobrém, když jsem měl nespoľo úplně nejlépe kvůli o různým těm věcem, co mám, ale proběl jsem se v dobré náladěm. Slungo krásně svítilo, tak jsem si řekl, dobro, odělám si snídaní. Vždyž vždyž vždyčí kaffe, potom si připravuju zeleninu, krájí mračat a krájí papriky. Potom ještě vytáhnu nějaký sír nebo a v ročky s mlíkem, jenom že mlíko jsem zrovna dneska neměl, v ledníčce tak jsem se musel obyjít bez toho. Przemýšlal jsem o tom, jestli si vezmou jogurt, ale nakonat jsem se rozhodl, že ten jogurt si nedám. Ale jsem krásně snídal, posnílední jsem se ještě počítač, jestli tam není něco důležitého v poště. A pak jsem se spalil a odděl jsem do práce. Měl jsem dneska skoušet jedno děvče, když potom přišla, taky pravdu dobře umělám. Ptal jsem si na takové různé věci, které jsou vysí z konto ve mechanickými vypočty. Elektronové struktury pevných látech, to je vlastně předmět, který mám, za který jsem zupovědný. Potom v skoušení, ještě jsem někdo něco dělal na počítači, mám kolegu ze spojených států, tak jsem se optal.</t>
  </si>
  <si>
    <t>preDLB_pre-LBD-91#1</t>
  </si>
  <si>
    <t>0.7783251231527094</t>
  </si>
  <si>
    <t>0.3694581280788177</t>
  </si>
  <si>
    <t>0.810126582278481</t>
  </si>
  <si>
    <t>0.932614047602049</t>
  </si>
  <si>
    <t xml:space="preserve"> Stojí vysoká divá polena, mať stará ohromných stínou. Podňou děti na dětva volená, mať bujná vysohých synou. Či ty šarván jsou dětvy ozrutných, polena na svých prasíach mohutných, nenosí a nedája, ale je básmoj do tej výšiny nehladi cera tejto rodiny. Co si šuhaja, ako by dětva obrovněvala, máť zrodila v poli syna, trahovu plachlu porozvíjala z buka napuky pripína. Prvý jaz chlapec očiotvory Čovidi, výsov spolany hory a opaty nezvratný skál, a skloní svoji zrak v dolinu druhý jaz Čovidi, hory, čo si zázrašně dělali a prekrásnou slovensku díhal. Mať že ne, a kto to děť a či číká šumlí zťastorošných hrubov a dal už to neznám, to byla básin slovenská krůzem se naučil v televizi. Mám ještě dal hovori to něčem do přebudu hovorit dál. Byl pozný večer 1. maj. Večerný maj byl lásky čas. Hrdičin z válku lásce hlas kde borový zaváňel háj. Čechovej jsou nár dobrý, nešťastný jenš nouzilka, nechce k Čechoví obrátí ten můj rychlou pomoc dá. Byť i Čecha nepřítelem než je tří Čech jahovin, Čechovej jsou nár dobrý a ty Čechu dobrý syn. Pomalu mi dochází repétoar, ale protože ještě musím mluví dál, tak ještě stále mluvím dál a vidím, že už vám tam pomalu dochází.</t>
  </si>
  <si>
    <t>preDLB_pre-LBD-92#1</t>
  </si>
  <si>
    <t>0.6737967914438503</t>
  </si>
  <si>
    <t>0.44919786096256686</t>
  </si>
  <si>
    <t>0.8174603174603174</t>
  </si>
  <si>
    <t>0.8588948216885013</t>
  </si>
  <si>
    <t>0.026737967914438502</t>
  </si>
  <si>
    <t>0.5159574468085106</t>
  </si>
  <si>
    <t>9.35</t>
  </si>
  <si>
    <t xml:space="preserve"> Dobrá už. Ráno jsem věl se svoj crou na našem dvojkole na výlet. Dali jsme si sebo našeho psíka do nosíče. Jeli jsme směli na přehradu. Tam je údoly oddechu. Sou tam prasádka, obora, jsou tam daňci, který se jsou tak krodci, že se dají do slova pohladit. Všechno nepočítal jsem s počasím a včarejším a předčarejším. Na cestě se nám objevila obrovská louže. Spojna s hlubokým blátem, s kterým jsem nepočítal. Takže jsme vělí do toho bláta a kolo mě prostě uělo. A jsme se zřítili s cerou, až po kotníky jsme zapadli do báhna. Tak snažil jsem se vši silou, kterou udržete rovnováho, aby se tam do obány výválili. Což se mě podařilo. Stáli jsme si cene nad kotníky v báhně, ale vyrovnali jsme to podaž. Moje cera je invalidní, takže to je veliký problém s to rovnováho. A když jsme to ustáli, tak tam u nás blízko přihliželi toho našemu počínání. Malé děti nějaká si ta lesní školka tam byla. Začali na nás volat. Panej, vysivám vzadu pejsek. Tak jsem se otočil ten pes, který byl uvázaný v nosiču, prostě vysel takhle hlavou dolu.</t>
  </si>
  <si>
    <t>preDLB_pre-LBD-95#1</t>
  </si>
  <si>
    <t>0.9204966319523187</t>
  </si>
  <si>
    <t>0.028169014084507043</t>
  </si>
  <si>
    <t>0.6503496503496503</t>
  </si>
  <si>
    <t xml:space="preserve"> Tak jsem velký milovníkem zvýhrát. Mám domať čtyři kočky. Další čtyři na zahradě, které se tam bezprízorně přitoulali, takže jsme nechali kastrovat. Nechali jsme vyčistit od svrabu, od všenek a chodíme tam pravidelně krmit. Nejraděj bych spasila svět, co se týká zvýhrad, ale nějak to nejde. No, kočky se nenují Belinda, Zulu, Bil, Micka. Ještě to málo, že spávají se mnou v posteli. Sou to velkci mojí miláčkové. Gdyby to šlo vzít si materskou dovolenou, tak si kvůlí díl v ezmu. No, jinak chodím pomáha do utulku, rada jej podporují, jak psychicky, tak nějak finančně materiálně. Chodím pomáha cuklidem. Rovniž jezdíme pa některá má utule k věseníkách, jednou za rok a spojí pomoct. Do věsty tam nějaký granule, pomoct cuklidem. Pochovat ty kočičky, trošku se s nimi pomazlit, vyčesat. Upadně moc ráda, že jediný, kto tam přijde, pomoct. Já už nevím co.</t>
  </si>
  <si>
    <t>preDLB_pre-LBD-97#1</t>
  </si>
  <si>
    <t>0.6631578947368421</t>
  </si>
  <si>
    <t>0.46842105263157896</t>
  </si>
  <si>
    <t>0.8015873015873016</t>
  </si>
  <si>
    <t>0.8514869888972131</t>
  </si>
  <si>
    <t>0.03684210526315789</t>
  </si>
  <si>
    <t>15.833333333333334</t>
  </si>
  <si>
    <t>2.8333333333333335</t>
  </si>
  <si>
    <t xml:space="preserve"> Manželka mě říkala tak před pár dnama, že se nechá zapisat na vyšetření mosku. A tak jsem zabistřel a říkala jsem si, když tam půjdeš, tak já půjdu v stebu. A tak v zásadě mě objednala, nevím jak to bylo provedení, ale prostě, že teda mám měcňo. Takže jsme ráno vyjeli z Jaroměřec, to je vlastně dědina blisko děvíčka. Tam jsme se teď momentálně přesnoh čerstě je to rok. Pristě hovali s to jevíčka zmíněnýho. A tak ráno, že teda musíme stát, brzo, že byli jsme tady byli, byli jsme v těchcí chtěl zvládnout něco, na víc, než se jsem dostanem. A mělíko se nám to moc nějak nepovedlo, takže jsme vyjeli poměrně pozdějí, takže jsme jeli už napřímo. Samozřejmě cesta proběhala v pohodě. Byli jsme totiž upozornění senátorem, že cesta dobrna zastek moc jednoduchá, není pokud se jel autem, což jsme teda dnes kajely. Ale tak jsme si říkali, co to ryskne, bude chytném špíčko a budeme někde mět velký zdržení, protože nás upozornová kluk, že on čekal nebo přejal bo hodinu pozděj, než normálně. Tak jsme čekali co borej, tak přejal jsme do Boskovice, tam to ještě šlo.</t>
  </si>
  <si>
    <t>preDLB_pre-LBD-98#1</t>
  </si>
  <si>
    <t>0.4943181818181818</t>
  </si>
  <si>
    <t>0.8091196757045873</t>
  </si>
  <si>
    <t>0.011363636363636364</t>
  </si>
  <si>
    <t>0.5738636363636364</t>
  </si>
  <si>
    <t>6.285714285714286</t>
  </si>
  <si>
    <t>0.8214285714285714</t>
  </si>
  <si>
    <t>0.6480877024683366</t>
  </si>
  <si>
    <t xml:space="preserve"> Vždyž jsem uvažila a vždyž jsem si podal s Daničkem ven. Vám tam ceru a zeták a říkám, nechce tady jsi vnopideme k mlejnu. Je tam takové staré mlejn, byl tam jo. A tak se tam chodí. A tak jsme šli. Po cestě jsme si natěhali švestky. Daniček tam vlítá v popolu, byl šťastné jak blecha. Vždyž jsme tam byli, já nevím, přes hodinu jsme tam běli. Nohla tak. Potom jsme šli drugou stranu. Zase jsme se velá tím, že tam u nás oparavují naproti hospodu. To je strašný taky tam takový výnedc. Tak jsme musíc přespole zas. To, že tam bylo plno auta jeřávou bagaru. To tam strašný. Sdívám zvolkená to je neskutečný. To bylo tak pěkný, a my to máme tu hospodu naproti. To by člověk zblázní. Na koniec jsem byl rád, že jsme přišli. Najedli jsme se. Lele, lasensi, pesex, si lehle vele mě. A... Ejště mám luvit. Nohle. Co? Tak mám, že si pustil televizu. A tak jak ho kusme se dívali na televizu. Dělala jsem si kafičko. To moje takovéto děcky.</t>
  </si>
  <si>
    <t>preDLB_pre-LBD-99#1</t>
  </si>
  <si>
    <t>0.8569372803049279</t>
  </si>
  <si>
    <t>0.019801980198019802</t>
  </si>
  <si>
    <t>0.494949494949495</t>
  </si>
  <si>
    <t>1.1111111111111112</t>
  </si>
  <si>
    <t xml:space="preserve"> Měli předatele, nakázíme se v brně, jsou čas zrobili jsou na nějakém vysětriní, které je pro jiné odborníky a vykterim se nikdy nevizlám. Někdy jsem nebyl takto vysětrinovaný, to velice zajímává metoda. A jinak přicházíme k lekkarským vysětriním minimalně. Jedno je vzdravotným zaryzení, takže bych řekl, že jsem vzde, že jsem dopravil mým synem, který je dobrý řidičem. Cítil jsem se bezpečně přijíř, že jeho auto je taktež bezpečné, pekne a více mě líbí. Vypelnívá jeden svého důchodu, tím že jsem tady na tomto zářízení, které je pro mě velice zajímavé. Narodil se se 12.6.46 v přerově, přerově krásném.</t>
  </si>
  <si>
    <t>Subject</t>
  </si>
  <si>
    <t>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</si>
</sst>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6">
    <xf numFmtId="0" fontId="0" fillId="0" borderId="0" xfId="0"/>
    <xf numFmtId="0" fontId="0" fillId="2" borderId="1" xfId="0" applyFill="1" applyBorder="1"/>
    <xf numFmtId="0" fontId="0" fillId="0" borderId="1" xfId="0" applyBorder="1"/>
    <xf numFmtId="0" fontId="1" fillId="3" borderId="1" xfId="0" applyFont="1" applyFill="1" applyBorder="1"/>
    <xf numFmtId="2" fontId="0" fillId="0" borderId="0" xfId="0" applyNumberFormat="1"/>
    <xf numFmtId="164" fontId="0" fillId="0" borderId="0" xfId="0" applyNumberFormat="1"/>
  </cellXfs>
  <cellStyles count="1">
    <cellStyle name="Normální" xfId="0" builtinId="0"/>
  </cellStyles>
  <dxfs count="5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32186F64-C34B-4509-BDC2-1894188D6483}" autoFormatId="16" applyNumberFormats="0" applyBorderFormats="0" applyFontFormats="0" applyPatternFormats="0" applyAlignmentFormats="0" applyWidthHeightFormats="0">
  <queryTableRefresh nextId="44">
    <queryTableFields count="21">
      <queryTableField id="1" name="Column1.1" tableColumnId="1"/>
      <queryTableField id="2" name="Column1.2" tableColumnId="2"/>
      <queryTableField id="3" name="Column1.3" tableColumnId="3"/>
      <queryTableField id="4" name="Column1.4" tableColumnId="4"/>
      <queryTableField id="5" name="Column1.5" tableColumnId="5"/>
      <queryTableField id="6" name="Column1.6" tableColumnId="6"/>
      <queryTableField id="7" name="Column1.7" tableColumnId="7"/>
      <queryTableField id="8" name="Column1.8" tableColumnId="8"/>
      <queryTableField id="9" name="Column1.9" tableColumnId="9"/>
      <queryTableField id="10" name="Column1.10" tableColumnId="10"/>
      <queryTableField id="11" name="Column1.11" tableColumnId="11"/>
      <queryTableField id="12" name="Column1.12" tableColumnId="12"/>
      <queryTableField id="13" name="Column1.13" tableColumnId="13"/>
      <queryTableField id="14" name="Column1.14" tableColumnId="14"/>
      <queryTableField id="15" name="Column1.15" tableColumnId="15"/>
      <queryTableField id="16" name="Column1.16" tableColumnId="16"/>
      <queryTableField id="17" name="Column1.17" tableColumnId="17"/>
      <queryTableField id="18" name="Column1.18" tableColumnId="18"/>
      <queryTableField id="19" name="Column1.19" tableColumnId="19"/>
      <queryTableField id="20" name="Column1.20" tableColumnId="20"/>
      <queryTableField id="21" name="Column1.21" tableColumnId="21"/>
    </queryTableFields>
    <queryTableDeletedFields count="22">
      <deletedField name="Column1.22"/>
      <deletedField name="Column2"/>
      <deletedField name="Column3"/>
      <deletedField name="Column4"/>
      <deletedField name="Column5"/>
      <deletedField name="Column6"/>
      <deletedField name="Column7"/>
      <deletedField name="Column8"/>
      <deletedField name="Column9"/>
      <deletedField name="Column10"/>
      <deletedField name="Column11"/>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94C399C-F7B1-4FD6-A5CF-CCCD6B973798}" autoFormatId="16" applyNumberFormats="0" applyBorderFormats="0" applyFontFormats="0" applyPatternFormats="0" applyAlignmentFormats="0" applyWidthHeightFormats="0">
  <queryTableRefresh nextId="44">
    <queryTableFields count="43">
      <queryTableField id="1" name="Subject.1" tableColumnId="1"/>
      <queryTableField id="2" name="Subject.2" tableColumnId="2"/>
      <queryTableField id="3" name="Subject.3" tableColumnId="3"/>
      <queryTableField id="4" name="Subject.4" tableColumnId="4"/>
      <queryTableField id="5" name="Subject.5" tableColumnId="5"/>
      <queryTableField id="6" name="Subject.6" tableColumnId="6"/>
      <queryTableField id="7" name="Subject.7" tableColumnId="7"/>
      <queryTableField id="8" name="Subject.8" tableColumnId="8"/>
      <queryTableField id="9" name="Subject.9" tableColumnId="9"/>
      <queryTableField id="10" name="Subject.10" tableColumnId="10"/>
      <queryTableField id="11" name="Subject.11" tableColumnId="11"/>
      <queryTableField id="12" name="Subject.12" tableColumnId="12"/>
      <queryTableField id="13" name="Subject.13" tableColumnId="13"/>
      <queryTableField id="14" name="Subject.14" tableColumnId="14"/>
      <queryTableField id="15" name="Subject.15" tableColumnId="15"/>
      <queryTableField id="16" name="Subject.16" tableColumnId="16"/>
      <queryTableField id="17" name="Subject.17" tableColumnId="17"/>
      <queryTableField id="18" name="Subject.18" tableColumnId="18"/>
      <queryTableField id="19" name="Subject.19" tableColumnId="19"/>
      <queryTableField id="20" name="Subject.20" tableColumnId="20"/>
      <queryTableField id="21" name="Subject.21" tableColumnId="21"/>
      <queryTableField id="22" name="Subject.22" tableColumnId="22"/>
      <queryTableField id="23" name="Lex_total_tokens" tableColumnId="23"/>
      <queryTableField id="24" name="Lex_unique_types" tableColumnId="24"/>
      <queryTableField id="25" name="Lex_TTR" tableColumnId="25"/>
      <queryTableField id="26" name="Lex_repetition_ratio" tableColumnId="26"/>
      <queryTableField id="27" name="Lex_hapax_ratio" tableColumnId="27"/>
      <queryTableField id="28" name="Lex_HDD" tableColumnId="28"/>
      <queryTableField id="29" name="Sem_personal_ratio" tableColumnId="29"/>
      <queryTableField id="30" name="Sem_vague_ratio" tableColumnId="30"/>
      <queryTableField id="31" name="Sem_personal_count" tableColumnId="31"/>
      <queryTableField id="32" name="Sem_vague_count" tableColumnId="32"/>
      <queryTableField id="33" name="Sem_semantic_category_count" tableColumnId="33"/>
      <queryTableField id="34" name="Sem_content_density" tableColumnId="34"/>
      <queryTableField id="35" name="Sem_n_content" tableColumnId="35"/>
      <queryTableField id="36" name="Sem_n_tokens" tableColumnId="36"/>
      <queryTableField id="37" name="Syn_num_sent" tableColumnId="37"/>
      <queryTableField id="38" name="Syn_MLU" tableColumnId="38"/>
      <queryTableField id="39" name="Syn_sub_per_sent" tableColumnId="39"/>
      <queryTableField id="40" name="Syn_total_sub" tableColumnId="40"/>
      <queryTableField id="41" name="Syn_hes" tableColumnId="41"/>
      <queryTableField id="42" name="Syn_hes_per_min" tableColumnId="42"/>
      <queryTableField id="43" name="Transcript" tableColumnId="4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B0E8BC-4DF6-44A2-93A3-631B6A28B46C}" name="Linguistic_parameters2__2" displayName="Linguistic_parameters2__2" ref="A1:U415" tableType="queryTable" totalsRowShown="0">
  <autoFilter ref="A1:U415" xr:uid="{09B0E8BC-4DF6-44A2-93A3-631B6A28B46C}"/>
  <tableColumns count="21">
    <tableColumn id="1" xr3:uid="{855C695C-AD36-4FA5-BFBD-0682A6FF69E2}" uniqueName="1" name="Subject" queryTableFieldId="1" dataDxfId="53"/>
    <tableColumn id="2" xr3:uid="{A067A5D0-284E-4344-B5C9-6FDFCCF4C3E5}" uniqueName="2" name="Lex_total_tokens" queryTableFieldId="2" dataDxfId="52"/>
    <tableColumn id="3" xr3:uid="{6D787AA7-B556-4D00-8088-482721F1DBD1}" uniqueName="3" name="Lex_unique_types" queryTableFieldId="3" dataDxfId="51"/>
    <tableColumn id="4" xr3:uid="{982ACB58-36B2-4E8A-A807-0AAE772EA799}" uniqueName="4" name="Lex_TTR" queryTableFieldId="4" dataDxfId="50"/>
    <tableColumn id="5" xr3:uid="{EFB66FC3-5B68-4902-BC60-42B0FE69FBB9}" uniqueName="5" name="Lex_repetition_ratio" queryTableFieldId="5" dataDxfId="49"/>
    <tableColumn id="6" xr3:uid="{9B6E2AC5-1E5D-4F16-A971-B28DD46E2223}" uniqueName="6" name="Lex_hapax_ratio" queryTableFieldId="6" dataDxfId="48"/>
    <tableColumn id="7" xr3:uid="{E4417451-A066-429A-9DCF-247DFD5250F8}" uniqueName="7" name="Lex_HDD" queryTableFieldId="7" dataDxfId="47"/>
    <tableColumn id="8" xr3:uid="{DBBC6458-82EB-4CDD-BD80-846B234379C8}" uniqueName="8" name="Sem_personal_ratio" queryTableFieldId="8" dataDxfId="46"/>
    <tableColumn id="9" xr3:uid="{F9B03672-C3A4-462A-B3E4-5B7D0550C978}" uniqueName="9" name="Sem_vague_ratio" queryTableFieldId="9" dataDxfId="45"/>
    <tableColumn id="10" xr3:uid="{24935B7B-42AD-40C9-9F69-51CDB14806BF}" uniqueName="10" name="Sem_personal_count" queryTableFieldId="10" dataDxfId="44"/>
    <tableColumn id="11" xr3:uid="{88109CC8-0352-4D06-9F23-2E612C6FFBB4}" uniqueName="11" name="Sem_vague_count" queryTableFieldId="11" dataDxfId="43"/>
    <tableColumn id="12" xr3:uid="{0328A11F-96C9-4233-8672-A220E1FC05A0}" uniqueName="12" name="Sem_semantic_category_count" queryTableFieldId="12" dataDxfId="42"/>
    <tableColumn id="13" xr3:uid="{83C33B66-0B94-4611-8D06-640A4E5FE75F}" uniqueName="13" name="Sem_content_density" queryTableFieldId="13" dataDxfId="41"/>
    <tableColumn id="14" xr3:uid="{C3EDF762-787F-493C-BED2-5C650E461841}" uniqueName="14" name="Sem_n_content" queryTableFieldId="14" dataDxfId="40"/>
    <tableColumn id="15" xr3:uid="{99D5D2F9-32B4-45FB-82A1-62DABC5E0FE9}" uniqueName="15" name="Sem_n_tokens" queryTableFieldId="15" dataDxfId="39"/>
    <tableColumn id="16" xr3:uid="{D53BC1A3-6434-4207-8E6B-E96FCF86AA7D}" uniqueName="16" name="Syn_num_sent" queryTableFieldId="16" dataDxfId="38"/>
    <tableColumn id="17" xr3:uid="{FDD397EB-5ECD-430D-9132-4117ED54710A}" uniqueName="17" name="Syn_MLU" queryTableFieldId="17" dataDxfId="37"/>
    <tableColumn id="18" xr3:uid="{F2D68BE1-C8A3-4BBF-8622-3580C84303F1}" uniqueName="18" name="Syn_sub_per_sent" queryTableFieldId="18" dataDxfId="36"/>
    <tableColumn id="19" xr3:uid="{172D61F2-3F82-48EA-ABFB-D3B2561868C9}" uniqueName="19" name="Syn_total_sub" queryTableFieldId="19" dataDxfId="35"/>
    <tableColumn id="20" xr3:uid="{C387BBED-3542-480A-A87F-3E3439C9C567}" uniqueName="20" name="Syn_hes" queryTableFieldId="20" dataDxfId="34"/>
    <tableColumn id="21" xr3:uid="{74F596D8-DB9B-4B57-9B45-49B678D34A9A}" uniqueName="21" name="Syn_hes_per_min" queryTableFieldId="21"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80A1A0-604D-41A5-964A-5BFFAF30F00B}" name="Linguistic_parameters2" displayName="Linguistic_parameters2" ref="A1:AQ415" tableType="queryTable" totalsRowShown="0">
  <autoFilter ref="A1:AQ415" xr:uid="{8780A1A0-604D-41A5-964A-5BFFAF30F00B}"/>
  <tableColumns count="43">
    <tableColumn id="1" xr3:uid="{980A78C3-C333-4FE6-91A4-F82E8CE46BB3}" uniqueName="1" name="Subject.1" queryTableFieldId="1" dataDxfId="32"/>
    <tableColumn id="2" xr3:uid="{156C98B4-413F-4FDA-AEB1-BD2ACFEC6387}" uniqueName="2" name="Subject.2" queryTableFieldId="2"/>
    <tableColumn id="3" xr3:uid="{03059C91-17A1-4583-B786-C6A0D7A5E3C4}" uniqueName="3" name="Subject.3" queryTableFieldId="3"/>
    <tableColumn id="4" xr3:uid="{12B90774-744F-4901-9818-4AC03273AA5A}" uniqueName="4" name="Subject.4" queryTableFieldId="4" dataDxfId="31"/>
    <tableColumn id="5" xr3:uid="{74E95682-57AF-476D-9C72-644581B37D3F}" uniqueName="5" name="Subject.5" queryTableFieldId="5" dataDxfId="30"/>
    <tableColumn id="6" xr3:uid="{F807994F-2481-463D-B01B-A4486888C57D}" uniqueName="6" name="Subject.6" queryTableFieldId="6" dataDxfId="29"/>
    <tableColumn id="7" xr3:uid="{58272E8E-64F7-44D1-8BF7-2B7A9B3524AA}" uniqueName="7" name="Subject.7" queryTableFieldId="7" dataDxfId="28"/>
    <tableColumn id="8" xr3:uid="{7C199383-D450-4EF8-BE7C-C58BD6254EFB}" uniqueName="8" name="Subject.8" queryTableFieldId="8" dataDxfId="27"/>
    <tableColumn id="9" xr3:uid="{6657100D-C4AC-48FA-A70B-B2730BADA618}" uniqueName="9" name="Subject.9" queryTableFieldId="9" dataDxfId="26"/>
    <tableColumn id="10" xr3:uid="{7CC45DB0-C2EB-420E-9F94-0FBEEE03EE08}" uniqueName="10" name="Subject.10" queryTableFieldId="10"/>
    <tableColumn id="11" xr3:uid="{DF81F7E0-0B0A-4086-8CE4-7B9331F06B19}" uniqueName="11" name="Subject.11" queryTableFieldId="11"/>
    <tableColumn id="12" xr3:uid="{6992B1AF-6CE5-4BA2-BCBE-74AC73776560}" uniqueName="12" name="Subject.12" queryTableFieldId="12"/>
    <tableColumn id="13" xr3:uid="{77AE104C-5D79-448F-8FA1-35176800C3BC}" uniqueName="13" name="Subject.13" queryTableFieldId="13" dataDxfId="25"/>
    <tableColumn id="14" xr3:uid="{A04A76B4-59A6-4C23-AB16-3E0490889901}" uniqueName="14" name="Subject.14" queryTableFieldId="14"/>
    <tableColumn id="15" xr3:uid="{BADBAF2A-4EE2-45A6-9BDA-C1D59FFB0CCB}" uniqueName="15" name="Subject.15" queryTableFieldId="15"/>
    <tableColumn id="16" xr3:uid="{1BB67DD2-8AD0-44C4-8718-75E0CA733400}" uniqueName="16" name="Subject.16" queryTableFieldId="16"/>
    <tableColumn id="17" xr3:uid="{C0F3F2B0-F065-457E-ACBB-8982E8D06B16}" uniqueName="17" name="Subject.17" queryTableFieldId="17" dataDxfId="24"/>
    <tableColumn id="18" xr3:uid="{43F94064-00DD-47A8-A007-29D239EFA8F0}" uniqueName="18" name="Subject.18" queryTableFieldId="18" dataDxfId="23"/>
    <tableColumn id="19" xr3:uid="{466DC258-087B-494C-9B81-99EF5F61EEAD}" uniqueName="19" name="Subject.19" queryTableFieldId="19"/>
    <tableColumn id="20" xr3:uid="{46A98851-5A1F-438C-AE63-97622F9C011E}" uniqueName="20" name="Subject.20" queryTableFieldId="20"/>
    <tableColumn id="21" xr3:uid="{C1E03ACD-4A57-444E-9307-F2F2BC634C52}" uniqueName="21" name="Subject.21" queryTableFieldId="21" dataDxfId="22"/>
    <tableColumn id="22" xr3:uid="{3AC7033B-3FE5-469C-8F6D-B7DA7926C769}" uniqueName="22" name="Subject.22" queryTableFieldId="22" dataDxfId="21"/>
    <tableColumn id="23" xr3:uid="{E454B9C0-F782-45F5-A06F-3A32A63F25B7}" uniqueName="23" name="Lex_total_tokens" queryTableFieldId="23" dataDxfId="20"/>
    <tableColumn id="24" xr3:uid="{57352C83-2E9C-46E9-BEF4-A9A998C85742}" uniqueName="24" name="Lex_unique_types" queryTableFieldId="24" dataDxfId="19"/>
    <tableColumn id="25" xr3:uid="{5BD3874B-A353-4838-B8E6-609D578DDC97}" uniqueName="25" name="Lex_TTR" queryTableFieldId="25" dataDxfId="18"/>
    <tableColumn id="26" xr3:uid="{CB321CDD-F516-4602-9247-9E306212784E}" uniqueName="26" name="Lex_repetition_ratio" queryTableFieldId="26" dataDxfId="17"/>
    <tableColumn id="27" xr3:uid="{4D4506B2-1EBE-442C-8BBA-17AFD6573CFB}" uniqueName="27" name="Lex_hapax_ratio" queryTableFieldId="27" dataDxfId="16"/>
    <tableColumn id="28" xr3:uid="{B5D198AA-8CD8-478F-BFD3-39D74E60768A}" uniqueName="28" name="Lex_HDD" queryTableFieldId="28" dataDxfId="15"/>
    <tableColumn id="29" xr3:uid="{2744730F-638B-425E-955F-B120FF91FF96}" uniqueName="29" name="Sem_personal_ratio" queryTableFieldId="29" dataDxfId="14"/>
    <tableColumn id="30" xr3:uid="{6387D1BA-96FD-43A4-93F6-399F0B184480}" uniqueName="30" name="Sem_vague_ratio" queryTableFieldId="30" dataDxfId="13"/>
    <tableColumn id="31" xr3:uid="{935CCDD8-6D4A-43F1-A7EF-E09A2085831B}" uniqueName="31" name="Sem_personal_count" queryTableFieldId="31" dataDxfId="12"/>
    <tableColumn id="32" xr3:uid="{27764934-1452-4B1B-865B-13D9C1D8ACD9}" uniqueName="32" name="Sem_vague_count" queryTableFieldId="32" dataDxfId="11"/>
    <tableColumn id="33" xr3:uid="{0F5CA55E-ED4C-47E2-B819-D0247A6721FA}" uniqueName="33" name="Sem_semantic_category_count" queryTableFieldId="33" dataDxfId="10"/>
    <tableColumn id="34" xr3:uid="{5B4624C5-BDB4-4C08-BC43-AF1277B2FBF6}" uniqueName="34" name="Sem_content_density" queryTableFieldId="34" dataDxfId="9"/>
    <tableColumn id="35" xr3:uid="{0E24A0F7-5AF7-40AF-B28F-00AFA2F7B497}" uniqueName="35" name="Sem_n_content" queryTableFieldId="35" dataDxfId="8"/>
    <tableColumn id="36" xr3:uid="{9C5BE94C-2235-4969-B720-10742AD0DC41}" uniqueName="36" name="Sem_n_tokens" queryTableFieldId="36" dataDxfId="7"/>
    <tableColumn id="37" xr3:uid="{7FE973E3-3F19-4F98-9310-F5E150C7A07C}" uniqueName="37" name="Syn_num_sent" queryTableFieldId="37" dataDxfId="6"/>
    <tableColumn id="38" xr3:uid="{82F8E7F0-6993-45F7-9FEE-26D98B370F6D}" uniqueName="38" name="Syn_MLU" queryTableFieldId="38" dataDxfId="5"/>
    <tableColumn id="39" xr3:uid="{C1C83A74-0ABD-40FD-9650-A2C9A8B40B0C}" uniqueName="39" name="Syn_sub_per_sent" queryTableFieldId="39" dataDxfId="4"/>
    <tableColumn id="40" xr3:uid="{B8C596DD-C5C1-49F2-83F3-EE3871560A3C}" uniqueName="40" name="Syn_total_sub" queryTableFieldId="40" dataDxfId="3"/>
    <tableColumn id="41" xr3:uid="{E5255440-C247-4787-8A96-DC6DCC57A88D}" uniqueName="41" name="Syn_hes" queryTableFieldId="41" dataDxfId="2"/>
    <tableColumn id="42" xr3:uid="{98253046-8446-4EAA-9464-9E915F3122A8}" uniqueName="42" name="Syn_hes_per_min" queryTableFieldId="42" dataDxfId="1"/>
    <tableColumn id="43" xr3:uid="{369ACED2-3EC7-4BDE-BACC-2B36A515F248}" uniqueName="43" name="Transcript" queryTableFieldId="4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E536-FD26-4678-879F-06F3B25C6536}">
  <dimension ref="A1:U415"/>
  <sheetViews>
    <sheetView tabSelected="1" topLeftCell="N1" workbookViewId="0">
      <selection activeCell="W14" sqref="W14"/>
    </sheetView>
  </sheetViews>
  <sheetFormatPr defaultRowHeight="15" x14ac:dyDescent="0.25"/>
  <cols>
    <col min="1" max="1" width="36.28515625" bestFit="1" customWidth="1"/>
    <col min="2" max="2" width="17.7109375" customWidth="1"/>
    <col min="3" max="3" width="17.85546875" customWidth="1"/>
    <col min="4" max="4" width="18.85546875" bestFit="1" customWidth="1"/>
    <col min="5" max="5" width="19.85546875" bestFit="1" customWidth="1"/>
    <col min="6" max="7" width="18.85546875" bestFit="1" customWidth="1"/>
    <col min="8" max="9" width="22" bestFit="1" customWidth="1"/>
    <col min="10" max="12" width="13.7109375" bestFit="1" customWidth="1"/>
    <col min="13" max="13" width="19.85546875" bestFit="1" customWidth="1"/>
    <col min="14" max="16" width="13.7109375" bestFit="1" customWidth="1"/>
    <col min="17" max="17" width="18.85546875" bestFit="1" customWidth="1"/>
    <col min="18" max="18" width="19.85546875" bestFit="1" customWidth="1"/>
    <col min="19" max="20" width="13.7109375" bestFit="1" customWidth="1"/>
    <col min="21" max="21" width="18.85546875" bestFit="1" customWidth="1"/>
    <col min="22" max="22" width="81.140625" bestFit="1" customWidth="1"/>
    <col min="23" max="23" width="16.28515625" bestFit="1" customWidth="1"/>
    <col min="24" max="24" width="17.42578125" bestFit="1" customWidth="1"/>
    <col min="25" max="25" width="18.85546875" bestFit="1" customWidth="1"/>
    <col min="26" max="26" width="19.85546875" bestFit="1" customWidth="1"/>
    <col min="27" max="28" width="18.85546875" bestFit="1" customWidth="1"/>
    <col min="29" max="29" width="19.85546875" bestFit="1" customWidth="1"/>
    <col min="30" max="30" width="20.85546875" bestFit="1" customWidth="1"/>
    <col min="31" max="31" width="19.85546875" bestFit="1" customWidth="1"/>
    <col min="32" max="32" width="17.42578125" bestFit="1" customWidth="1"/>
    <col min="33" max="33" width="29" bestFit="1" customWidth="1"/>
    <col min="34" max="34" width="20.5703125" bestFit="1" customWidth="1"/>
    <col min="35" max="35" width="15" bestFit="1" customWidth="1"/>
    <col min="36" max="37" width="14.140625" bestFit="1" customWidth="1"/>
    <col min="38" max="38" width="12.140625" bestFit="1" customWidth="1"/>
    <col min="39" max="39" width="17.42578125" bestFit="1" customWidth="1"/>
    <col min="40" max="40" width="13.5703125" bestFit="1" customWidth="1"/>
    <col min="41" max="41" width="12.140625" bestFit="1" customWidth="1"/>
    <col min="42" max="42" width="16.85546875" bestFit="1" customWidth="1"/>
    <col min="43" max="43" width="81.140625" bestFit="1" customWidth="1"/>
  </cols>
  <sheetData>
    <row r="1" spans="1:21" x14ac:dyDescent="0.25">
      <c r="A1" t="s">
        <v>3585</v>
      </c>
      <c r="B1" s="4" t="s">
        <v>22</v>
      </c>
      <c r="C1" s="4" t="s">
        <v>23</v>
      </c>
      <c r="D1" s="4" t="s">
        <v>24</v>
      </c>
      <c r="E1" s="4" t="s">
        <v>25</v>
      </c>
      <c r="F1" s="4" t="s">
        <v>26</v>
      </c>
      <c r="G1" s="4" t="s">
        <v>27</v>
      </c>
      <c r="H1" s="4" t="s">
        <v>28</v>
      </c>
      <c r="I1" s="4" t="s">
        <v>29</v>
      </c>
      <c r="J1" s="4" t="s">
        <v>30</v>
      </c>
      <c r="K1" s="4" t="s">
        <v>31</v>
      </c>
      <c r="L1" s="4" t="s">
        <v>32</v>
      </c>
      <c r="M1" s="4" t="s">
        <v>33</v>
      </c>
      <c r="N1" s="4" t="s">
        <v>34</v>
      </c>
      <c r="O1" s="4" t="s">
        <v>35</v>
      </c>
      <c r="P1" s="4" t="s">
        <v>36</v>
      </c>
      <c r="Q1" s="4" t="s">
        <v>37</v>
      </c>
      <c r="R1" s="4" t="s">
        <v>38</v>
      </c>
      <c r="S1" s="4" t="s">
        <v>39</v>
      </c>
      <c r="T1" s="4" t="s">
        <v>40</v>
      </c>
      <c r="U1" s="4" t="s">
        <v>41</v>
      </c>
    </row>
    <row r="2" spans="1:21" x14ac:dyDescent="0.25">
      <c r="A2" t="s">
        <v>43</v>
      </c>
      <c r="B2" s="5">
        <v>122</v>
      </c>
      <c r="C2" s="5">
        <v>95</v>
      </c>
      <c r="D2" s="5">
        <v>0.77868852459016302</v>
      </c>
      <c r="E2" s="5">
        <v>0.38524590163934402</v>
      </c>
      <c r="F2" s="5">
        <v>0.78947368421052599</v>
      </c>
      <c r="G2" s="5">
        <v>0.90877799501927203</v>
      </c>
      <c r="H2" s="5">
        <v>1.63934426229508E-2</v>
      </c>
      <c r="I2" s="5">
        <v>1.63934426229508E-2</v>
      </c>
      <c r="J2" s="5">
        <v>2</v>
      </c>
      <c r="K2" s="5">
        <v>2</v>
      </c>
      <c r="L2" s="5">
        <v>4</v>
      </c>
      <c r="M2" s="5">
        <v>0.54918032786885196</v>
      </c>
      <c r="N2" s="5">
        <v>67</v>
      </c>
      <c r="O2" s="5">
        <v>122</v>
      </c>
      <c r="P2" s="5">
        <v>8</v>
      </c>
      <c r="Q2" s="5">
        <v>15.25</v>
      </c>
      <c r="R2" s="5">
        <v>1.875</v>
      </c>
      <c r="S2" s="5">
        <v>15</v>
      </c>
      <c r="T2" s="5">
        <v>0</v>
      </c>
      <c r="U2" s="5">
        <v>0</v>
      </c>
    </row>
    <row r="3" spans="1:21" x14ac:dyDescent="0.25">
      <c r="A3" t="s">
        <v>55</v>
      </c>
      <c r="B3" s="5">
        <v>227</v>
      </c>
      <c r="C3" s="5">
        <v>140</v>
      </c>
      <c r="D3" s="5">
        <v>0.616740088105726</v>
      </c>
      <c r="E3" s="5">
        <v>0.52863436123347995</v>
      </c>
      <c r="F3" s="5">
        <v>0.76428571428571401</v>
      </c>
      <c r="G3" s="5">
        <v>0.84489150396452795</v>
      </c>
      <c r="H3" s="5">
        <v>4.40528634361233E-3</v>
      </c>
      <c r="I3" s="5">
        <v>4.40528634361233E-3</v>
      </c>
      <c r="J3" s="5">
        <v>1</v>
      </c>
      <c r="K3" s="5">
        <v>1</v>
      </c>
      <c r="L3" s="5">
        <v>2</v>
      </c>
      <c r="M3" s="5">
        <v>0.616740088105726</v>
      </c>
      <c r="N3" s="5">
        <v>140</v>
      </c>
      <c r="O3" s="5">
        <v>227</v>
      </c>
      <c r="P3" s="5">
        <v>10</v>
      </c>
      <c r="Q3" s="5">
        <v>22.7</v>
      </c>
      <c r="R3" s="5">
        <v>2.1</v>
      </c>
      <c r="S3" s="5">
        <v>21</v>
      </c>
      <c r="T3" s="5">
        <v>0</v>
      </c>
      <c r="U3" s="5">
        <v>0</v>
      </c>
    </row>
    <row r="4" spans="1:21" x14ac:dyDescent="0.25">
      <c r="A4" t="s">
        <v>64</v>
      </c>
      <c r="B4" s="5">
        <v>171</v>
      </c>
      <c r="C4" s="5">
        <v>111</v>
      </c>
      <c r="D4" s="5">
        <v>0.64912280701754299</v>
      </c>
      <c r="E4" s="5">
        <v>0.47953216374268998</v>
      </c>
      <c r="F4" s="5">
        <v>0.80180180180180105</v>
      </c>
      <c r="G4" s="5">
        <v>0.82932859377252699</v>
      </c>
      <c r="H4" s="5">
        <v>4.6783625730994101E-2</v>
      </c>
      <c r="I4" s="5">
        <v>0</v>
      </c>
      <c r="J4" s="5">
        <v>8</v>
      </c>
      <c r="K4" s="5">
        <v>0</v>
      </c>
      <c r="L4" s="5">
        <v>4</v>
      </c>
      <c r="M4" s="5">
        <v>0.51764705882352902</v>
      </c>
      <c r="N4" s="5">
        <v>88</v>
      </c>
      <c r="O4" s="5">
        <v>170</v>
      </c>
      <c r="P4" s="5">
        <v>13</v>
      </c>
      <c r="Q4" s="5">
        <v>13.1538461538461</v>
      </c>
      <c r="R4" s="5">
        <v>1.5384615384615301</v>
      </c>
      <c r="S4" s="5">
        <v>20</v>
      </c>
      <c r="T4" s="5">
        <v>0</v>
      </c>
      <c r="U4" s="5">
        <v>0</v>
      </c>
    </row>
    <row r="5" spans="1:21" x14ac:dyDescent="0.25">
      <c r="A5" t="s">
        <v>74</v>
      </c>
      <c r="B5" s="5">
        <v>175</v>
      </c>
      <c r="C5" s="5">
        <v>131</v>
      </c>
      <c r="D5" s="5">
        <v>0.748571428571428</v>
      </c>
      <c r="E5" s="5">
        <v>0.36571428571428499</v>
      </c>
      <c r="F5" s="5">
        <v>0.84732824427480902</v>
      </c>
      <c r="G5" s="5">
        <v>0.89957288708250505</v>
      </c>
      <c r="H5" s="5">
        <v>2.8571428571428501E-2</v>
      </c>
      <c r="I5" s="5">
        <v>1.1428571428571401E-2</v>
      </c>
      <c r="J5" s="5">
        <v>5</v>
      </c>
      <c r="K5" s="5">
        <v>2</v>
      </c>
      <c r="L5" s="5">
        <v>4</v>
      </c>
      <c r="M5" s="5">
        <v>0.55747126436781602</v>
      </c>
      <c r="N5" s="5">
        <v>97</v>
      </c>
      <c r="O5" s="5">
        <v>174</v>
      </c>
      <c r="P5" s="5">
        <v>13</v>
      </c>
      <c r="Q5" s="5">
        <v>13.4615384615384</v>
      </c>
      <c r="R5" s="5">
        <v>1.92307692307692</v>
      </c>
      <c r="S5" s="5">
        <v>25</v>
      </c>
      <c r="T5" s="5">
        <v>0</v>
      </c>
      <c r="U5" s="5">
        <v>0</v>
      </c>
    </row>
    <row r="6" spans="1:21" x14ac:dyDescent="0.25">
      <c r="A6" t="s">
        <v>85</v>
      </c>
      <c r="B6" s="5">
        <v>230</v>
      </c>
      <c r="C6" s="5">
        <v>136</v>
      </c>
      <c r="D6" s="5">
        <v>0.59130434782608698</v>
      </c>
      <c r="E6" s="5">
        <v>0.53913043478260803</v>
      </c>
      <c r="F6" s="5">
        <v>0.77941176470588203</v>
      </c>
      <c r="G6" s="5">
        <v>0.81776179520298098</v>
      </c>
      <c r="H6" s="5">
        <v>3.4782608695652098E-2</v>
      </c>
      <c r="I6" s="5">
        <v>1.7391304347826E-2</v>
      </c>
      <c r="J6" s="5">
        <v>8</v>
      </c>
      <c r="K6" s="5">
        <v>4</v>
      </c>
      <c r="L6" s="5">
        <v>4</v>
      </c>
      <c r="M6" s="5">
        <v>0.46086956521739098</v>
      </c>
      <c r="N6" s="5">
        <v>106</v>
      </c>
      <c r="O6" s="5">
        <v>230</v>
      </c>
      <c r="P6" s="5">
        <v>6</v>
      </c>
      <c r="Q6" s="5">
        <v>38.3333333333333</v>
      </c>
      <c r="R6" s="5">
        <v>6</v>
      </c>
      <c r="S6" s="5">
        <v>36</v>
      </c>
      <c r="T6" s="5">
        <v>1</v>
      </c>
      <c r="U6" s="5">
        <v>0.59754967287267602</v>
      </c>
    </row>
    <row r="7" spans="1:21" x14ac:dyDescent="0.25">
      <c r="A7" t="s">
        <v>97</v>
      </c>
      <c r="B7" s="5">
        <v>197</v>
      </c>
      <c r="C7" s="5">
        <v>148</v>
      </c>
      <c r="D7" s="5">
        <v>0.75126903553299496</v>
      </c>
      <c r="E7" s="5">
        <v>0.38071065989847702</v>
      </c>
      <c r="F7" s="5">
        <v>0.82432432432432401</v>
      </c>
      <c r="G7" s="5">
        <v>0.91326998944426396</v>
      </c>
      <c r="H7" s="5">
        <v>1.5228426395939E-2</v>
      </c>
      <c r="I7" s="5">
        <v>1.5228426395939E-2</v>
      </c>
      <c r="J7" s="5">
        <v>3</v>
      </c>
      <c r="K7" s="5">
        <v>3</v>
      </c>
      <c r="L7" s="5">
        <v>4</v>
      </c>
      <c r="M7" s="5">
        <v>0.61928934010152203</v>
      </c>
      <c r="N7" s="5">
        <v>122</v>
      </c>
      <c r="O7" s="5">
        <v>197</v>
      </c>
      <c r="P7" s="5">
        <v>10</v>
      </c>
      <c r="Q7" s="5">
        <v>19.7</v>
      </c>
      <c r="R7" s="5">
        <v>2.2000000000000002</v>
      </c>
      <c r="S7" s="5">
        <v>22</v>
      </c>
      <c r="T7" s="5">
        <v>0</v>
      </c>
      <c r="U7" s="5">
        <v>0</v>
      </c>
    </row>
    <row r="8" spans="1:21" x14ac:dyDescent="0.25">
      <c r="A8" t="s">
        <v>107</v>
      </c>
      <c r="B8" s="5">
        <v>201</v>
      </c>
      <c r="C8" s="5">
        <v>131</v>
      </c>
      <c r="D8" s="5">
        <v>0.65174129353233801</v>
      </c>
      <c r="E8" s="5">
        <v>0.482587064676616</v>
      </c>
      <c r="F8" s="5">
        <v>0.79389312977099202</v>
      </c>
      <c r="G8" s="5">
        <v>0.85867542964934496</v>
      </c>
      <c r="H8" s="5">
        <v>1.4925373134328301E-2</v>
      </c>
      <c r="I8" s="5">
        <v>2.4875621890547199E-2</v>
      </c>
      <c r="J8" s="5">
        <v>3</v>
      </c>
      <c r="K8" s="5">
        <v>5</v>
      </c>
      <c r="L8" s="5">
        <v>3</v>
      </c>
      <c r="M8" s="5">
        <v>0.482587064676616</v>
      </c>
      <c r="N8" s="5">
        <v>97</v>
      </c>
      <c r="O8" s="5">
        <v>201</v>
      </c>
      <c r="P8" s="5">
        <v>26</v>
      </c>
      <c r="Q8" s="5">
        <v>7.7307692307692299</v>
      </c>
      <c r="R8" s="5">
        <v>0.76923076923076905</v>
      </c>
      <c r="S8" s="5">
        <v>20</v>
      </c>
      <c r="T8" s="5">
        <v>0</v>
      </c>
      <c r="U8" s="5">
        <v>0</v>
      </c>
    </row>
    <row r="9" spans="1:21" x14ac:dyDescent="0.25">
      <c r="A9" t="s">
        <v>117</v>
      </c>
      <c r="B9" s="5">
        <v>180</v>
      </c>
      <c r="C9" s="5">
        <v>126</v>
      </c>
      <c r="D9" s="5">
        <v>0.7</v>
      </c>
      <c r="E9" s="5">
        <v>0.46111111111111103</v>
      </c>
      <c r="F9" s="5">
        <v>0.76984126984126899</v>
      </c>
      <c r="G9" s="5">
        <v>0.89355532680513405</v>
      </c>
      <c r="H9" s="5">
        <v>1.1111111111111099E-2</v>
      </c>
      <c r="I9" s="5">
        <v>4.4444444444444398E-2</v>
      </c>
      <c r="J9" s="5">
        <v>2</v>
      </c>
      <c r="K9" s="5">
        <v>8</v>
      </c>
      <c r="L9" s="5">
        <v>3</v>
      </c>
      <c r="M9" s="5">
        <v>0.53038674033149102</v>
      </c>
      <c r="N9" s="5">
        <v>96</v>
      </c>
      <c r="O9" s="5">
        <v>181</v>
      </c>
      <c r="P9" s="5">
        <v>12</v>
      </c>
      <c r="Q9" s="5" t="s">
        <v>125</v>
      </c>
      <c r="R9" s="5">
        <v>2.25</v>
      </c>
      <c r="S9" s="5">
        <v>27</v>
      </c>
      <c r="T9" s="5">
        <v>0</v>
      </c>
      <c r="U9" s="5">
        <v>0</v>
      </c>
    </row>
    <row r="10" spans="1:21" x14ac:dyDescent="0.25">
      <c r="A10" t="s">
        <v>128</v>
      </c>
      <c r="B10" s="5">
        <v>273</v>
      </c>
      <c r="C10" s="5">
        <v>156</v>
      </c>
      <c r="D10" s="5">
        <v>0.57142857142857095</v>
      </c>
      <c r="E10" s="5">
        <v>0.56043956043956</v>
      </c>
      <c r="F10" s="5">
        <v>0.76923076923076905</v>
      </c>
      <c r="G10" s="5">
        <v>0.83238278633686402</v>
      </c>
      <c r="H10" s="5">
        <v>1.46520146520146E-2</v>
      </c>
      <c r="I10" s="5">
        <v>2.5641025641025599E-2</v>
      </c>
      <c r="J10" s="5">
        <v>4</v>
      </c>
      <c r="K10" s="5">
        <v>7</v>
      </c>
      <c r="L10" s="5">
        <v>4</v>
      </c>
      <c r="M10" s="5">
        <v>0.44727272727272699</v>
      </c>
      <c r="N10" s="5">
        <v>123</v>
      </c>
      <c r="O10" s="5">
        <v>275</v>
      </c>
      <c r="P10" s="5">
        <v>10</v>
      </c>
      <c r="Q10" s="5">
        <v>27.3</v>
      </c>
      <c r="R10" s="5">
        <v>4.8</v>
      </c>
      <c r="S10" s="5">
        <v>48</v>
      </c>
      <c r="T10" s="5">
        <v>0</v>
      </c>
      <c r="U10" s="5">
        <v>0</v>
      </c>
    </row>
    <row r="11" spans="1:21" x14ac:dyDescent="0.25">
      <c r="A11" t="s">
        <v>138</v>
      </c>
      <c r="B11" s="5">
        <v>133</v>
      </c>
      <c r="C11" s="5">
        <v>94</v>
      </c>
      <c r="D11" s="5">
        <v>0.70676691729323304</v>
      </c>
      <c r="E11" s="5">
        <v>0.42857142857142799</v>
      </c>
      <c r="F11" s="5">
        <v>0.80851063829787195</v>
      </c>
      <c r="G11" s="5">
        <v>0.85547534377779799</v>
      </c>
      <c r="H11" s="5">
        <v>0</v>
      </c>
      <c r="I11" s="5">
        <v>1.50375939849624E-2</v>
      </c>
      <c r="J11" s="5">
        <v>0</v>
      </c>
      <c r="K11" s="5">
        <v>2</v>
      </c>
      <c r="L11" s="5">
        <v>2</v>
      </c>
      <c r="M11" s="5">
        <v>0.53731343283582</v>
      </c>
      <c r="N11" s="5">
        <v>72</v>
      </c>
      <c r="O11" s="5">
        <v>134</v>
      </c>
      <c r="P11" s="5">
        <v>8</v>
      </c>
      <c r="Q11" s="5">
        <v>16.625</v>
      </c>
      <c r="R11" s="5">
        <v>2</v>
      </c>
      <c r="S11" s="5">
        <v>16</v>
      </c>
      <c r="T11" s="5">
        <v>0</v>
      </c>
      <c r="U11" s="5">
        <v>0</v>
      </c>
    </row>
    <row r="12" spans="1:21" x14ac:dyDescent="0.25">
      <c r="A12" t="s">
        <v>148</v>
      </c>
      <c r="B12" s="5">
        <v>194</v>
      </c>
      <c r="C12" s="5">
        <v>131</v>
      </c>
      <c r="D12" s="5">
        <v>0.67525773195876204</v>
      </c>
      <c r="E12" s="5">
        <v>0.48969072164948402</v>
      </c>
      <c r="F12" s="5">
        <v>0.75572519083969403</v>
      </c>
      <c r="G12" s="5">
        <v>0.88029091649112701</v>
      </c>
      <c r="H12" s="5">
        <v>2.06185567010309E-2</v>
      </c>
      <c r="I12" s="5">
        <v>1.5463917525773099E-2</v>
      </c>
      <c r="J12" s="5">
        <v>4</v>
      </c>
      <c r="K12" s="5">
        <v>3</v>
      </c>
      <c r="L12" s="5">
        <v>4</v>
      </c>
      <c r="M12" s="5">
        <v>0.52820512820512799</v>
      </c>
      <c r="N12" s="5">
        <v>103</v>
      </c>
      <c r="O12" s="5">
        <v>195</v>
      </c>
      <c r="P12" s="5">
        <v>6</v>
      </c>
      <c r="Q12" s="5">
        <v>32.3333333333333</v>
      </c>
      <c r="R12" s="5">
        <v>4.1666666666666599</v>
      </c>
      <c r="S12" s="5">
        <v>25</v>
      </c>
      <c r="T12" s="5">
        <v>0</v>
      </c>
      <c r="U12" s="5">
        <v>0</v>
      </c>
    </row>
    <row r="13" spans="1:21" x14ac:dyDescent="0.25">
      <c r="A13" t="s">
        <v>159</v>
      </c>
      <c r="B13" s="5">
        <v>165</v>
      </c>
      <c r="C13" s="5">
        <v>121</v>
      </c>
      <c r="D13" s="5">
        <v>0.73333333333333295</v>
      </c>
      <c r="E13" s="5">
        <v>0.38787878787878699</v>
      </c>
      <c r="F13" s="5">
        <v>0.834710743801652</v>
      </c>
      <c r="G13" s="5">
        <v>0.88771638194514102</v>
      </c>
      <c r="H13" s="5">
        <v>1.21212121212121E-2</v>
      </c>
      <c r="I13" s="5">
        <v>3.03030303030303E-2</v>
      </c>
      <c r="J13" s="5">
        <v>2</v>
      </c>
      <c r="K13" s="5">
        <v>5</v>
      </c>
      <c r="L13" s="5">
        <v>3</v>
      </c>
      <c r="M13" s="5">
        <v>0.56626506024096301</v>
      </c>
      <c r="N13" s="5">
        <v>94</v>
      </c>
      <c r="O13" s="5">
        <v>166</v>
      </c>
      <c r="P13" s="5">
        <v>8</v>
      </c>
      <c r="Q13" s="5">
        <v>20.625</v>
      </c>
      <c r="R13" s="5">
        <v>3</v>
      </c>
      <c r="S13" s="5">
        <v>24</v>
      </c>
      <c r="T13" s="5">
        <v>0</v>
      </c>
      <c r="U13" s="5">
        <v>0</v>
      </c>
    </row>
    <row r="14" spans="1:21" x14ac:dyDescent="0.25">
      <c r="A14" t="s">
        <v>170</v>
      </c>
      <c r="B14" s="5">
        <v>256</v>
      </c>
      <c r="C14" s="5">
        <v>171</v>
      </c>
      <c r="D14" s="5">
        <v>0.66796875</v>
      </c>
      <c r="E14" s="5">
        <v>0.484375</v>
      </c>
      <c r="F14" s="5">
        <v>0.77192982456140302</v>
      </c>
      <c r="G14" s="5">
        <v>0.88783060695614002</v>
      </c>
      <c r="H14" s="5">
        <v>1.5625E-2</v>
      </c>
      <c r="I14" s="5">
        <v>1.953125E-2</v>
      </c>
      <c r="J14" s="5">
        <v>4</v>
      </c>
      <c r="K14" s="5">
        <v>5</v>
      </c>
      <c r="L14" s="5">
        <v>4</v>
      </c>
      <c r="M14" s="5">
        <v>0.51750972762645897</v>
      </c>
      <c r="N14" s="5">
        <v>133</v>
      </c>
      <c r="O14" s="5">
        <v>257</v>
      </c>
      <c r="P14" s="5">
        <v>8</v>
      </c>
      <c r="Q14" s="5" t="s">
        <v>178</v>
      </c>
      <c r="R14" s="5">
        <v>4.625</v>
      </c>
      <c r="S14" s="5">
        <v>37</v>
      </c>
      <c r="T14" s="5">
        <v>0</v>
      </c>
      <c r="U14" s="5">
        <v>0</v>
      </c>
    </row>
    <row r="15" spans="1:21" x14ac:dyDescent="0.25">
      <c r="A15" t="s">
        <v>181</v>
      </c>
      <c r="B15" s="5">
        <v>231</v>
      </c>
      <c r="C15" s="5">
        <v>142</v>
      </c>
      <c r="D15" s="5">
        <v>0.614718614718614</v>
      </c>
      <c r="E15" s="5">
        <v>0.53246753246753198</v>
      </c>
      <c r="F15" s="5">
        <v>0.76056338028169002</v>
      </c>
      <c r="G15" s="5">
        <v>0.85546970767487196</v>
      </c>
      <c r="H15" s="5">
        <v>2.1645021645021599E-2</v>
      </c>
      <c r="I15" s="5">
        <v>3.03030303030303E-2</v>
      </c>
      <c r="J15" s="5">
        <v>5</v>
      </c>
      <c r="K15" s="5">
        <v>7</v>
      </c>
      <c r="L15" s="5">
        <v>5</v>
      </c>
      <c r="M15" s="5">
        <v>0.50216450216450204</v>
      </c>
      <c r="N15" s="5">
        <v>116</v>
      </c>
      <c r="O15" s="5">
        <v>231</v>
      </c>
      <c r="P15" s="5">
        <v>10</v>
      </c>
      <c r="Q15" s="5">
        <v>23.1</v>
      </c>
      <c r="R15" s="5">
        <v>4.5</v>
      </c>
      <c r="S15" s="5">
        <v>45</v>
      </c>
      <c r="T15" s="5">
        <v>0</v>
      </c>
      <c r="U15" s="5">
        <v>0</v>
      </c>
    </row>
    <row r="16" spans="1:21" x14ac:dyDescent="0.25">
      <c r="A16" t="s">
        <v>191</v>
      </c>
      <c r="B16" s="5">
        <v>183</v>
      </c>
      <c r="C16" s="5">
        <v>129</v>
      </c>
      <c r="D16" s="5">
        <v>0.70491803278688503</v>
      </c>
      <c r="E16" s="5">
        <v>0.43715846994535501</v>
      </c>
      <c r="F16" s="5">
        <v>0.79844961240309997</v>
      </c>
      <c r="G16" s="5">
        <v>0.87858008400760101</v>
      </c>
      <c r="H16" s="5">
        <v>2.1857923497267701E-2</v>
      </c>
      <c r="I16" s="5">
        <v>1.63934426229508E-2</v>
      </c>
      <c r="J16" s="5">
        <v>4</v>
      </c>
      <c r="K16" s="5">
        <v>3</v>
      </c>
      <c r="L16" s="5">
        <v>2</v>
      </c>
      <c r="M16" s="5">
        <v>0.54098360655737698</v>
      </c>
      <c r="N16" s="5">
        <v>99</v>
      </c>
      <c r="O16" s="5">
        <v>183</v>
      </c>
      <c r="P16" s="5">
        <v>10</v>
      </c>
      <c r="Q16" s="5">
        <v>18.3</v>
      </c>
      <c r="R16" s="5">
        <v>2</v>
      </c>
      <c r="S16" s="5">
        <v>20</v>
      </c>
      <c r="T16" s="5">
        <v>0</v>
      </c>
      <c r="U16" s="5">
        <v>0</v>
      </c>
    </row>
    <row r="17" spans="1:21" x14ac:dyDescent="0.25">
      <c r="A17" t="s">
        <v>200</v>
      </c>
      <c r="B17" s="5">
        <v>255</v>
      </c>
      <c r="C17" s="5">
        <v>153</v>
      </c>
      <c r="D17" s="5">
        <v>0.6</v>
      </c>
      <c r="E17" s="5">
        <v>0.58039215686274503</v>
      </c>
      <c r="F17" s="5">
        <v>0.69934640522875802</v>
      </c>
      <c r="G17" s="5">
        <v>0.87449671797093298</v>
      </c>
      <c r="H17" s="5">
        <v>4.31372549019607E-2</v>
      </c>
      <c r="I17" s="5">
        <v>3.9215686274509803E-2</v>
      </c>
      <c r="J17" s="5">
        <v>11</v>
      </c>
      <c r="K17" s="5">
        <v>10</v>
      </c>
      <c r="L17" s="5">
        <v>3</v>
      </c>
      <c r="M17" s="5">
        <v>0.49019607843137197</v>
      </c>
      <c r="N17" s="5">
        <v>125</v>
      </c>
      <c r="O17" s="5">
        <v>255</v>
      </c>
      <c r="P17" s="5">
        <v>9</v>
      </c>
      <c r="Q17" s="5">
        <v>28.3333333333333</v>
      </c>
      <c r="R17" s="5">
        <v>4</v>
      </c>
      <c r="S17" s="5">
        <v>36</v>
      </c>
      <c r="T17" s="5">
        <v>1</v>
      </c>
      <c r="U17" s="5">
        <v>0.58150769195356899</v>
      </c>
    </row>
    <row r="18" spans="1:21" x14ac:dyDescent="0.25">
      <c r="A18" t="s">
        <v>212</v>
      </c>
      <c r="B18" s="5">
        <v>125</v>
      </c>
      <c r="C18" s="5">
        <v>93</v>
      </c>
      <c r="D18" s="5">
        <v>0.74399999999999999</v>
      </c>
      <c r="E18" s="5">
        <v>0.39200000000000002</v>
      </c>
      <c r="F18" s="5">
        <v>0.81720430107526798</v>
      </c>
      <c r="G18" s="5">
        <v>0.87241524771132895</v>
      </c>
      <c r="H18" s="5">
        <v>2.4E-2</v>
      </c>
      <c r="I18" s="5">
        <v>8.0000000000000002E-3</v>
      </c>
      <c r="J18" s="5">
        <v>3</v>
      </c>
      <c r="K18" s="5">
        <v>1</v>
      </c>
      <c r="L18" s="5">
        <v>3</v>
      </c>
      <c r="M18" s="5">
        <v>0.52</v>
      </c>
      <c r="N18" s="5">
        <v>65</v>
      </c>
      <c r="O18" s="5">
        <v>125</v>
      </c>
      <c r="P18" s="5">
        <v>11</v>
      </c>
      <c r="Q18" s="5">
        <v>11.363636363636299</v>
      </c>
      <c r="R18" s="5">
        <v>1.36363636363636</v>
      </c>
      <c r="S18" s="5">
        <v>15</v>
      </c>
      <c r="T18" s="5">
        <v>0</v>
      </c>
      <c r="U18" s="5">
        <v>0</v>
      </c>
    </row>
    <row r="19" spans="1:21" x14ac:dyDescent="0.25">
      <c r="A19" t="s">
        <v>223</v>
      </c>
      <c r="B19" s="5">
        <v>156</v>
      </c>
      <c r="C19" s="5">
        <v>110</v>
      </c>
      <c r="D19" s="5">
        <v>0.70512820512820495</v>
      </c>
      <c r="E19" s="5">
        <v>0.42948717948717902</v>
      </c>
      <c r="F19" s="5">
        <v>0.80909090909090897</v>
      </c>
      <c r="G19" s="5">
        <v>0.86524044200459205</v>
      </c>
      <c r="H19" s="5">
        <v>6.41025641025641E-3</v>
      </c>
      <c r="I19" s="5">
        <v>0</v>
      </c>
      <c r="J19" s="5">
        <v>1</v>
      </c>
      <c r="K19" s="5">
        <v>0</v>
      </c>
      <c r="L19" s="5">
        <v>4</v>
      </c>
      <c r="M19" s="5">
        <v>0.53749999999999998</v>
      </c>
      <c r="N19" s="5">
        <v>86</v>
      </c>
      <c r="O19" s="5">
        <v>160</v>
      </c>
      <c r="P19" s="5">
        <v>7</v>
      </c>
      <c r="Q19" s="5">
        <v>22.285714285714199</v>
      </c>
      <c r="R19" s="5">
        <v>2.4285714285714199</v>
      </c>
      <c r="S19" s="5">
        <v>17</v>
      </c>
      <c r="T19" s="5">
        <v>0</v>
      </c>
      <c r="U19" s="5">
        <v>0</v>
      </c>
    </row>
    <row r="20" spans="1:21" x14ac:dyDescent="0.25">
      <c r="A20" t="s">
        <v>233</v>
      </c>
      <c r="B20" s="5">
        <v>162</v>
      </c>
      <c r="C20" s="5">
        <v>121</v>
      </c>
      <c r="D20" s="5">
        <v>0.74691358024691301</v>
      </c>
      <c r="E20" s="5">
        <v>0.37037037037037002</v>
      </c>
      <c r="F20" s="5">
        <v>0.84297520661156999</v>
      </c>
      <c r="G20" s="5">
        <v>0.88789716126621798</v>
      </c>
      <c r="H20" s="5">
        <v>1.23456790123456E-2</v>
      </c>
      <c r="I20" s="5">
        <v>0</v>
      </c>
      <c r="J20" s="5">
        <v>2</v>
      </c>
      <c r="K20" s="5">
        <v>0</v>
      </c>
      <c r="L20" s="5">
        <v>3</v>
      </c>
      <c r="M20" s="5">
        <v>0.542682926829268</v>
      </c>
      <c r="N20" s="5">
        <v>89</v>
      </c>
      <c r="O20" s="5">
        <v>164</v>
      </c>
      <c r="P20" s="5">
        <v>14</v>
      </c>
      <c r="Q20" s="5">
        <v>11.5714285714285</v>
      </c>
      <c r="R20" s="5">
        <v>1.6428571428571399</v>
      </c>
      <c r="S20" s="5">
        <v>23</v>
      </c>
      <c r="T20" s="5">
        <v>0</v>
      </c>
      <c r="U20" s="5">
        <v>0</v>
      </c>
    </row>
    <row r="21" spans="1:21" x14ac:dyDescent="0.25">
      <c r="A21" t="s">
        <v>243</v>
      </c>
      <c r="B21" s="5">
        <v>154</v>
      </c>
      <c r="C21" s="5">
        <v>119</v>
      </c>
      <c r="D21" s="5">
        <v>0.77272727272727204</v>
      </c>
      <c r="E21" s="5">
        <v>0.35064935064934999</v>
      </c>
      <c r="F21" s="5">
        <v>0.84033613445378097</v>
      </c>
      <c r="G21" s="5">
        <v>0.90846273538674005</v>
      </c>
      <c r="H21" s="5">
        <v>2.5974025974025899E-2</v>
      </c>
      <c r="I21" s="5">
        <v>6.4935064935064896E-3</v>
      </c>
      <c r="J21" s="5">
        <v>4</v>
      </c>
      <c r="K21" s="5">
        <v>1</v>
      </c>
      <c r="L21" s="5">
        <v>3</v>
      </c>
      <c r="M21" s="5">
        <v>0.56774193548387097</v>
      </c>
      <c r="N21" s="5">
        <v>88</v>
      </c>
      <c r="O21" s="5">
        <v>155</v>
      </c>
      <c r="P21" s="5">
        <v>14</v>
      </c>
      <c r="Q21" s="5" t="s">
        <v>251</v>
      </c>
      <c r="R21" s="5">
        <v>1.4285714285714199</v>
      </c>
      <c r="S21" s="5">
        <v>20</v>
      </c>
      <c r="T21" s="5">
        <v>0</v>
      </c>
      <c r="U21" s="5">
        <v>0</v>
      </c>
    </row>
    <row r="22" spans="1:21" x14ac:dyDescent="0.25">
      <c r="A22" t="s">
        <v>254</v>
      </c>
      <c r="B22" s="5">
        <v>154</v>
      </c>
      <c r="C22" s="5">
        <v>96</v>
      </c>
      <c r="D22" s="5">
        <v>0.62337662337662303</v>
      </c>
      <c r="E22" s="5">
        <v>0.55844155844155796</v>
      </c>
      <c r="F22" s="5">
        <v>0.70833333333333304</v>
      </c>
      <c r="G22" s="5">
        <v>0.83723931536329699</v>
      </c>
      <c r="H22" s="5">
        <v>2.5974025974025899E-2</v>
      </c>
      <c r="I22" s="5">
        <v>1.2987012987012899E-2</v>
      </c>
      <c r="J22" s="5">
        <v>4</v>
      </c>
      <c r="K22" s="5">
        <v>2</v>
      </c>
      <c r="L22" s="5">
        <v>2</v>
      </c>
      <c r="M22" s="5">
        <v>0.52597402597402598</v>
      </c>
      <c r="N22" s="5">
        <v>81</v>
      </c>
      <c r="O22" s="5">
        <v>154</v>
      </c>
      <c r="P22" s="5">
        <v>11</v>
      </c>
      <c r="Q22" s="5" t="s">
        <v>261</v>
      </c>
      <c r="R22" s="5">
        <v>1.36363636363636</v>
      </c>
      <c r="S22" s="5">
        <v>15</v>
      </c>
      <c r="T22" s="5">
        <v>0</v>
      </c>
      <c r="U22" s="5">
        <v>0</v>
      </c>
    </row>
    <row r="23" spans="1:21" x14ac:dyDescent="0.25">
      <c r="A23" t="s">
        <v>263</v>
      </c>
      <c r="B23" s="5">
        <v>192</v>
      </c>
      <c r="C23" s="5">
        <v>126</v>
      </c>
      <c r="D23" s="5">
        <v>0.65625</v>
      </c>
      <c r="E23" s="5">
        <v>0.484375</v>
      </c>
      <c r="F23" s="5">
        <v>0.78571428571428503</v>
      </c>
      <c r="G23" s="5">
        <v>0.85724950638477804</v>
      </c>
      <c r="H23" s="5">
        <v>4.1666666666666602E-2</v>
      </c>
      <c r="I23" s="5">
        <v>1.5625E-2</v>
      </c>
      <c r="J23" s="5">
        <v>8</v>
      </c>
      <c r="K23" s="5">
        <v>3</v>
      </c>
      <c r="L23" s="5">
        <v>3</v>
      </c>
      <c r="M23" s="5">
        <v>0.50777202072538796</v>
      </c>
      <c r="N23" s="5">
        <v>98</v>
      </c>
      <c r="O23" s="5">
        <v>193</v>
      </c>
      <c r="P23" s="5">
        <v>13</v>
      </c>
      <c r="Q23" s="5">
        <v>14.769230769230701</v>
      </c>
      <c r="R23" s="5">
        <v>2.6153846153846101</v>
      </c>
      <c r="S23" s="5">
        <v>34</v>
      </c>
      <c r="T23" s="5">
        <v>0</v>
      </c>
      <c r="U23" s="5">
        <v>0</v>
      </c>
    </row>
    <row r="24" spans="1:21" x14ac:dyDescent="0.25">
      <c r="A24" t="s">
        <v>272</v>
      </c>
      <c r="B24" s="5">
        <v>95</v>
      </c>
      <c r="C24" s="5">
        <v>72</v>
      </c>
      <c r="D24" s="5">
        <v>0.75789473684210495</v>
      </c>
      <c r="E24" s="5">
        <v>0.41052631578947302</v>
      </c>
      <c r="F24" s="5">
        <v>0.77777777777777701</v>
      </c>
      <c r="G24" s="5">
        <v>0.86953034062781198</v>
      </c>
      <c r="H24" s="5">
        <v>0</v>
      </c>
      <c r="I24" s="5">
        <v>0</v>
      </c>
      <c r="J24" s="5">
        <v>0</v>
      </c>
      <c r="K24" s="5">
        <v>0</v>
      </c>
      <c r="L24" s="5">
        <v>3</v>
      </c>
      <c r="M24" s="5">
        <v>0.63157894736842102</v>
      </c>
      <c r="N24" s="5">
        <v>60</v>
      </c>
      <c r="O24" s="5">
        <v>95</v>
      </c>
      <c r="P24" s="5">
        <v>14</v>
      </c>
      <c r="Q24" s="5">
        <v>6.7857142857142803</v>
      </c>
      <c r="R24" s="5">
        <v>0.78571428571428503</v>
      </c>
      <c r="S24" s="5">
        <v>11</v>
      </c>
      <c r="T24" s="5">
        <v>0</v>
      </c>
      <c r="U24" s="5">
        <v>0</v>
      </c>
    </row>
    <row r="25" spans="1:21" x14ac:dyDescent="0.25">
      <c r="A25" t="s">
        <v>280</v>
      </c>
      <c r="B25" s="5">
        <v>109</v>
      </c>
      <c r="C25" s="5">
        <v>89</v>
      </c>
      <c r="D25" s="5">
        <v>0.81651376146788901</v>
      </c>
      <c r="E25" s="5">
        <v>0.28440366972476999</v>
      </c>
      <c r="F25" s="5">
        <v>0.87640449438202195</v>
      </c>
      <c r="G25" s="5">
        <v>0.906641937720707</v>
      </c>
      <c r="H25" s="5">
        <v>2.7522935779816501E-2</v>
      </c>
      <c r="I25" s="5">
        <v>0</v>
      </c>
      <c r="J25" s="5">
        <v>3</v>
      </c>
      <c r="K25" s="5">
        <v>0</v>
      </c>
      <c r="L25" s="5">
        <v>2</v>
      </c>
      <c r="M25" s="5">
        <v>0.54054054054054002</v>
      </c>
      <c r="N25" s="5">
        <v>60</v>
      </c>
      <c r="O25" s="5">
        <v>111</v>
      </c>
      <c r="P25" s="5">
        <v>3</v>
      </c>
      <c r="Q25" s="5">
        <v>36.3333333333333</v>
      </c>
      <c r="R25" s="5">
        <v>4.6666666666666599</v>
      </c>
      <c r="S25" s="5">
        <v>14</v>
      </c>
      <c r="T25" s="5">
        <v>0</v>
      </c>
      <c r="U25" s="5">
        <v>0</v>
      </c>
    </row>
    <row r="26" spans="1:21" x14ac:dyDescent="0.25">
      <c r="A26" t="s">
        <v>290</v>
      </c>
      <c r="B26" s="5">
        <v>182</v>
      </c>
      <c r="C26" s="5">
        <v>132</v>
      </c>
      <c r="D26" s="5">
        <v>0.72527472527472503</v>
      </c>
      <c r="E26" s="5">
        <v>0.40109890109890101</v>
      </c>
      <c r="F26" s="5">
        <v>0.82575757575757502</v>
      </c>
      <c r="G26" s="5">
        <v>0.89501044413472197</v>
      </c>
      <c r="H26" s="5">
        <v>2.19780219780219E-2</v>
      </c>
      <c r="I26" s="5">
        <v>2.19780219780219E-2</v>
      </c>
      <c r="J26" s="5">
        <v>4</v>
      </c>
      <c r="K26" s="5">
        <v>4</v>
      </c>
      <c r="L26" s="5">
        <v>2</v>
      </c>
      <c r="M26" s="5">
        <v>0.54644808743169404</v>
      </c>
      <c r="N26" s="5">
        <v>100</v>
      </c>
      <c r="O26" s="5">
        <v>183</v>
      </c>
      <c r="P26" s="5">
        <v>16</v>
      </c>
      <c r="Q26" s="5">
        <v>11.375</v>
      </c>
      <c r="R26" s="5">
        <v>1.6875</v>
      </c>
      <c r="S26" s="5">
        <v>27</v>
      </c>
      <c r="T26" s="5">
        <v>0</v>
      </c>
      <c r="U26" s="5">
        <v>0</v>
      </c>
    </row>
    <row r="27" spans="1:21" x14ac:dyDescent="0.25">
      <c r="A27" t="s">
        <v>300</v>
      </c>
      <c r="B27" s="5">
        <v>129</v>
      </c>
      <c r="C27" s="5">
        <v>99</v>
      </c>
      <c r="D27" s="5">
        <v>0.76744186046511598</v>
      </c>
      <c r="E27" s="5">
        <v>0.36434108527131698</v>
      </c>
      <c r="F27" s="5">
        <v>0.82828282828282795</v>
      </c>
      <c r="G27" s="5">
        <v>0.89796253302639395</v>
      </c>
      <c r="H27" s="5">
        <v>2.3255813953488299E-2</v>
      </c>
      <c r="I27" s="5">
        <v>0</v>
      </c>
      <c r="J27" s="5">
        <v>3</v>
      </c>
      <c r="K27" s="5">
        <v>0</v>
      </c>
      <c r="L27" s="5">
        <v>3</v>
      </c>
      <c r="M27" s="5">
        <v>0.6</v>
      </c>
      <c r="N27" s="5">
        <v>75</v>
      </c>
      <c r="O27" s="5">
        <v>125</v>
      </c>
      <c r="P27" s="5">
        <v>14</v>
      </c>
      <c r="Q27" s="5">
        <v>9.21428571428571</v>
      </c>
      <c r="R27" s="5">
        <v>0.71428571428571397</v>
      </c>
      <c r="S27" s="5">
        <v>10</v>
      </c>
      <c r="T27" s="5">
        <v>0</v>
      </c>
      <c r="U27" s="5">
        <v>0</v>
      </c>
    </row>
    <row r="28" spans="1:21" x14ac:dyDescent="0.25">
      <c r="A28" t="s">
        <v>309</v>
      </c>
      <c r="B28" s="5">
        <v>166</v>
      </c>
      <c r="C28" s="5">
        <v>118</v>
      </c>
      <c r="D28" s="5">
        <v>0.71084337349397497</v>
      </c>
      <c r="E28" s="5">
        <v>0.43975903614457801</v>
      </c>
      <c r="F28" s="5">
        <v>0.78813559322033899</v>
      </c>
      <c r="G28" s="5">
        <v>0.88357330884074403</v>
      </c>
      <c r="H28" s="5">
        <v>1.20481927710843E-2</v>
      </c>
      <c r="I28" s="5">
        <v>1.8072289156626498E-2</v>
      </c>
      <c r="J28" s="5">
        <v>2</v>
      </c>
      <c r="K28" s="5">
        <v>3</v>
      </c>
      <c r="L28" s="5">
        <v>4</v>
      </c>
      <c r="M28" s="5">
        <v>0.57485029940119703</v>
      </c>
      <c r="N28" s="5">
        <v>96</v>
      </c>
      <c r="O28" s="5">
        <v>167</v>
      </c>
      <c r="P28" s="5">
        <v>9</v>
      </c>
      <c r="Q28" s="5">
        <v>18.4444444444444</v>
      </c>
      <c r="R28" s="5">
        <v>2.55555555555555</v>
      </c>
      <c r="S28" s="5">
        <v>23</v>
      </c>
      <c r="T28" s="5">
        <v>0</v>
      </c>
      <c r="U28" s="5">
        <v>0</v>
      </c>
    </row>
    <row r="29" spans="1:21" x14ac:dyDescent="0.25">
      <c r="A29" t="s">
        <v>320</v>
      </c>
      <c r="B29" s="5">
        <v>178</v>
      </c>
      <c r="C29" s="5">
        <v>108</v>
      </c>
      <c r="D29" s="5">
        <v>0.60674157303370702</v>
      </c>
      <c r="E29" s="5">
        <v>0.53932584269662898</v>
      </c>
      <c r="F29" s="5">
        <v>0.75925925925925897</v>
      </c>
      <c r="G29" s="5">
        <v>0.81118594974185299</v>
      </c>
      <c r="H29" s="5">
        <v>1.12359550561797E-2</v>
      </c>
      <c r="I29" s="5">
        <v>1.12359550561797E-2</v>
      </c>
      <c r="J29" s="5">
        <v>2</v>
      </c>
      <c r="K29" s="5">
        <v>2</v>
      </c>
      <c r="L29" s="5">
        <v>3</v>
      </c>
      <c r="M29" s="5">
        <v>0.53932584269662898</v>
      </c>
      <c r="N29" s="5">
        <v>96</v>
      </c>
      <c r="O29" s="5">
        <v>178</v>
      </c>
      <c r="P29" s="5">
        <v>8</v>
      </c>
      <c r="Q29" s="5">
        <v>22.25</v>
      </c>
      <c r="R29" s="5">
        <v>2.375</v>
      </c>
      <c r="S29" s="5">
        <v>19</v>
      </c>
      <c r="T29" s="5">
        <v>0</v>
      </c>
      <c r="U29" s="5">
        <v>0</v>
      </c>
    </row>
    <row r="30" spans="1:21" x14ac:dyDescent="0.25">
      <c r="A30" t="s">
        <v>329</v>
      </c>
      <c r="B30" s="5">
        <v>103</v>
      </c>
      <c r="C30" s="5">
        <v>83</v>
      </c>
      <c r="D30" s="5">
        <v>0.80582524271844602</v>
      </c>
      <c r="E30" s="5">
        <v>0.28155339805825202</v>
      </c>
      <c r="F30" s="5">
        <v>0.89156626506024095</v>
      </c>
      <c r="G30" s="5">
        <v>0.87920447216609199</v>
      </c>
      <c r="H30" s="5">
        <v>0</v>
      </c>
      <c r="I30" s="5">
        <v>9.7087378640776604E-3</v>
      </c>
      <c r="J30" s="5">
        <v>0</v>
      </c>
      <c r="K30" s="5">
        <v>1</v>
      </c>
      <c r="L30" s="5">
        <v>3</v>
      </c>
      <c r="M30" s="5">
        <v>0.60396039603960305</v>
      </c>
      <c r="N30" s="5">
        <v>61</v>
      </c>
      <c r="O30" s="5">
        <v>101</v>
      </c>
      <c r="P30" s="5">
        <v>1</v>
      </c>
      <c r="Q30" s="5" t="s">
        <v>336</v>
      </c>
      <c r="R30" s="5">
        <v>12</v>
      </c>
      <c r="S30" s="5">
        <v>12</v>
      </c>
      <c r="T30" s="5">
        <v>0</v>
      </c>
      <c r="U30" s="5">
        <v>0</v>
      </c>
    </row>
    <row r="31" spans="1:21" x14ac:dyDescent="0.25">
      <c r="A31" t="s">
        <v>339</v>
      </c>
      <c r="B31" s="5">
        <v>110</v>
      </c>
      <c r="C31" s="5">
        <v>80</v>
      </c>
      <c r="D31" s="5">
        <v>0.72727272727272696</v>
      </c>
      <c r="E31" s="5">
        <v>0.41818181818181799</v>
      </c>
      <c r="F31" s="5">
        <v>0.8</v>
      </c>
      <c r="G31" s="5">
        <v>0.85479710386195895</v>
      </c>
      <c r="H31" s="5">
        <v>0</v>
      </c>
      <c r="I31" s="5">
        <v>9.0909090909090905E-3</v>
      </c>
      <c r="J31" s="5">
        <v>0</v>
      </c>
      <c r="K31" s="5">
        <v>1</v>
      </c>
      <c r="L31" s="5">
        <v>3</v>
      </c>
      <c r="M31" s="5">
        <v>0.59090909090909005</v>
      </c>
      <c r="N31" s="5">
        <v>65</v>
      </c>
      <c r="O31" s="5">
        <v>110</v>
      </c>
      <c r="P31" s="5">
        <v>4</v>
      </c>
      <c r="Q31" s="5">
        <v>27.5</v>
      </c>
      <c r="R31" s="5">
        <v>3</v>
      </c>
      <c r="S31" s="5">
        <v>12</v>
      </c>
      <c r="T31" s="5">
        <v>0</v>
      </c>
      <c r="U31" s="5">
        <v>0</v>
      </c>
    </row>
    <row r="32" spans="1:21" x14ac:dyDescent="0.25">
      <c r="A32" t="s">
        <v>348</v>
      </c>
      <c r="B32" s="5">
        <v>148</v>
      </c>
      <c r="C32" s="5">
        <v>100</v>
      </c>
      <c r="D32" s="5">
        <v>0.67567567567567499</v>
      </c>
      <c r="E32" s="5">
        <v>0.50675675675675602</v>
      </c>
      <c r="F32" s="5">
        <v>0.73</v>
      </c>
      <c r="G32" s="5">
        <v>0.86442244524170697</v>
      </c>
      <c r="H32" s="5">
        <v>0</v>
      </c>
      <c r="I32" s="5">
        <v>2.0270270270270199E-2</v>
      </c>
      <c r="J32" s="5">
        <v>0</v>
      </c>
      <c r="K32" s="5">
        <v>3</v>
      </c>
      <c r="L32" s="5">
        <v>3</v>
      </c>
      <c r="M32" s="5">
        <v>0.50657894736842102</v>
      </c>
      <c r="N32" s="5">
        <v>77</v>
      </c>
      <c r="O32" s="5">
        <v>152</v>
      </c>
      <c r="P32" s="5">
        <v>10</v>
      </c>
      <c r="Q32" s="5">
        <v>14.8</v>
      </c>
      <c r="R32" s="5">
        <v>2.9</v>
      </c>
      <c r="S32" s="5">
        <v>29</v>
      </c>
      <c r="T32" s="5">
        <v>0</v>
      </c>
      <c r="U32" s="5">
        <v>0</v>
      </c>
    </row>
    <row r="33" spans="1:21" x14ac:dyDescent="0.25">
      <c r="A33" t="s">
        <v>358</v>
      </c>
      <c r="B33" s="5">
        <v>87</v>
      </c>
      <c r="C33" s="5">
        <v>70</v>
      </c>
      <c r="D33" s="5">
        <v>0.80459770114942497</v>
      </c>
      <c r="E33" s="5">
        <v>0.31034482758620602</v>
      </c>
      <c r="F33" s="5">
        <v>0.85714285714285698</v>
      </c>
      <c r="G33" s="5">
        <v>0.87847929966278404</v>
      </c>
      <c r="H33" s="5">
        <v>1.1494252873563199E-2</v>
      </c>
      <c r="I33" s="5">
        <v>0</v>
      </c>
      <c r="J33" s="5">
        <v>1</v>
      </c>
      <c r="K33" s="5">
        <v>0</v>
      </c>
      <c r="L33" s="5">
        <v>1</v>
      </c>
      <c r="M33" s="5">
        <v>0.62068965517241304</v>
      </c>
      <c r="N33" s="5">
        <v>54</v>
      </c>
      <c r="O33" s="5">
        <v>87</v>
      </c>
      <c r="P33" s="5">
        <v>9</v>
      </c>
      <c r="Q33" s="5">
        <v>9.6666666666666607</v>
      </c>
      <c r="R33" s="5">
        <v>1</v>
      </c>
      <c r="S33" s="5">
        <v>9</v>
      </c>
      <c r="T33" s="5">
        <v>0</v>
      </c>
      <c r="U33" s="5">
        <v>0</v>
      </c>
    </row>
    <row r="34" spans="1:21" x14ac:dyDescent="0.25">
      <c r="A34" t="s">
        <v>368</v>
      </c>
      <c r="B34" s="5">
        <v>114</v>
      </c>
      <c r="C34" s="5">
        <v>89</v>
      </c>
      <c r="D34" s="5">
        <v>0.78070175438596401</v>
      </c>
      <c r="E34" s="5">
        <v>0.33333333333333298</v>
      </c>
      <c r="F34" s="5">
        <v>0.85393258426966201</v>
      </c>
      <c r="G34" s="5">
        <v>0.88545058627806905</v>
      </c>
      <c r="H34" s="5">
        <v>3.5087719298245598E-2</v>
      </c>
      <c r="I34" s="5">
        <v>0</v>
      </c>
      <c r="J34" s="5">
        <v>4</v>
      </c>
      <c r="K34" s="5">
        <v>0</v>
      </c>
      <c r="L34" s="5">
        <v>1</v>
      </c>
      <c r="M34" s="5">
        <v>0.51754385964912197</v>
      </c>
      <c r="N34" s="5">
        <v>59</v>
      </c>
      <c r="O34" s="5">
        <v>114</v>
      </c>
      <c r="P34" s="5">
        <v>5</v>
      </c>
      <c r="Q34" s="5">
        <v>22.8</v>
      </c>
      <c r="R34" s="5">
        <v>3</v>
      </c>
      <c r="S34" s="5">
        <v>15</v>
      </c>
      <c r="T34" s="5">
        <v>0</v>
      </c>
      <c r="U34" s="5">
        <v>0</v>
      </c>
    </row>
    <row r="35" spans="1:21" x14ac:dyDescent="0.25">
      <c r="A35" t="s">
        <v>377</v>
      </c>
      <c r="B35" s="5">
        <f>Median!B$3</f>
        <v>157.5</v>
      </c>
      <c r="C35" s="5">
        <f>Median!C$3</f>
        <v>110</v>
      </c>
      <c r="D35" s="5">
        <f>Median!D$3</f>
        <v>0.69680851063829696</v>
      </c>
      <c r="E35" s="5">
        <f>Median!E$3</f>
        <v>0.44512195121951198</v>
      </c>
      <c r="F35" s="5">
        <f>Median!F$3</f>
        <v>0.79347826086956497</v>
      </c>
      <c r="G35" s="5">
        <f>Median!G$3</f>
        <v>0.860642237587948</v>
      </c>
      <c r="H35" s="5">
        <f>Median!H$3</f>
        <v>1.35135135135135E-2</v>
      </c>
      <c r="I35" s="5">
        <f>Median!I$3</f>
        <v>1.4084507042253501E-2</v>
      </c>
      <c r="J35" s="5">
        <f>Median!J$3</f>
        <v>2</v>
      </c>
      <c r="K35" s="5">
        <f>Median!K$3</f>
        <v>2</v>
      </c>
      <c r="L35" s="5">
        <f>Median!L$3</f>
        <v>3</v>
      </c>
      <c r="M35" s="5">
        <f>Median!M$3</f>
        <v>0.54938271604938205</v>
      </c>
      <c r="N35" s="5">
        <f>Median!N$3</f>
        <v>88</v>
      </c>
      <c r="O35" s="5">
        <f>Median!O$3</f>
        <v>158.5</v>
      </c>
      <c r="P35" s="5">
        <f>Median!P$3</f>
        <v>10</v>
      </c>
      <c r="Q35" s="5">
        <f>Median!Q$3</f>
        <v>15.81666666666665</v>
      </c>
      <c r="R35" s="5">
        <f>Median!R$3</f>
        <v>2.1428571428571401</v>
      </c>
      <c r="S35" s="5">
        <f>Median!S$3</f>
        <v>20</v>
      </c>
      <c r="T35" s="5">
        <f>Median!T$3</f>
        <v>0</v>
      </c>
      <c r="U35" s="5">
        <f>Median!U$3</f>
        <v>0</v>
      </c>
    </row>
    <row r="36" spans="1:21" x14ac:dyDescent="0.25">
      <c r="A36" t="s">
        <v>379</v>
      </c>
      <c r="B36" s="5">
        <v>124</v>
      </c>
      <c r="C36" s="5">
        <v>104</v>
      </c>
      <c r="D36" s="5">
        <v>0.83870967741935398</v>
      </c>
      <c r="E36" s="5">
        <v>0.266129032258064</v>
      </c>
      <c r="F36" s="5">
        <v>0.875</v>
      </c>
      <c r="G36" s="5">
        <v>0.927944533552436</v>
      </c>
      <c r="H36" s="5">
        <v>1.6129032258064498E-2</v>
      </c>
      <c r="I36" s="5">
        <v>3.2258064516128997E-2</v>
      </c>
      <c r="J36" s="5">
        <v>2</v>
      </c>
      <c r="K36" s="5">
        <v>4</v>
      </c>
      <c r="L36" s="5">
        <v>3</v>
      </c>
      <c r="M36" s="5">
        <v>0.56000000000000005</v>
      </c>
      <c r="N36" s="5">
        <v>70</v>
      </c>
      <c r="O36" s="5">
        <v>125</v>
      </c>
      <c r="P36" s="5">
        <v>13</v>
      </c>
      <c r="Q36" s="5">
        <v>9.5384615384615294</v>
      </c>
      <c r="R36" s="5">
        <v>1.15384615384615</v>
      </c>
      <c r="S36" s="5">
        <v>15</v>
      </c>
      <c r="T36" s="5">
        <v>0</v>
      </c>
      <c r="U36" s="5">
        <v>0</v>
      </c>
    </row>
    <row r="37" spans="1:21" x14ac:dyDescent="0.25">
      <c r="A37" t="s">
        <v>390</v>
      </c>
      <c r="B37" s="5">
        <v>113</v>
      </c>
      <c r="C37" s="5">
        <v>83</v>
      </c>
      <c r="D37" s="5">
        <v>0.734513274336283</v>
      </c>
      <c r="E37" s="5">
        <v>0.41592920353982299</v>
      </c>
      <c r="F37" s="5">
        <v>0.79518072289156605</v>
      </c>
      <c r="G37" s="5">
        <v>0.86275985883634199</v>
      </c>
      <c r="H37" s="5">
        <v>0</v>
      </c>
      <c r="I37" s="5">
        <v>0</v>
      </c>
      <c r="J37" s="5">
        <v>0</v>
      </c>
      <c r="K37" s="5">
        <v>0</v>
      </c>
      <c r="L37" s="5">
        <v>3</v>
      </c>
      <c r="M37" s="5">
        <v>0.59292035398230003</v>
      </c>
      <c r="N37" s="5">
        <v>67</v>
      </c>
      <c r="O37" s="5">
        <v>113</v>
      </c>
      <c r="P37" s="5">
        <v>12</v>
      </c>
      <c r="Q37" s="5">
        <v>9.4166666666666607</v>
      </c>
      <c r="R37" s="5">
        <v>1</v>
      </c>
      <c r="S37" s="5">
        <v>12</v>
      </c>
      <c r="T37" s="5">
        <v>0</v>
      </c>
      <c r="U37" s="5">
        <v>0</v>
      </c>
    </row>
    <row r="38" spans="1:21" x14ac:dyDescent="0.25">
      <c r="A38" t="s">
        <v>398</v>
      </c>
      <c r="B38" s="5">
        <v>205</v>
      </c>
      <c r="C38" s="5">
        <v>136</v>
      </c>
      <c r="D38" s="5">
        <v>0.66341463414634105</v>
      </c>
      <c r="E38" s="5">
        <v>0.50731707317073105</v>
      </c>
      <c r="F38" s="5">
        <v>0.74264705882352899</v>
      </c>
      <c r="G38" s="5">
        <v>0.87316888861679798</v>
      </c>
      <c r="H38" s="5">
        <v>2.92682926829268E-2</v>
      </c>
      <c r="I38" s="5">
        <v>1.9512195121951199E-2</v>
      </c>
      <c r="J38" s="5">
        <v>6</v>
      </c>
      <c r="K38" s="5">
        <v>4</v>
      </c>
      <c r="L38" s="5">
        <v>3</v>
      </c>
      <c r="M38" s="5">
        <v>0.53658536585365801</v>
      </c>
      <c r="N38" s="5">
        <v>110</v>
      </c>
      <c r="O38" s="5">
        <v>205</v>
      </c>
      <c r="P38" s="5">
        <v>18</v>
      </c>
      <c r="Q38" s="5">
        <v>11.3888888888888</v>
      </c>
      <c r="R38" s="5">
        <v>1.6111111111111101</v>
      </c>
      <c r="S38" s="5">
        <v>29</v>
      </c>
      <c r="T38" s="5">
        <v>1</v>
      </c>
      <c r="U38" s="5">
        <v>0.61668756552305304</v>
      </c>
    </row>
    <row r="39" spans="1:21" x14ac:dyDescent="0.25">
      <c r="A39" t="s">
        <v>410</v>
      </c>
      <c r="B39" s="5">
        <v>173</v>
      </c>
      <c r="C39" s="5">
        <v>117</v>
      </c>
      <c r="D39" s="5">
        <v>0.67630057803468202</v>
      </c>
      <c r="E39" s="5">
        <v>0.450867052023121</v>
      </c>
      <c r="F39" s="5">
        <v>0.81196581196581197</v>
      </c>
      <c r="G39" s="5">
        <v>0.84636686665212002</v>
      </c>
      <c r="H39" s="5">
        <v>4.0462427745664699E-2</v>
      </c>
      <c r="I39" s="5">
        <v>1.1560693641618399E-2</v>
      </c>
      <c r="J39" s="5">
        <v>7</v>
      </c>
      <c r="K39" s="5">
        <v>2</v>
      </c>
      <c r="L39" s="5">
        <v>3</v>
      </c>
      <c r="M39" s="5">
        <v>0.54335260115606898</v>
      </c>
      <c r="N39" s="5">
        <v>94</v>
      </c>
      <c r="O39" s="5">
        <v>173</v>
      </c>
      <c r="P39" s="5">
        <v>14</v>
      </c>
      <c r="Q39" s="5">
        <v>12.357142857142801</v>
      </c>
      <c r="R39" s="5">
        <v>1.3571428571428501</v>
      </c>
      <c r="S39" s="5">
        <v>19</v>
      </c>
      <c r="T39" s="5">
        <v>0</v>
      </c>
      <c r="U39" s="5">
        <v>0</v>
      </c>
    </row>
    <row r="40" spans="1:21" x14ac:dyDescent="0.25">
      <c r="A40" t="s">
        <v>421</v>
      </c>
      <c r="B40" s="5">
        <v>129</v>
      </c>
      <c r="C40" s="5">
        <v>98</v>
      </c>
      <c r="D40" s="5">
        <v>0.75968992248061995</v>
      </c>
      <c r="E40" s="5">
        <v>0.36434108527131698</v>
      </c>
      <c r="F40" s="5">
        <v>0.83673469387755095</v>
      </c>
      <c r="G40" s="5">
        <v>0.88479565822042205</v>
      </c>
      <c r="H40" s="5">
        <v>3.8759689922480599E-2</v>
      </c>
      <c r="I40" s="5">
        <v>0</v>
      </c>
      <c r="J40" s="5">
        <v>5</v>
      </c>
      <c r="K40" s="5">
        <v>0</v>
      </c>
      <c r="L40" s="5">
        <v>4</v>
      </c>
      <c r="M40" s="5">
        <v>0.51937984496124001</v>
      </c>
      <c r="N40" s="5">
        <v>67</v>
      </c>
      <c r="O40" s="5">
        <v>129</v>
      </c>
      <c r="P40" s="5">
        <v>7</v>
      </c>
      <c r="Q40" s="5">
        <v>18.428571428571399</v>
      </c>
      <c r="R40" s="5">
        <v>2.4285714285714199</v>
      </c>
      <c r="S40" s="5">
        <v>17</v>
      </c>
      <c r="T40" s="5">
        <v>0</v>
      </c>
      <c r="U40" s="5">
        <v>0</v>
      </c>
    </row>
    <row r="41" spans="1:21" x14ac:dyDescent="0.25">
      <c r="A41" t="s">
        <v>429</v>
      </c>
      <c r="B41" s="5">
        <v>149</v>
      </c>
      <c r="C41" s="5">
        <v>91</v>
      </c>
      <c r="D41" s="5">
        <v>0.61073825503355705</v>
      </c>
      <c r="E41" s="5">
        <v>0.56375838926174404</v>
      </c>
      <c r="F41" s="5">
        <v>0.71428571428571397</v>
      </c>
      <c r="G41" s="5">
        <v>0.80727138125727205</v>
      </c>
      <c r="H41" s="5">
        <v>0</v>
      </c>
      <c r="I41" s="5">
        <v>6.7114093959731499E-3</v>
      </c>
      <c r="J41" s="5">
        <v>0</v>
      </c>
      <c r="K41" s="5">
        <v>1</v>
      </c>
      <c r="L41" s="5">
        <v>4</v>
      </c>
      <c r="M41" s="5">
        <v>0.58389261744966403</v>
      </c>
      <c r="N41" s="5">
        <v>87</v>
      </c>
      <c r="O41" s="5">
        <v>149</v>
      </c>
      <c r="P41" s="5">
        <v>12</v>
      </c>
      <c r="Q41" s="5">
        <v>12.4166666666666</v>
      </c>
      <c r="R41" s="5">
        <v>1.4166666666666601</v>
      </c>
      <c r="S41" s="5">
        <v>17</v>
      </c>
      <c r="T41" s="5">
        <v>0</v>
      </c>
      <c r="U41" s="5">
        <v>0</v>
      </c>
    </row>
    <row r="42" spans="1:21" x14ac:dyDescent="0.25">
      <c r="A42" t="s">
        <v>438</v>
      </c>
      <c r="B42" s="5">
        <v>107</v>
      </c>
      <c r="C42" s="5">
        <v>70</v>
      </c>
      <c r="D42" s="5">
        <v>0.65420560747663503</v>
      </c>
      <c r="E42" s="5">
        <v>0.45794392523364402</v>
      </c>
      <c r="F42" s="5">
        <v>0.82857142857142796</v>
      </c>
      <c r="G42" s="5">
        <v>0.77045713561540197</v>
      </c>
      <c r="H42" s="5">
        <v>9.3457943925233603E-3</v>
      </c>
      <c r="I42" s="5">
        <v>0</v>
      </c>
      <c r="J42" s="5">
        <v>1</v>
      </c>
      <c r="K42" s="5">
        <v>0</v>
      </c>
      <c r="L42" s="5">
        <v>4</v>
      </c>
      <c r="M42" s="5">
        <v>0.48598130841121401</v>
      </c>
      <c r="N42" s="5">
        <v>52</v>
      </c>
      <c r="O42" s="5">
        <v>107</v>
      </c>
      <c r="P42" s="5">
        <v>9</v>
      </c>
      <c r="Q42" s="5">
        <v>11.8888888888888</v>
      </c>
      <c r="R42" s="5">
        <v>1.88888888888888</v>
      </c>
      <c r="S42" s="5">
        <v>17</v>
      </c>
      <c r="T42" s="5">
        <v>0</v>
      </c>
      <c r="U42" s="5">
        <v>0</v>
      </c>
    </row>
    <row r="43" spans="1:21" x14ac:dyDescent="0.25">
      <c r="A43" t="s">
        <v>448</v>
      </c>
      <c r="B43" s="5">
        <v>167</v>
      </c>
      <c r="C43" s="5">
        <v>123</v>
      </c>
      <c r="D43" s="5">
        <v>0.73652694610778402</v>
      </c>
      <c r="E43" s="5">
        <v>0.40119760479041899</v>
      </c>
      <c r="F43" s="5">
        <v>0.81300813008130002</v>
      </c>
      <c r="G43" s="5">
        <v>0.90164617981797501</v>
      </c>
      <c r="H43" s="5">
        <v>5.9880239520958001E-3</v>
      </c>
      <c r="I43" s="5">
        <v>2.39520958083832E-2</v>
      </c>
      <c r="J43" s="5">
        <v>1</v>
      </c>
      <c r="K43" s="5">
        <v>4</v>
      </c>
      <c r="L43" s="5">
        <v>4</v>
      </c>
      <c r="M43" s="5">
        <v>0.62874251497005895</v>
      </c>
      <c r="N43" s="5">
        <v>105</v>
      </c>
      <c r="O43" s="5">
        <v>167</v>
      </c>
      <c r="P43" s="5">
        <v>12</v>
      </c>
      <c r="Q43" s="5">
        <v>13.9166666666666</v>
      </c>
      <c r="R43" s="5">
        <v>2.1666666666666599</v>
      </c>
      <c r="S43" s="5">
        <v>26</v>
      </c>
      <c r="T43" s="5">
        <v>0</v>
      </c>
      <c r="U43" s="5">
        <v>0</v>
      </c>
    </row>
    <row r="44" spans="1:21" x14ac:dyDescent="0.25">
      <c r="A44" t="s">
        <v>459</v>
      </c>
      <c r="B44" s="5">
        <v>188</v>
      </c>
      <c r="C44" s="5">
        <v>131</v>
      </c>
      <c r="D44" s="5">
        <v>0.69680851063829696</v>
      </c>
      <c r="E44" s="5">
        <v>0.44148936170212699</v>
      </c>
      <c r="F44" s="5">
        <v>0.80152671755725102</v>
      </c>
      <c r="G44" s="5">
        <v>0.87575207764286001</v>
      </c>
      <c r="H44" s="5">
        <v>0</v>
      </c>
      <c r="I44" s="5">
        <v>1.5957446808510599E-2</v>
      </c>
      <c r="J44" s="5">
        <v>0</v>
      </c>
      <c r="K44" s="5">
        <v>3</v>
      </c>
      <c r="L44" s="5">
        <v>2</v>
      </c>
      <c r="M44" s="5">
        <v>0.55614973262031997</v>
      </c>
      <c r="N44" s="5">
        <v>104</v>
      </c>
      <c r="O44" s="5">
        <v>187</v>
      </c>
      <c r="P44" s="5">
        <v>13</v>
      </c>
      <c r="Q44" s="5">
        <v>14.4615384615384</v>
      </c>
      <c r="R44" s="5">
        <v>1.2307692307692299</v>
      </c>
      <c r="S44" s="5">
        <v>16</v>
      </c>
      <c r="T44" s="5">
        <v>0</v>
      </c>
      <c r="U44" s="5">
        <v>0</v>
      </c>
    </row>
    <row r="45" spans="1:21" x14ac:dyDescent="0.25">
      <c r="A45" t="s">
        <v>469</v>
      </c>
      <c r="B45" s="5">
        <v>136</v>
      </c>
      <c r="C45" s="5">
        <v>103</v>
      </c>
      <c r="D45" s="5">
        <v>0.75735294117647001</v>
      </c>
      <c r="E45" s="5">
        <v>0.36764705882352899</v>
      </c>
      <c r="F45" s="5">
        <v>0.83495145631067902</v>
      </c>
      <c r="G45" s="5">
        <v>0.87916691481044895</v>
      </c>
      <c r="H45" s="5">
        <v>4.4117647058823498E-2</v>
      </c>
      <c r="I45" s="5">
        <v>1.47058823529411E-2</v>
      </c>
      <c r="J45" s="5">
        <v>6</v>
      </c>
      <c r="K45" s="5">
        <v>2</v>
      </c>
      <c r="L45" s="5">
        <v>4</v>
      </c>
      <c r="M45" s="5">
        <v>0.54014598540145897</v>
      </c>
      <c r="N45" s="5">
        <v>74</v>
      </c>
      <c r="O45" s="5">
        <v>137</v>
      </c>
      <c r="P45" s="5">
        <v>10</v>
      </c>
      <c r="Q45" s="5">
        <v>13.6</v>
      </c>
      <c r="R45" s="5">
        <v>1.9</v>
      </c>
      <c r="S45" s="5">
        <v>19</v>
      </c>
      <c r="T45" s="5">
        <v>0</v>
      </c>
      <c r="U45" s="5">
        <v>0</v>
      </c>
    </row>
    <row r="46" spans="1:21" x14ac:dyDescent="0.25">
      <c r="A46" t="s">
        <v>480</v>
      </c>
      <c r="B46" s="5">
        <v>188</v>
      </c>
      <c r="C46" s="5">
        <v>128</v>
      </c>
      <c r="D46" s="5">
        <v>0.680851063829787</v>
      </c>
      <c r="E46" s="5">
        <v>0.48404255319148898</v>
      </c>
      <c r="F46" s="5">
        <v>0.7578125</v>
      </c>
      <c r="G46" s="5">
        <v>0.88198303405423994</v>
      </c>
      <c r="H46" s="5">
        <v>1.0638297872340399E-2</v>
      </c>
      <c r="I46" s="5">
        <v>2.6595744680851002E-2</v>
      </c>
      <c r="J46" s="5">
        <v>2</v>
      </c>
      <c r="K46" s="5">
        <v>5</v>
      </c>
      <c r="L46" s="5">
        <v>4</v>
      </c>
      <c r="M46" s="5">
        <v>0.47894736842105201</v>
      </c>
      <c r="N46" s="5">
        <v>91</v>
      </c>
      <c r="O46" s="5">
        <v>190</v>
      </c>
      <c r="P46" s="5">
        <v>10</v>
      </c>
      <c r="Q46" s="5">
        <v>18.8</v>
      </c>
      <c r="R46" s="5">
        <v>2.5</v>
      </c>
      <c r="S46" s="5">
        <v>25</v>
      </c>
      <c r="T46" s="5">
        <v>0</v>
      </c>
      <c r="U46" s="5">
        <v>0</v>
      </c>
    </row>
    <row r="47" spans="1:21" x14ac:dyDescent="0.25">
      <c r="A47" t="s">
        <v>491</v>
      </c>
      <c r="B47" s="5">
        <v>163</v>
      </c>
      <c r="C47" s="5">
        <v>122</v>
      </c>
      <c r="D47" s="5">
        <v>0.748466257668711</v>
      </c>
      <c r="E47" s="5">
        <v>0.39877300613496902</v>
      </c>
      <c r="F47" s="5">
        <v>0.80327868852458995</v>
      </c>
      <c r="G47" s="5">
        <v>0.90617166138836902</v>
      </c>
      <c r="H47" s="5">
        <v>1.84049079754601E-2</v>
      </c>
      <c r="I47" s="5">
        <v>1.84049079754601E-2</v>
      </c>
      <c r="J47" s="5">
        <v>3</v>
      </c>
      <c r="K47" s="5">
        <v>3</v>
      </c>
      <c r="L47" s="5">
        <v>4</v>
      </c>
      <c r="M47" s="5">
        <v>0.64634146341463405</v>
      </c>
      <c r="N47" s="5">
        <v>106</v>
      </c>
      <c r="O47" s="5">
        <v>164</v>
      </c>
      <c r="P47" s="5">
        <v>19</v>
      </c>
      <c r="Q47" s="5">
        <v>8.5789473684210495</v>
      </c>
      <c r="R47" s="5">
        <v>0.68421052631578905</v>
      </c>
      <c r="S47" s="5">
        <v>13</v>
      </c>
      <c r="T47" s="5">
        <v>0</v>
      </c>
      <c r="U47" s="5">
        <v>0</v>
      </c>
    </row>
    <row r="48" spans="1:21" x14ac:dyDescent="0.25">
      <c r="A48" t="s">
        <v>501</v>
      </c>
      <c r="B48" s="5">
        <v>143</v>
      </c>
      <c r="C48" s="5">
        <v>108</v>
      </c>
      <c r="D48" s="5">
        <v>0.75524475524475498</v>
      </c>
      <c r="E48" s="5">
        <v>0.34265734265734199</v>
      </c>
      <c r="F48" s="5">
        <v>0.87037037037037002</v>
      </c>
      <c r="G48" s="5">
        <v>0.87374926007050502</v>
      </c>
      <c r="H48" s="5">
        <v>0</v>
      </c>
      <c r="I48" s="5">
        <v>6.9930069930069904E-3</v>
      </c>
      <c r="J48" s="5">
        <v>0</v>
      </c>
      <c r="K48" s="5">
        <v>1</v>
      </c>
      <c r="L48" s="5">
        <v>3</v>
      </c>
      <c r="M48" s="5">
        <v>0.58741258741258695</v>
      </c>
      <c r="N48" s="5">
        <v>84</v>
      </c>
      <c r="O48" s="5">
        <v>143</v>
      </c>
      <c r="P48" s="5">
        <v>21</v>
      </c>
      <c r="Q48" s="5">
        <v>6.8095238095238004</v>
      </c>
      <c r="R48" s="5">
        <v>0.61904761904761896</v>
      </c>
      <c r="S48" s="5">
        <v>13</v>
      </c>
      <c r="T48" s="5">
        <v>0</v>
      </c>
      <c r="U48" s="5">
        <v>0</v>
      </c>
    </row>
    <row r="49" spans="1:21" x14ac:dyDescent="0.25">
      <c r="A49" t="s">
        <v>511</v>
      </c>
      <c r="B49" s="5" t="s">
        <v>512</v>
      </c>
      <c r="C49" s="5" t="s">
        <v>513</v>
      </c>
      <c r="D49" s="5">
        <v>0.65306122448979498</v>
      </c>
      <c r="E49" s="5">
        <v>0.48299319727891099</v>
      </c>
      <c r="F49" s="5">
        <v>0.79166666666666596</v>
      </c>
      <c r="G49" s="5">
        <v>0.80360940157955196</v>
      </c>
      <c r="H49" s="5">
        <v>2.04081632653061E-2</v>
      </c>
      <c r="I49" s="5">
        <v>6.8027210884353704E-3</v>
      </c>
      <c r="J49" s="5" t="s">
        <v>520</v>
      </c>
      <c r="K49" s="5" t="s">
        <v>521</v>
      </c>
      <c r="L49" s="5" t="s">
        <v>520</v>
      </c>
      <c r="M49" s="5">
        <v>0.52348993288590595</v>
      </c>
      <c r="N49" s="5" t="s">
        <v>523</v>
      </c>
      <c r="O49" s="5" t="s">
        <v>524</v>
      </c>
      <c r="P49" s="5" t="s">
        <v>525</v>
      </c>
      <c r="Q49" s="5">
        <v>36.75</v>
      </c>
      <c r="R49" s="5">
        <v>5.75</v>
      </c>
      <c r="S49" s="5" t="s">
        <v>528</v>
      </c>
      <c r="T49" s="5" t="s">
        <v>529</v>
      </c>
      <c r="U49" s="5">
        <v>0</v>
      </c>
    </row>
    <row r="50" spans="1:21" x14ac:dyDescent="0.25">
      <c r="A50" t="s">
        <v>531</v>
      </c>
      <c r="B50" s="5">
        <v>138</v>
      </c>
      <c r="C50" s="5">
        <v>100</v>
      </c>
      <c r="D50" s="5">
        <v>0.72463768115941996</v>
      </c>
      <c r="E50" s="5">
        <v>0.41304347826086901</v>
      </c>
      <c r="F50" s="5">
        <v>0.81</v>
      </c>
      <c r="G50" s="5">
        <v>0.86090544956741299</v>
      </c>
      <c r="H50" s="5">
        <v>1.4492753623188401E-2</v>
      </c>
      <c r="I50" s="5">
        <v>1.4492753623188401E-2</v>
      </c>
      <c r="J50" s="5">
        <v>2</v>
      </c>
      <c r="K50" s="5">
        <v>2</v>
      </c>
      <c r="L50" s="5">
        <v>3</v>
      </c>
      <c r="M50" s="5">
        <v>0.54676258992805704</v>
      </c>
      <c r="N50" s="5">
        <v>76</v>
      </c>
      <c r="O50" s="5">
        <v>139</v>
      </c>
      <c r="P50" s="5">
        <v>13</v>
      </c>
      <c r="Q50" s="5">
        <v>10.615384615384601</v>
      </c>
      <c r="R50" s="5">
        <v>1.3076923076922999</v>
      </c>
      <c r="S50" s="5">
        <v>17</v>
      </c>
      <c r="T50" s="5">
        <v>0</v>
      </c>
      <c r="U50" s="5">
        <v>0</v>
      </c>
    </row>
    <row r="51" spans="1:21" x14ac:dyDescent="0.25">
      <c r="A51" t="s">
        <v>541</v>
      </c>
      <c r="B51" s="5">
        <v>156</v>
      </c>
      <c r="C51" s="5">
        <v>95</v>
      </c>
      <c r="D51" s="5">
        <v>0.60897435897435803</v>
      </c>
      <c r="E51" s="5">
        <v>0.55128205128205099</v>
      </c>
      <c r="F51" s="5">
        <v>0.73684210526315697</v>
      </c>
      <c r="G51" s="5">
        <v>0.82231124965225599</v>
      </c>
      <c r="H51" s="5">
        <v>0</v>
      </c>
      <c r="I51" s="5">
        <v>6.41025641025641E-3</v>
      </c>
      <c r="J51" s="5">
        <v>0</v>
      </c>
      <c r="K51" s="5">
        <v>1</v>
      </c>
      <c r="L51" s="5">
        <v>2</v>
      </c>
      <c r="M51" s="5">
        <v>0.53846153846153799</v>
      </c>
      <c r="N51" s="5">
        <v>84</v>
      </c>
      <c r="O51" s="5">
        <v>156</v>
      </c>
      <c r="P51" s="5">
        <v>7</v>
      </c>
      <c r="Q51" s="5">
        <v>22.285714285714199</v>
      </c>
      <c r="R51" s="5">
        <v>3.4285714285714199</v>
      </c>
      <c r="S51" s="5">
        <v>24</v>
      </c>
      <c r="T51" s="5">
        <v>0</v>
      </c>
      <c r="U51" s="5">
        <v>0</v>
      </c>
    </row>
    <row r="52" spans="1:21" x14ac:dyDescent="0.25">
      <c r="A52" t="s">
        <v>549</v>
      </c>
      <c r="B52" s="5">
        <v>157</v>
      </c>
      <c r="C52" s="5">
        <v>113</v>
      </c>
      <c r="D52" s="5">
        <v>0.71974522292993603</v>
      </c>
      <c r="E52" s="5">
        <v>0.43312101910827999</v>
      </c>
      <c r="F52" s="5">
        <v>0.787610619469026</v>
      </c>
      <c r="G52" s="5">
        <v>0.88476739036385998</v>
      </c>
      <c r="H52" s="5">
        <v>0</v>
      </c>
      <c r="I52" s="5">
        <v>0</v>
      </c>
      <c r="J52" s="5">
        <v>0</v>
      </c>
      <c r="K52" s="5">
        <v>0</v>
      </c>
      <c r="L52" s="5">
        <v>3</v>
      </c>
      <c r="M52" s="5">
        <v>0.47798742138364703</v>
      </c>
      <c r="N52" s="5">
        <v>76</v>
      </c>
      <c r="O52" s="5">
        <v>159</v>
      </c>
      <c r="P52" s="5">
        <v>9</v>
      </c>
      <c r="Q52" s="5">
        <v>17.4444444444444</v>
      </c>
      <c r="R52" s="5">
        <v>2.1111111111111098</v>
      </c>
      <c r="S52" s="5">
        <v>19</v>
      </c>
      <c r="T52" s="5">
        <v>0</v>
      </c>
      <c r="U52" s="5">
        <v>0</v>
      </c>
    </row>
    <row r="53" spans="1:21" x14ac:dyDescent="0.25">
      <c r="A53" t="s">
        <v>558</v>
      </c>
      <c r="B53" s="5">
        <v>161</v>
      </c>
      <c r="C53" s="5">
        <v>113</v>
      </c>
      <c r="D53" s="5">
        <v>0.70186335403726696</v>
      </c>
      <c r="E53" s="5">
        <v>0.440993788819875</v>
      </c>
      <c r="F53" s="5">
        <v>0.79646017699115002</v>
      </c>
      <c r="G53" s="5">
        <v>0.87291579888981496</v>
      </c>
      <c r="H53" s="5">
        <v>1.2422360248447201E-2</v>
      </c>
      <c r="I53" s="5">
        <v>3.7267080745341602E-2</v>
      </c>
      <c r="J53" s="5">
        <v>2</v>
      </c>
      <c r="K53" s="5">
        <v>6</v>
      </c>
      <c r="L53" s="5">
        <v>1</v>
      </c>
      <c r="M53" s="5">
        <v>0.60248447204968902</v>
      </c>
      <c r="N53" s="5">
        <v>97</v>
      </c>
      <c r="O53" s="5">
        <v>161</v>
      </c>
      <c r="P53" s="5">
        <v>7</v>
      </c>
      <c r="Q53" s="5" t="s">
        <v>528</v>
      </c>
      <c r="R53" s="5">
        <v>3.71428571428571</v>
      </c>
      <c r="S53" s="5">
        <v>26</v>
      </c>
      <c r="T53" s="5">
        <v>0</v>
      </c>
      <c r="U53" s="5">
        <v>0</v>
      </c>
    </row>
    <row r="54" spans="1:21" x14ac:dyDescent="0.25">
      <c r="A54" t="s">
        <v>568</v>
      </c>
      <c r="B54" s="5">
        <v>228</v>
      </c>
      <c r="C54" s="5">
        <v>148</v>
      </c>
      <c r="D54" s="5">
        <v>0.64912280701754299</v>
      </c>
      <c r="E54" s="5">
        <v>0.464912280701754</v>
      </c>
      <c r="F54" s="5">
        <v>0.82432432432432401</v>
      </c>
      <c r="G54" s="5">
        <v>0.84294912210560802</v>
      </c>
      <c r="H54" s="5">
        <v>3.94736842105263E-2</v>
      </c>
      <c r="I54" s="5">
        <v>2.6315789473684199E-2</v>
      </c>
      <c r="J54" s="5">
        <v>9</v>
      </c>
      <c r="K54" s="5">
        <v>6</v>
      </c>
      <c r="L54" s="5">
        <v>3</v>
      </c>
      <c r="M54" s="5">
        <v>0.53508771929824495</v>
      </c>
      <c r="N54" s="5">
        <v>122</v>
      </c>
      <c r="O54" s="5">
        <v>228</v>
      </c>
      <c r="P54" s="5">
        <v>13</v>
      </c>
      <c r="Q54" s="5">
        <v>17.538461538461501</v>
      </c>
      <c r="R54" s="5">
        <v>3.2307692307692299</v>
      </c>
      <c r="S54" s="5">
        <v>42</v>
      </c>
      <c r="T54" s="5">
        <v>0</v>
      </c>
      <c r="U54" s="5">
        <v>0</v>
      </c>
    </row>
    <row r="55" spans="1:21" x14ac:dyDescent="0.25">
      <c r="A55" t="s">
        <v>577</v>
      </c>
      <c r="B55" s="5">
        <v>153</v>
      </c>
      <c r="C55" s="5">
        <v>109</v>
      </c>
      <c r="D55" s="5">
        <v>0.71241830065359402</v>
      </c>
      <c r="E55" s="5">
        <v>0.44444444444444398</v>
      </c>
      <c r="F55" s="5">
        <v>0.77981651376146699</v>
      </c>
      <c r="G55" s="5">
        <v>0.87714410330603998</v>
      </c>
      <c r="H55" s="5">
        <v>3.2679738562091498E-2</v>
      </c>
      <c r="I55" s="5">
        <v>1.30718954248366E-2</v>
      </c>
      <c r="J55" s="5">
        <v>5</v>
      </c>
      <c r="K55" s="5">
        <v>2</v>
      </c>
      <c r="L55" s="5">
        <v>1</v>
      </c>
      <c r="M55" s="5">
        <v>0.47058823529411697</v>
      </c>
      <c r="N55" s="5">
        <v>72</v>
      </c>
      <c r="O55" s="5">
        <v>153</v>
      </c>
      <c r="P55" s="5">
        <v>11</v>
      </c>
      <c r="Q55" s="5">
        <v>13.909090909090899</v>
      </c>
      <c r="R55" s="5">
        <v>2.5454545454545401</v>
      </c>
      <c r="S55" s="5">
        <v>28</v>
      </c>
      <c r="T55" s="5">
        <v>0</v>
      </c>
      <c r="U55" s="5">
        <v>0</v>
      </c>
    </row>
    <row r="56" spans="1:21" x14ac:dyDescent="0.25">
      <c r="A56" t="s">
        <v>588</v>
      </c>
      <c r="B56" s="5">
        <v>224</v>
      </c>
      <c r="C56" s="5">
        <v>141</v>
      </c>
      <c r="D56" s="5">
        <v>0.62946428571428503</v>
      </c>
      <c r="E56" s="5">
        <v>0.52678571428571397</v>
      </c>
      <c r="F56" s="5">
        <v>0.75177304964539005</v>
      </c>
      <c r="G56" s="5">
        <v>0.85554756273706201</v>
      </c>
      <c r="H56" s="5">
        <v>1.7857142857142801E-2</v>
      </c>
      <c r="I56" s="5">
        <v>4.4642857142857097E-3</v>
      </c>
      <c r="J56" s="5">
        <v>4</v>
      </c>
      <c r="K56" s="5">
        <v>1</v>
      </c>
      <c r="L56" s="5">
        <v>3</v>
      </c>
      <c r="M56" s="5">
        <v>0.50892857142857095</v>
      </c>
      <c r="N56" s="5">
        <v>114</v>
      </c>
      <c r="O56" s="5">
        <v>224</v>
      </c>
      <c r="P56" s="5">
        <v>18</v>
      </c>
      <c r="Q56" s="5">
        <v>12.4444444444444</v>
      </c>
      <c r="R56" s="5">
        <v>1.55555555555555</v>
      </c>
      <c r="S56" s="5">
        <v>28</v>
      </c>
      <c r="T56" s="5">
        <v>0</v>
      </c>
      <c r="U56" s="5">
        <v>0</v>
      </c>
    </row>
    <row r="57" spans="1:21" x14ac:dyDescent="0.25">
      <c r="A57" t="s">
        <v>599</v>
      </c>
      <c r="B57" s="5">
        <v>150</v>
      </c>
      <c r="C57" s="5">
        <v>69</v>
      </c>
      <c r="D57" s="5">
        <v>0.46</v>
      </c>
      <c r="E57" s="5">
        <v>0.706666666666666</v>
      </c>
      <c r="F57" s="5">
        <v>0.63768115942028902</v>
      </c>
      <c r="G57" s="5">
        <v>0.69348296793757902</v>
      </c>
      <c r="H57" s="5">
        <v>0</v>
      </c>
      <c r="I57" s="5">
        <v>7.3333333333333306E-2</v>
      </c>
      <c r="J57" s="5">
        <v>0</v>
      </c>
      <c r="K57" s="5">
        <v>11</v>
      </c>
      <c r="L57" s="5">
        <v>4</v>
      </c>
      <c r="M57" s="5">
        <v>0.62416107382550301</v>
      </c>
      <c r="N57" s="5">
        <v>93</v>
      </c>
      <c r="O57" s="5">
        <v>149</v>
      </c>
      <c r="P57" s="5">
        <v>16</v>
      </c>
      <c r="Q57" s="5">
        <v>9.375</v>
      </c>
      <c r="R57" s="5">
        <v>1.75</v>
      </c>
      <c r="S57" s="5">
        <v>28</v>
      </c>
      <c r="T57" s="5">
        <v>0</v>
      </c>
      <c r="U57" s="5">
        <v>0</v>
      </c>
    </row>
    <row r="58" spans="1:21" x14ac:dyDescent="0.25">
      <c r="A58" t="s">
        <v>609</v>
      </c>
      <c r="B58" s="5">
        <v>155</v>
      </c>
      <c r="C58" s="5">
        <v>113</v>
      </c>
      <c r="D58" s="5">
        <v>0.72903225806451599</v>
      </c>
      <c r="E58" s="5">
        <v>0.43870967741935402</v>
      </c>
      <c r="F58" s="5">
        <v>0.76991150442477796</v>
      </c>
      <c r="G58" s="5">
        <v>0.89595904238133905</v>
      </c>
      <c r="H58" s="5">
        <v>6.4516129032258004E-3</v>
      </c>
      <c r="I58" s="5">
        <v>1.2903225806451601E-2</v>
      </c>
      <c r="J58" s="5">
        <v>1</v>
      </c>
      <c r="K58" s="5">
        <v>2</v>
      </c>
      <c r="L58" s="5">
        <v>2</v>
      </c>
      <c r="M58" s="5">
        <v>0.54140127388534998</v>
      </c>
      <c r="N58" s="5">
        <v>85</v>
      </c>
      <c r="O58" s="5">
        <v>157</v>
      </c>
      <c r="P58" s="5">
        <v>6</v>
      </c>
      <c r="Q58" s="5">
        <v>25.8333333333333</v>
      </c>
      <c r="R58" s="5">
        <v>3.6666666666666599</v>
      </c>
      <c r="S58" s="5">
        <v>22</v>
      </c>
      <c r="T58" s="5">
        <v>0</v>
      </c>
      <c r="U58" s="5">
        <v>0</v>
      </c>
    </row>
    <row r="59" spans="1:21" x14ac:dyDescent="0.25">
      <c r="A59" t="s">
        <v>620</v>
      </c>
      <c r="B59" s="5">
        <v>197</v>
      </c>
      <c r="C59" s="5">
        <v>116</v>
      </c>
      <c r="D59" s="5">
        <v>0.58883248730964399</v>
      </c>
      <c r="E59" s="5">
        <v>0.59898477157360397</v>
      </c>
      <c r="F59" s="5">
        <v>0.68103448275862</v>
      </c>
      <c r="G59" s="5">
        <v>0.84046613361029798</v>
      </c>
      <c r="H59" s="5">
        <v>4.5685279187817202E-2</v>
      </c>
      <c r="I59" s="5">
        <v>3.5532994923857801E-2</v>
      </c>
      <c r="J59" s="5">
        <v>9</v>
      </c>
      <c r="K59" s="5">
        <v>7</v>
      </c>
      <c r="L59" s="5">
        <v>4</v>
      </c>
      <c r="M59" s="5">
        <v>0.45685279187817202</v>
      </c>
      <c r="N59" s="5">
        <v>90</v>
      </c>
      <c r="O59" s="5">
        <v>197</v>
      </c>
      <c r="P59" s="5">
        <v>6</v>
      </c>
      <c r="Q59" s="5">
        <v>32.8333333333333</v>
      </c>
      <c r="R59" s="5">
        <v>6</v>
      </c>
      <c r="S59" s="5">
        <v>36</v>
      </c>
      <c r="T59" s="5">
        <v>0</v>
      </c>
      <c r="U59" s="5">
        <v>0</v>
      </c>
    </row>
    <row r="60" spans="1:21" x14ac:dyDescent="0.25">
      <c r="A60" t="s">
        <v>630</v>
      </c>
      <c r="B60" s="5">
        <v>80</v>
      </c>
      <c r="C60" s="5">
        <v>62</v>
      </c>
      <c r="D60" s="5">
        <v>0.77500000000000002</v>
      </c>
      <c r="E60" s="5">
        <v>0.36249999999999999</v>
      </c>
      <c r="F60" s="5">
        <v>0.82258064516129004</v>
      </c>
      <c r="G60" s="5">
        <v>0.85806698575685802</v>
      </c>
      <c r="H60" s="5">
        <v>1.2500000000000001E-2</v>
      </c>
      <c r="I60" s="5">
        <v>6.25E-2</v>
      </c>
      <c r="J60" s="5">
        <v>1</v>
      </c>
      <c r="K60" s="5">
        <v>5</v>
      </c>
      <c r="L60" s="5">
        <v>2</v>
      </c>
      <c r="M60" s="5">
        <v>0.55000000000000004</v>
      </c>
      <c r="N60" s="5">
        <v>44</v>
      </c>
      <c r="O60" s="5">
        <v>80</v>
      </c>
      <c r="P60" s="5">
        <v>8</v>
      </c>
      <c r="Q60" s="5" t="s">
        <v>638</v>
      </c>
      <c r="R60" s="5">
        <v>1.75</v>
      </c>
      <c r="S60" s="5">
        <v>14</v>
      </c>
      <c r="T60" s="5">
        <v>0</v>
      </c>
      <c r="U60" s="5">
        <v>0</v>
      </c>
    </row>
    <row r="61" spans="1:21" x14ac:dyDescent="0.25">
      <c r="A61" t="s">
        <v>640</v>
      </c>
      <c r="B61" s="5">
        <v>175</v>
      </c>
      <c r="C61" s="5">
        <v>118</v>
      </c>
      <c r="D61" s="5">
        <v>0.67428571428571404</v>
      </c>
      <c r="E61" s="5">
        <v>0.48571428571428499</v>
      </c>
      <c r="F61" s="5">
        <v>0.76271186440677896</v>
      </c>
      <c r="G61" s="5">
        <v>0.86979187992976004</v>
      </c>
      <c r="H61" s="5">
        <v>2.8571428571428501E-2</v>
      </c>
      <c r="I61" s="5">
        <v>5.7142857142857099E-3</v>
      </c>
      <c r="J61" s="5">
        <v>5</v>
      </c>
      <c r="K61" s="5">
        <v>1</v>
      </c>
      <c r="L61" s="5">
        <v>3</v>
      </c>
      <c r="M61" s="5">
        <v>0.48022598870056499</v>
      </c>
      <c r="N61" s="5">
        <v>85</v>
      </c>
      <c r="O61" s="5">
        <v>177</v>
      </c>
      <c r="P61" s="5">
        <v>19</v>
      </c>
      <c r="Q61" s="5">
        <v>9.2105263157894708</v>
      </c>
      <c r="R61" s="5">
        <v>0.84210526315789402</v>
      </c>
      <c r="S61" s="5">
        <v>16</v>
      </c>
      <c r="T61" s="5">
        <v>0</v>
      </c>
      <c r="U61" s="5">
        <v>0</v>
      </c>
    </row>
    <row r="62" spans="1:21" x14ac:dyDescent="0.25">
      <c r="A62" t="s">
        <v>650</v>
      </c>
      <c r="B62" s="5">
        <v>153</v>
      </c>
      <c r="C62" s="5">
        <v>107</v>
      </c>
      <c r="D62" s="5">
        <v>0.69934640522875802</v>
      </c>
      <c r="E62" s="5">
        <v>0.42483660130718898</v>
      </c>
      <c r="F62" s="5">
        <v>0.82242990654205606</v>
      </c>
      <c r="G62" s="5">
        <v>0.85687071471197995</v>
      </c>
      <c r="H62" s="5">
        <v>6.5359477124183E-3</v>
      </c>
      <c r="I62" s="5">
        <v>4.5751633986928102E-2</v>
      </c>
      <c r="J62" s="5">
        <v>1</v>
      </c>
      <c r="K62" s="5">
        <v>7</v>
      </c>
      <c r="L62" s="5">
        <v>4</v>
      </c>
      <c r="M62" s="5">
        <v>0.556291390728476</v>
      </c>
      <c r="N62" s="5">
        <v>84</v>
      </c>
      <c r="O62" s="5">
        <v>151</v>
      </c>
      <c r="P62" s="5">
        <v>1</v>
      </c>
      <c r="Q62" s="5" t="s">
        <v>657</v>
      </c>
      <c r="R62" s="5">
        <v>19</v>
      </c>
      <c r="S62" s="5">
        <v>19</v>
      </c>
      <c r="T62" s="5">
        <v>0</v>
      </c>
      <c r="U62" s="5">
        <v>0</v>
      </c>
    </row>
    <row r="63" spans="1:21" x14ac:dyDescent="0.25">
      <c r="A63" t="s">
        <v>660</v>
      </c>
      <c r="B63" s="5">
        <v>184</v>
      </c>
      <c r="C63" s="5">
        <v>123</v>
      </c>
      <c r="D63" s="5">
        <v>0.66847826086956497</v>
      </c>
      <c r="E63" s="5">
        <v>0.49456521739130399</v>
      </c>
      <c r="F63" s="5">
        <v>0.75609756097560898</v>
      </c>
      <c r="G63" s="5">
        <v>0.87039325224585395</v>
      </c>
      <c r="H63" s="5">
        <v>1.6304347826086901E-2</v>
      </c>
      <c r="I63" s="5">
        <v>2.1739130434782601E-2</v>
      </c>
      <c r="J63" s="5">
        <v>3</v>
      </c>
      <c r="K63" s="5">
        <v>4</v>
      </c>
      <c r="L63" s="5">
        <v>2</v>
      </c>
      <c r="M63" s="5">
        <v>0.53260869565217395</v>
      </c>
      <c r="N63" s="5">
        <v>98</v>
      </c>
      <c r="O63" s="5">
        <v>184</v>
      </c>
      <c r="P63" s="5">
        <v>7</v>
      </c>
      <c r="Q63" s="5">
        <v>26.285714285714199</v>
      </c>
      <c r="R63" s="5">
        <v>4</v>
      </c>
      <c r="S63" s="5">
        <v>28</v>
      </c>
      <c r="T63" s="5">
        <v>0</v>
      </c>
      <c r="U63" s="5">
        <v>0</v>
      </c>
    </row>
    <row r="64" spans="1:21" x14ac:dyDescent="0.25">
      <c r="A64" t="s">
        <v>670</v>
      </c>
      <c r="B64" s="5">
        <v>206</v>
      </c>
      <c r="C64" s="5">
        <v>133</v>
      </c>
      <c r="D64" s="5">
        <v>0.64563106796116498</v>
      </c>
      <c r="E64" s="5">
        <v>0.53398058252427105</v>
      </c>
      <c r="F64" s="5">
        <v>0.721804511278195</v>
      </c>
      <c r="G64" s="5">
        <v>0.871512079097984</v>
      </c>
      <c r="H64" s="5">
        <v>0</v>
      </c>
      <c r="I64" s="5">
        <v>9.7087378640776604E-3</v>
      </c>
      <c r="J64" s="5">
        <v>0</v>
      </c>
      <c r="K64" s="5">
        <v>2</v>
      </c>
      <c r="L64" s="5">
        <v>2</v>
      </c>
      <c r="M64" s="5">
        <v>0.585365853658536</v>
      </c>
      <c r="N64" s="5">
        <v>120</v>
      </c>
      <c r="O64" s="5">
        <v>205</v>
      </c>
      <c r="P64" s="5">
        <v>16</v>
      </c>
      <c r="Q64" s="5">
        <v>12.875</v>
      </c>
      <c r="R64" s="5">
        <v>1.4375</v>
      </c>
      <c r="S64" s="5">
        <v>23</v>
      </c>
      <c r="T64" s="5">
        <v>0</v>
      </c>
      <c r="U64" s="5">
        <v>0</v>
      </c>
    </row>
    <row r="65" spans="1:21" x14ac:dyDescent="0.25">
      <c r="A65" t="s">
        <v>679</v>
      </c>
      <c r="B65" s="5">
        <v>169</v>
      </c>
      <c r="C65" s="5">
        <v>103</v>
      </c>
      <c r="D65" s="5">
        <v>0.609467455621301</v>
      </c>
      <c r="E65" s="5">
        <v>0.562130177514792</v>
      </c>
      <c r="F65" s="5">
        <v>0.71844660194174703</v>
      </c>
      <c r="G65" s="5">
        <v>0.82988337439671001</v>
      </c>
      <c r="H65" s="5">
        <v>4.14201183431952E-2</v>
      </c>
      <c r="I65" s="5">
        <v>5.9171597633135998E-3</v>
      </c>
      <c r="J65" s="5">
        <v>7</v>
      </c>
      <c r="K65" s="5">
        <v>1</v>
      </c>
      <c r="L65" s="5">
        <v>2</v>
      </c>
      <c r="M65" s="5">
        <v>0.461988304093567</v>
      </c>
      <c r="N65" s="5">
        <v>79</v>
      </c>
      <c r="O65" s="5">
        <v>171</v>
      </c>
      <c r="P65" s="5">
        <v>7</v>
      </c>
      <c r="Q65" s="5">
        <v>24.1428571428571</v>
      </c>
      <c r="R65" s="5">
        <v>3.4285714285714199</v>
      </c>
      <c r="S65" s="5">
        <v>24</v>
      </c>
      <c r="T65" s="5">
        <v>0</v>
      </c>
      <c r="U65" s="5">
        <v>0</v>
      </c>
    </row>
    <row r="66" spans="1:21" x14ac:dyDescent="0.25">
      <c r="A66" t="s">
        <v>689</v>
      </c>
      <c r="B66" s="5">
        <v>184</v>
      </c>
      <c r="C66" s="5">
        <v>121</v>
      </c>
      <c r="D66" s="5">
        <v>0.65760869565217395</v>
      </c>
      <c r="E66" s="5">
        <v>0.47826086956521702</v>
      </c>
      <c r="F66" s="5">
        <v>0.79338842975206603</v>
      </c>
      <c r="G66" s="5">
        <v>0.85227071454881098</v>
      </c>
      <c r="H66" s="5">
        <v>2.7173913043478201E-2</v>
      </c>
      <c r="I66" s="5">
        <v>1.0869565217391301E-2</v>
      </c>
      <c r="J66" s="5">
        <v>5</v>
      </c>
      <c r="K66" s="5">
        <v>2</v>
      </c>
      <c r="L66" s="5">
        <v>3</v>
      </c>
      <c r="M66" s="5">
        <v>0.53260869565217395</v>
      </c>
      <c r="N66" s="5">
        <v>98</v>
      </c>
      <c r="O66" s="5">
        <v>184</v>
      </c>
      <c r="P66" s="5">
        <v>4</v>
      </c>
      <c r="Q66" s="5" t="s">
        <v>696</v>
      </c>
      <c r="R66" s="5">
        <v>5.5</v>
      </c>
      <c r="S66" s="5">
        <v>22</v>
      </c>
      <c r="T66" s="5">
        <v>0</v>
      </c>
      <c r="U66" s="5">
        <v>0</v>
      </c>
    </row>
    <row r="67" spans="1:21" x14ac:dyDescent="0.25">
      <c r="A67" t="s">
        <v>699</v>
      </c>
      <c r="B67" s="5">
        <v>142</v>
      </c>
      <c r="C67" s="5">
        <v>103</v>
      </c>
      <c r="D67" s="5">
        <v>0.72535211267605604</v>
      </c>
      <c r="E67" s="5">
        <v>0.42957746478873199</v>
      </c>
      <c r="F67" s="5">
        <v>0.78640776699029102</v>
      </c>
      <c r="G67" s="5">
        <v>0.88293142944077996</v>
      </c>
      <c r="H67" s="5">
        <v>1.4084507042253501E-2</v>
      </c>
      <c r="I67" s="5">
        <v>0</v>
      </c>
      <c r="J67" s="5">
        <v>2</v>
      </c>
      <c r="K67" s="5">
        <v>0</v>
      </c>
      <c r="L67" s="5">
        <v>1</v>
      </c>
      <c r="M67" s="5">
        <v>0.54545454545454497</v>
      </c>
      <c r="N67" s="5">
        <v>78</v>
      </c>
      <c r="O67" s="5">
        <v>143</v>
      </c>
      <c r="P67" s="5">
        <v>12</v>
      </c>
      <c r="Q67" s="5">
        <v>11.8333333333333</v>
      </c>
      <c r="R67" s="5">
        <v>1.4166666666666601</v>
      </c>
      <c r="S67" s="5">
        <v>17</v>
      </c>
      <c r="T67" s="5">
        <v>0</v>
      </c>
      <c r="U67" s="5">
        <v>0</v>
      </c>
    </row>
    <row r="68" spans="1:21" x14ac:dyDescent="0.25">
      <c r="A68" t="s">
        <v>708</v>
      </c>
      <c r="B68" s="5">
        <v>216</v>
      </c>
      <c r="C68" s="5">
        <v>152</v>
      </c>
      <c r="D68" s="5">
        <v>0.70370370370370305</v>
      </c>
      <c r="E68" s="5">
        <v>0.42592592592592499</v>
      </c>
      <c r="F68" s="5">
        <v>0.81578947368420995</v>
      </c>
      <c r="G68" s="5">
        <v>0.89106282467997699</v>
      </c>
      <c r="H68" s="5">
        <v>4.6296296296296198E-3</v>
      </c>
      <c r="I68" s="5">
        <v>1.38888888888888E-2</v>
      </c>
      <c r="J68" s="5">
        <v>1</v>
      </c>
      <c r="K68" s="5">
        <v>3</v>
      </c>
      <c r="L68" s="5">
        <v>4</v>
      </c>
      <c r="M68" s="5">
        <v>0.53488372093023195</v>
      </c>
      <c r="N68" s="5">
        <v>115</v>
      </c>
      <c r="O68" s="5">
        <v>215</v>
      </c>
      <c r="P68" s="5">
        <v>15</v>
      </c>
      <c r="Q68" s="5">
        <v>14.4</v>
      </c>
      <c r="R68" s="5">
        <v>1.8</v>
      </c>
      <c r="S68" s="5">
        <v>27</v>
      </c>
      <c r="T68" s="5">
        <v>0</v>
      </c>
      <c r="U68" s="5">
        <v>0</v>
      </c>
    </row>
    <row r="69" spans="1:21" x14ac:dyDescent="0.25">
      <c r="A69" t="s">
        <v>719</v>
      </c>
      <c r="B69" s="5">
        <v>156</v>
      </c>
      <c r="C69" s="5">
        <v>117</v>
      </c>
      <c r="D69" s="5">
        <v>0.75</v>
      </c>
      <c r="E69" s="5">
        <v>0.39743589743589702</v>
      </c>
      <c r="F69" s="5">
        <v>0.80341880341880301</v>
      </c>
      <c r="G69" s="5">
        <v>0.90044384879720696</v>
      </c>
      <c r="H69" s="5">
        <v>0</v>
      </c>
      <c r="I69" s="5">
        <v>2.5641025641025599E-2</v>
      </c>
      <c r="J69" s="5">
        <v>0</v>
      </c>
      <c r="K69" s="5">
        <v>4</v>
      </c>
      <c r="L69" s="5">
        <v>3</v>
      </c>
      <c r="M69" s="5">
        <v>0.68589743589743501</v>
      </c>
      <c r="N69" s="5">
        <v>107</v>
      </c>
      <c r="O69" s="5">
        <v>156</v>
      </c>
      <c r="P69" s="5">
        <v>10</v>
      </c>
      <c r="Q69" s="5">
        <v>15.6</v>
      </c>
      <c r="R69" s="5">
        <v>0.9</v>
      </c>
      <c r="S69" s="5">
        <v>9</v>
      </c>
      <c r="T69" s="5">
        <v>0</v>
      </c>
      <c r="U69" s="5">
        <v>0</v>
      </c>
    </row>
    <row r="70" spans="1:21" x14ac:dyDescent="0.25">
      <c r="A70" t="s">
        <v>728</v>
      </c>
      <c r="B70" s="5">
        <v>239</v>
      </c>
      <c r="C70" s="5">
        <v>144</v>
      </c>
      <c r="D70" s="5">
        <v>0.60251046025104604</v>
      </c>
      <c r="E70" s="5">
        <v>0.55648535564853496</v>
      </c>
      <c r="F70" s="5">
        <v>0.73611111111111105</v>
      </c>
      <c r="G70" s="5">
        <v>0.84599757480733095</v>
      </c>
      <c r="H70" s="5">
        <v>4.1841004184100397E-3</v>
      </c>
      <c r="I70" s="5">
        <v>1.2552301255230099E-2</v>
      </c>
      <c r="J70" s="5">
        <v>1</v>
      </c>
      <c r="K70" s="5">
        <v>3</v>
      </c>
      <c r="L70" s="5">
        <v>4</v>
      </c>
      <c r="M70" s="5">
        <v>0.54811715481171497</v>
      </c>
      <c r="N70" s="5">
        <v>131</v>
      </c>
      <c r="O70" s="5">
        <v>239</v>
      </c>
      <c r="P70" s="5">
        <v>11</v>
      </c>
      <c r="Q70" s="5">
        <v>21.727272727272702</v>
      </c>
      <c r="R70" s="5">
        <v>2.72727272727272</v>
      </c>
      <c r="S70" s="5">
        <v>30</v>
      </c>
      <c r="T70" s="5">
        <v>0</v>
      </c>
      <c r="U70" s="5">
        <v>0</v>
      </c>
    </row>
    <row r="71" spans="1:21" x14ac:dyDescent="0.25">
      <c r="A71" t="s">
        <v>739</v>
      </c>
      <c r="B71" s="5">
        <v>166</v>
      </c>
      <c r="C71" s="5">
        <v>104</v>
      </c>
      <c r="D71" s="5">
        <v>0.62650602409638501</v>
      </c>
      <c r="E71" s="5">
        <v>0.53012048192771</v>
      </c>
      <c r="F71" s="5">
        <v>0.75</v>
      </c>
      <c r="G71" s="5">
        <v>0.82243914146078101</v>
      </c>
      <c r="H71" s="5">
        <v>3.0120481927710802E-2</v>
      </c>
      <c r="I71" s="5">
        <v>4.2168674698795101E-2</v>
      </c>
      <c r="J71" s="5">
        <v>5</v>
      </c>
      <c r="K71" s="5">
        <v>7</v>
      </c>
      <c r="L71" s="5">
        <v>3</v>
      </c>
      <c r="M71" s="5">
        <v>0.50602409638554202</v>
      </c>
      <c r="N71" s="5">
        <v>84</v>
      </c>
      <c r="O71" s="5">
        <v>166</v>
      </c>
      <c r="P71" s="5">
        <v>10</v>
      </c>
      <c r="Q71" s="5">
        <v>16.600000000000001</v>
      </c>
      <c r="R71" s="5">
        <v>1.8</v>
      </c>
      <c r="S71" s="5">
        <v>18</v>
      </c>
      <c r="T71" s="5">
        <v>0</v>
      </c>
      <c r="U71" s="5">
        <v>0</v>
      </c>
    </row>
    <row r="72" spans="1:21" x14ac:dyDescent="0.25">
      <c r="A72" t="s">
        <v>748</v>
      </c>
      <c r="B72" s="5">
        <v>144</v>
      </c>
      <c r="C72" s="5">
        <v>107</v>
      </c>
      <c r="D72" s="5">
        <v>0.74305555555555503</v>
      </c>
      <c r="E72" s="5">
        <v>0.38194444444444398</v>
      </c>
      <c r="F72" s="5">
        <v>0.83177570093457898</v>
      </c>
      <c r="G72" s="5">
        <v>0.88722007782673196</v>
      </c>
      <c r="H72" s="5">
        <v>6.9444444444444397E-3</v>
      </c>
      <c r="I72" s="5">
        <v>6.9444444444444397E-3</v>
      </c>
      <c r="J72" s="5">
        <v>1</v>
      </c>
      <c r="K72" s="5">
        <v>1</v>
      </c>
      <c r="L72" s="5">
        <v>5</v>
      </c>
      <c r="M72" s="5">
        <v>0.60416666666666596</v>
      </c>
      <c r="N72" s="5">
        <v>87</v>
      </c>
      <c r="O72" s="5">
        <v>144</v>
      </c>
      <c r="P72" s="5">
        <v>10</v>
      </c>
      <c r="Q72" s="5">
        <v>14.4</v>
      </c>
      <c r="R72" s="5">
        <v>1.7</v>
      </c>
      <c r="S72" s="5">
        <v>17</v>
      </c>
      <c r="T72" s="5">
        <v>0</v>
      </c>
      <c r="U72" s="5">
        <v>0</v>
      </c>
    </row>
    <row r="73" spans="1:21" x14ac:dyDescent="0.25">
      <c r="A73" t="s">
        <v>757</v>
      </c>
      <c r="B73" s="5">
        <v>68</v>
      </c>
      <c r="C73" s="5">
        <v>38</v>
      </c>
      <c r="D73" s="5">
        <v>0.55882352941176405</v>
      </c>
      <c r="E73" s="5">
        <v>0.72058823529411697</v>
      </c>
      <c r="F73" s="5">
        <v>0.5</v>
      </c>
      <c r="G73" s="5">
        <v>0.68182649586293098</v>
      </c>
      <c r="H73" s="5">
        <v>0</v>
      </c>
      <c r="I73" s="5">
        <v>0</v>
      </c>
      <c r="J73" s="5">
        <v>0</v>
      </c>
      <c r="K73" s="5">
        <v>0</v>
      </c>
      <c r="L73" s="5">
        <v>2</v>
      </c>
      <c r="M73" s="5">
        <v>0.58823529411764697</v>
      </c>
      <c r="N73" s="5">
        <v>40</v>
      </c>
      <c r="O73" s="5">
        <v>68</v>
      </c>
      <c r="P73" s="5">
        <v>9</v>
      </c>
      <c r="Q73" s="5">
        <v>7.55555555555555</v>
      </c>
      <c r="R73" s="5">
        <v>0.22222222222222199</v>
      </c>
      <c r="S73" s="5">
        <v>2</v>
      </c>
      <c r="T73" s="5">
        <v>0</v>
      </c>
      <c r="U73" s="5">
        <v>0</v>
      </c>
    </row>
    <row r="74" spans="1:21" x14ac:dyDescent="0.25">
      <c r="A74" t="s">
        <v>766</v>
      </c>
      <c r="B74" s="5">
        <v>208</v>
      </c>
      <c r="C74" s="5">
        <v>135</v>
      </c>
      <c r="D74" s="5">
        <v>0.64903846153846101</v>
      </c>
      <c r="E74" s="5">
        <v>0.54326923076922995</v>
      </c>
      <c r="F74" s="5">
        <v>0.70370370370370305</v>
      </c>
      <c r="G74" s="5">
        <v>0.88525480059792205</v>
      </c>
      <c r="H74" s="5">
        <v>1.9230769230769201E-2</v>
      </c>
      <c r="I74" s="5">
        <v>6.7307692307692304E-2</v>
      </c>
      <c r="J74" s="5">
        <v>4</v>
      </c>
      <c r="K74" s="5">
        <v>14</v>
      </c>
      <c r="L74" s="5">
        <v>2</v>
      </c>
      <c r="M74" s="5">
        <v>0.51196172248803795</v>
      </c>
      <c r="N74" s="5">
        <v>107</v>
      </c>
      <c r="O74" s="5">
        <v>209</v>
      </c>
      <c r="P74" s="5">
        <v>8</v>
      </c>
      <c r="Q74" s="5" t="s">
        <v>773</v>
      </c>
      <c r="R74" s="5">
        <v>4.25</v>
      </c>
      <c r="S74" s="5">
        <v>34</v>
      </c>
      <c r="T74" s="5">
        <v>0</v>
      </c>
      <c r="U74" s="5">
        <v>0</v>
      </c>
    </row>
    <row r="75" spans="1:21" x14ac:dyDescent="0.25">
      <c r="A75" t="s">
        <v>776</v>
      </c>
      <c r="B75" s="5">
        <v>175</v>
      </c>
      <c r="C75" s="5">
        <v>121</v>
      </c>
      <c r="D75" s="5">
        <v>0.69142857142857095</v>
      </c>
      <c r="E75" s="5">
        <v>0.46857142857142797</v>
      </c>
      <c r="F75" s="5">
        <v>0.76859504132231404</v>
      </c>
      <c r="G75" s="5">
        <v>0.88011439136430503</v>
      </c>
      <c r="H75" s="5">
        <v>1.1428571428571401E-2</v>
      </c>
      <c r="I75" s="5">
        <v>2.8571428571428501E-2</v>
      </c>
      <c r="J75" s="5">
        <v>2</v>
      </c>
      <c r="K75" s="5">
        <v>5</v>
      </c>
      <c r="L75" s="5">
        <v>3</v>
      </c>
      <c r="M75" s="5">
        <v>0.47428571428571398</v>
      </c>
      <c r="N75" s="5">
        <v>83</v>
      </c>
      <c r="O75" s="5">
        <v>175</v>
      </c>
      <c r="P75" s="5">
        <v>8</v>
      </c>
      <c r="Q75" s="5">
        <v>21.875</v>
      </c>
      <c r="R75" s="5">
        <v>3.125</v>
      </c>
      <c r="S75" s="5">
        <v>25</v>
      </c>
      <c r="T75" s="5">
        <v>0</v>
      </c>
      <c r="U75" s="5">
        <v>0</v>
      </c>
    </row>
    <row r="76" spans="1:21" x14ac:dyDescent="0.25">
      <c r="A76" t="s">
        <v>785</v>
      </c>
      <c r="B76" s="5">
        <v>148</v>
      </c>
      <c r="C76" s="5">
        <v>103</v>
      </c>
      <c r="D76" s="5">
        <v>0.69594594594594505</v>
      </c>
      <c r="E76" s="5">
        <v>0.43918918918918898</v>
      </c>
      <c r="F76" s="5">
        <v>0.80582524271844602</v>
      </c>
      <c r="G76" s="5">
        <v>0.86002370391225802</v>
      </c>
      <c r="H76" s="5">
        <v>0</v>
      </c>
      <c r="I76" s="5">
        <v>0</v>
      </c>
      <c r="J76" s="5">
        <v>0</v>
      </c>
      <c r="K76" s="5">
        <v>0</v>
      </c>
      <c r="L76" s="5">
        <v>3</v>
      </c>
      <c r="M76" s="5">
        <v>0.58389261744966403</v>
      </c>
      <c r="N76" s="5">
        <v>87</v>
      </c>
      <c r="O76" s="5">
        <v>149</v>
      </c>
      <c r="P76" s="5">
        <v>9</v>
      </c>
      <c r="Q76" s="5">
        <v>16.4444444444444</v>
      </c>
      <c r="R76" s="5">
        <v>2.2222222222222201</v>
      </c>
      <c r="S76" s="5">
        <v>20</v>
      </c>
      <c r="T76" s="5">
        <v>0</v>
      </c>
      <c r="U76" s="5">
        <v>0</v>
      </c>
    </row>
    <row r="77" spans="1:21" x14ac:dyDescent="0.25">
      <c r="A77" t="s">
        <v>792</v>
      </c>
      <c r="B77" s="5">
        <v>203</v>
      </c>
      <c r="C77" s="5">
        <v>132</v>
      </c>
      <c r="D77" s="5">
        <v>0.65024630541871897</v>
      </c>
      <c r="E77" s="5">
        <v>0.50738916256157596</v>
      </c>
      <c r="F77" s="5">
        <v>0.75757575757575701</v>
      </c>
      <c r="G77" s="5">
        <v>0.86031579225945498</v>
      </c>
      <c r="H77" s="5">
        <v>2.95566502463054E-2</v>
      </c>
      <c r="I77" s="5">
        <v>4.9261083743842296E-3</v>
      </c>
      <c r="J77" s="5">
        <v>6</v>
      </c>
      <c r="K77" s="5">
        <v>1</v>
      </c>
      <c r="L77" s="5">
        <v>1</v>
      </c>
      <c r="M77" s="5">
        <v>0.54368932038834905</v>
      </c>
      <c r="N77" s="5">
        <v>112</v>
      </c>
      <c r="O77" s="5">
        <v>206</v>
      </c>
      <c r="P77" s="5">
        <v>7</v>
      </c>
      <c r="Q77" s="5" t="s">
        <v>800</v>
      </c>
      <c r="R77" s="5">
        <v>3.8571428571428501</v>
      </c>
      <c r="S77" s="5">
        <v>27</v>
      </c>
      <c r="T77" s="5">
        <v>0</v>
      </c>
      <c r="U77" s="5">
        <v>0</v>
      </c>
    </row>
    <row r="78" spans="1:21" x14ac:dyDescent="0.25">
      <c r="A78" t="s">
        <v>803</v>
      </c>
      <c r="B78" s="5">
        <v>218</v>
      </c>
      <c r="C78" s="5">
        <v>139</v>
      </c>
      <c r="D78" s="5">
        <v>0.63761467889908197</v>
      </c>
      <c r="E78" s="5">
        <v>0.50458715596330195</v>
      </c>
      <c r="F78" s="5">
        <v>0.77697841726618699</v>
      </c>
      <c r="G78" s="5">
        <v>0.84674077145470705</v>
      </c>
      <c r="H78" s="5">
        <v>9.1743119266054999E-3</v>
      </c>
      <c r="I78" s="5">
        <v>1.37614678899082E-2</v>
      </c>
      <c r="J78" s="5">
        <v>2</v>
      </c>
      <c r="K78" s="5">
        <v>3</v>
      </c>
      <c r="L78" s="5">
        <v>2</v>
      </c>
      <c r="M78" s="5">
        <v>0.56422018348623804</v>
      </c>
      <c r="N78" s="5">
        <v>123</v>
      </c>
      <c r="O78" s="5">
        <v>218</v>
      </c>
      <c r="P78" s="5">
        <v>28</v>
      </c>
      <c r="Q78" s="5">
        <v>7.7857142857142803</v>
      </c>
      <c r="R78" s="5">
        <v>0.64285714285714202</v>
      </c>
      <c r="S78" s="5">
        <v>18</v>
      </c>
      <c r="T78" s="5">
        <v>0</v>
      </c>
      <c r="U78" s="5">
        <v>0</v>
      </c>
    </row>
    <row r="79" spans="1:21" x14ac:dyDescent="0.25">
      <c r="A79" t="s">
        <v>814</v>
      </c>
      <c r="B79" s="5">
        <v>176</v>
      </c>
      <c r="C79" s="5">
        <v>100</v>
      </c>
      <c r="D79" s="5">
        <v>0.56818181818181801</v>
      </c>
      <c r="E79" s="5">
        <v>0.59090909090909005</v>
      </c>
      <c r="F79" s="5">
        <v>0.72</v>
      </c>
      <c r="G79" s="5">
        <v>0.79678352675228203</v>
      </c>
      <c r="H79" s="5">
        <v>3.4090909090908998E-2</v>
      </c>
      <c r="I79" s="5">
        <v>3.9772727272727203E-2</v>
      </c>
      <c r="J79" s="5">
        <v>6</v>
      </c>
      <c r="K79" s="5">
        <v>7</v>
      </c>
      <c r="L79" s="5">
        <v>5</v>
      </c>
      <c r="M79" s="5">
        <v>0.47159090909090901</v>
      </c>
      <c r="N79" s="5">
        <v>83</v>
      </c>
      <c r="O79" s="5">
        <v>176</v>
      </c>
      <c r="P79" s="5">
        <v>8</v>
      </c>
      <c r="Q79" s="5" t="s">
        <v>821</v>
      </c>
      <c r="R79" s="5">
        <v>4</v>
      </c>
      <c r="S79" s="5">
        <v>32</v>
      </c>
      <c r="T79" s="5">
        <v>0</v>
      </c>
      <c r="U79" s="5">
        <v>0</v>
      </c>
    </row>
    <row r="80" spans="1:21" x14ac:dyDescent="0.25">
      <c r="A80" t="s">
        <v>823</v>
      </c>
      <c r="B80" s="5">
        <v>226</v>
      </c>
      <c r="C80" s="5">
        <v>155</v>
      </c>
      <c r="D80" s="5">
        <v>0.68584070796460095</v>
      </c>
      <c r="E80" s="5">
        <v>0.43805309734513198</v>
      </c>
      <c r="F80" s="5">
        <v>0.81935483870967696</v>
      </c>
      <c r="G80" s="5">
        <v>0.89107908914252798</v>
      </c>
      <c r="H80" s="5">
        <v>1.7699115044247701E-2</v>
      </c>
      <c r="I80" s="5">
        <v>3.5398230088495498E-2</v>
      </c>
      <c r="J80" s="5">
        <v>4</v>
      </c>
      <c r="K80" s="5">
        <v>8</v>
      </c>
      <c r="L80" s="5">
        <v>4</v>
      </c>
      <c r="M80" s="5">
        <v>0.55506607929515395</v>
      </c>
      <c r="N80" s="5">
        <v>126</v>
      </c>
      <c r="O80" s="5">
        <v>227</v>
      </c>
      <c r="P80" s="5">
        <v>14</v>
      </c>
      <c r="Q80" s="5">
        <v>16.1428571428571</v>
      </c>
      <c r="R80" s="5">
        <v>2.8571428571428501</v>
      </c>
      <c r="S80" s="5">
        <v>40</v>
      </c>
      <c r="T80" s="5">
        <v>0</v>
      </c>
      <c r="U80" s="5">
        <v>0</v>
      </c>
    </row>
    <row r="81" spans="1:21" x14ac:dyDescent="0.25">
      <c r="A81" t="s">
        <v>834</v>
      </c>
      <c r="B81" s="5">
        <v>196</v>
      </c>
      <c r="C81" s="5">
        <v>142</v>
      </c>
      <c r="D81" s="5">
        <v>0.72448979591836704</v>
      </c>
      <c r="E81" s="5">
        <v>0.397959183673469</v>
      </c>
      <c r="F81" s="5">
        <v>0.83098591549295697</v>
      </c>
      <c r="G81" s="5">
        <v>0.88995199336643205</v>
      </c>
      <c r="H81" s="5">
        <v>3.06122448979591E-2</v>
      </c>
      <c r="I81" s="5">
        <v>2.04081632653061E-2</v>
      </c>
      <c r="J81" s="5">
        <v>6</v>
      </c>
      <c r="K81" s="5">
        <v>4</v>
      </c>
      <c r="L81" s="5">
        <v>2</v>
      </c>
      <c r="M81" s="5">
        <v>0.55329949238578602</v>
      </c>
      <c r="N81" s="5">
        <v>109</v>
      </c>
      <c r="O81" s="5">
        <v>197</v>
      </c>
      <c r="P81" s="5">
        <v>13</v>
      </c>
      <c r="Q81" s="5">
        <v>15.076923076923</v>
      </c>
      <c r="R81" s="5">
        <v>1.6923076923076901</v>
      </c>
      <c r="S81" s="5">
        <v>22</v>
      </c>
      <c r="T81" s="5">
        <v>0</v>
      </c>
      <c r="U81" s="5">
        <v>0</v>
      </c>
    </row>
    <row r="82" spans="1:21" x14ac:dyDescent="0.25">
      <c r="A82" t="s">
        <v>844</v>
      </c>
      <c r="B82" s="5">
        <v>270</v>
      </c>
      <c r="C82" s="5">
        <v>143</v>
      </c>
      <c r="D82" s="5">
        <v>0.52962962962962901</v>
      </c>
      <c r="E82" s="5">
        <v>0.59629629629629599</v>
      </c>
      <c r="F82" s="5">
        <v>0.76223776223776196</v>
      </c>
      <c r="G82" s="5">
        <v>0.78690955523364903</v>
      </c>
      <c r="H82" s="5">
        <v>2.2222222222222199E-2</v>
      </c>
      <c r="I82" s="5">
        <v>7.0370370370370305E-2</v>
      </c>
      <c r="J82" s="5">
        <v>6</v>
      </c>
      <c r="K82" s="5">
        <v>19</v>
      </c>
      <c r="L82" s="5">
        <v>2</v>
      </c>
      <c r="M82" s="5">
        <v>0.45925925925925898</v>
      </c>
      <c r="N82" s="5">
        <v>124</v>
      </c>
      <c r="O82" s="5">
        <v>270</v>
      </c>
      <c r="P82" s="5">
        <v>12</v>
      </c>
      <c r="Q82" s="5">
        <v>22.5</v>
      </c>
      <c r="R82" s="5">
        <v>4.1666666666666599</v>
      </c>
      <c r="S82" s="5">
        <v>50</v>
      </c>
      <c r="T82" s="5">
        <v>1</v>
      </c>
      <c r="U82" s="5">
        <v>0.54567746710161702</v>
      </c>
    </row>
    <row r="83" spans="1:21" x14ac:dyDescent="0.25">
      <c r="A83" t="s">
        <v>855</v>
      </c>
      <c r="B83" s="5">
        <v>113</v>
      </c>
      <c r="C83" s="5">
        <v>95</v>
      </c>
      <c r="D83" s="5">
        <v>0.840707964601769</v>
      </c>
      <c r="E83" s="5">
        <v>0.25663716814159199</v>
      </c>
      <c r="F83" s="5">
        <v>0.884210526315789</v>
      </c>
      <c r="G83" s="5">
        <v>0.92239195855640499</v>
      </c>
      <c r="H83" s="5">
        <v>2.6548672566371601E-2</v>
      </c>
      <c r="I83" s="5">
        <v>0</v>
      </c>
      <c r="J83" s="5">
        <v>3</v>
      </c>
      <c r="K83" s="5">
        <v>0</v>
      </c>
      <c r="L83" s="5">
        <v>2</v>
      </c>
      <c r="M83" s="5">
        <v>0.64601769911504403</v>
      </c>
      <c r="N83" s="5">
        <v>73</v>
      </c>
      <c r="O83" s="5">
        <v>113</v>
      </c>
      <c r="P83" s="5">
        <v>17</v>
      </c>
      <c r="Q83" s="5">
        <v>6.6470588235294104</v>
      </c>
      <c r="R83" s="5">
        <v>0.35294117647058798</v>
      </c>
      <c r="S83" s="5">
        <v>6</v>
      </c>
      <c r="T83" s="5">
        <v>0</v>
      </c>
      <c r="U83" s="5">
        <v>0</v>
      </c>
    </row>
    <row r="84" spans="1:21" x14ac:dyDescent="0.25">
      <c r="A84" t="s">
        <v>865</v>
      </c>
      <c r="B84" s="5">
        <v>130</v>
      </c>
      <c r="C84" s="5">
        <v>89</v>
      </c>
      <c r="D84" s="5">
        <v>0.68461538461538396</v>
      </c>
      <c r="E84" s="5">
        <v>0.47692307692307601</v>
      </c>
      <c r="F84" s="5">
        <v>0.76404494382022403</v>
      </c>
      <c r="G84" s="5">
        <v>0.845647042698634</v>
      </c>
      <c r="H84" s="5">
        <v>2.3076923076922998E-2</v>
      </c>
      <c r="I84" s="5">
        <v>1.53846153846153E-2</v>
      </c>
      <c r="J84" s="5">
        <v>3</v>
      </c>
      <c r="K84" s="5">
        <v>2</v>
      </c>
      <c r="L84" s="5">
        <v>3</v>
      </c>
      <c r="M84" s="5">
        <v>0.54615384615384599</v>
      </c>
      <c r="N84" s="5">
        <v>71</v>
      </c>
      <c r="O84" s="5">
        <v>130</v>
      </c>
      <c r="P84" s="5">
        <v>4</v>
      </c>
      <c r="Q84" s="5">
        <v>32.5</v>
      </c>
      <c r="R84" s="5">
        <v>5.75</v>
      </c>
      <c r="S84" s="5">
        <v>23</v>
      </c>
      <c r="T84" s="5">
        <v>0</v>
      </c>
      <c r="U84" s="5">
        <v>0</v>
      </c>
    </row>
    <row r="85" spans="1:21" x14ac:dyDescent="0.25">
      <c r="A85" t="s">
        <v>875</v>
      </c>
      <c r="B85" s="5">
        <v>156</v>
      </c>
      <c r="C85" s="5">
        <v>102</v>
      </c>
      <c r="D85" s="5">
        <v>0.65384615384615297</v>
      </c>
      <c r="E85" s="5">
        <v>0.46794871794871701</v>
      </c>
      <c r="F85" s="5">
        <v>0.81372549019607798</v>
      </c>
      <c r="G85" s="5">
        <v>0.81515704290956204</v>
      </c>
      <c r="H85" s="5">
        <v>1.2820512820512799E-2</v>
      </c>
      <c r="I85" s="5">
        <v>1.9230769230769201E-2</v>
      </c>
      <c r="J85" s="5">
        <v>2</v>
      </c>
      <c r="K85" s="5">
        <v>3</v>
      </c>
      <c r="L85" s="5">
        <v>3</v>
      </c>
      <c r="M85" s="5">
        <v>0.46153846153846101</v>
      </c>
      <c r="N85" s="5">
        <v>72</v>
      </c>
      <c r="O85" s="5">
        <v>156</v>
      </c>
      <c r="P85" s="5">
        <v>10</v>
      </c>
      <c r="Q85" s="5">
        <v>15.6</v>
      </c>
      <c r="R85" s="5">
        <v>2.6</v>
      </c>
      <c r="S85" s="5">
        <v>26</v>
      </c>
      <c r="T85" s="5">
        <v>0</v>
      </c>
      <c r="U85" s="5">
        <v>0</v>
      </c>
    </row>
    <row r="86" spans="1:21" x14ac:dyDescent="0.25">
      <c r="A86" t="s">
        <v>884</v>
      </c>
      <c r="B86" s="5">
        <v>230</v>
      </c>
      <c r="C86" s="5">
        <v>131</v>
      </c>
      <c r="D86" s="5">
        <v>0.56956521739130395</v>
      </c>
      <c r="E86" s="5">
        <v>0.57826086956521705</v>
      </c>
      <c r="F86" s="5">
        <v>0.74045801526717503</v>
      </c>
      <c r="G86" s="5">
        <v>0.81400689715488095</v>
      </c>
      <c r="H86" s="5">
        <v>2.1739130434782601E-2</v>
      </c>
      <c r="I86" s="5">
        <v>1.30434782608695E-2</v>
      </c>
      <c r="J86" s="5">
        <v>5</v>
      </c>
      <c r="K86" s="5">
        <v>3</v>
      </c>
      <c r="L86" s="5">
        <v>5</v>
      </c>
      <c r="M86" s="5">
        <v>0.52813852813852802</v>
      </c>
      <c r="N86" s="5">
        <v>122</v>
      </c>
      <c r="O86" s="5">
        <v>231</v>
      </c>
      <c r="P86" s="5">
        <v>2</v>
      </c>
      <c r="Q86" s="5" t="s">
        <v>891</v>
      </c>
      <c r="R86" s="5">
        <v>16</v>
      </c>
      <c r="S86" s="5">
        <v>32</v>
      </c>
      <c r="T86" s="5">
        <v>0</v>
      </c>
      <c r="U86" s="5">
        <v>0</v>
      </c>
    </row>
    <row r="87" spans="1:21" x14ac:dyDescent="0.25">
      <c r="A87" t="s">
        <v>894</v>
      </c>
      <c r="B87" s="5">
        <v>160</v>
      </c>
      <c r="C87" s="5">
        <v>107</v>
      </c>
      <c r="D87" s="5">
        <v>0.66874999999999996</v>
      </c>
      <c r="E87" s="5">
        <v>0.45</v>
      </c>
      <c r="F87" s="5">
        <v>0.82242990654205606</v>
      </c>
      <c r="G87" s="5">
        <v>0.82179409614924603</v>
      </c>
      <c r="H87" s="5">
        <v>1.2500000000000001E-2</v>
      </c>
      <c r="I87" s="5">
        <v>6.2500000000000003E-3</v>
      </c>
      <c r="J87" s="5">
        <v>2</v>
      </c>
      <c r="K87" s="5">
        <v>1</v>
      </c>
      <c r="L87" s="5">
        <v>4</v>
      </c>
      <c r="M87" s="5">
        <v>0.46250000000000002</v>
      </c>
      <c r="N87" s="5">
        <v>74</v>
      </c>
      <c r="O87" s="5">
        <v>160</v>
      </c>
      <c r="P87" s="5">
        <v>5</v>
      </c>
      <c r="Q87" s="5" t="s">
        <v>178</v>
      </c>
      <c r="R87" s="5">
        <v>4.8</v>
      </c>
      <c r="S87" s="5">
        <v>24</v>
      </c>
      <c r="T87" s="5">
        <v>1</v>
      </c>
      <c r="U87" s="5">
        <v>0.66751032555034795</v>
      </c>
    </row>
    <row r="88" spans="1:21" x14ac:dyDescent="0.25">
      <c r="A88" t="s">
        <v>902</v>
      </c>
      <c r="B88" s="5">
        <v>114</v>
      </c>
      <c r="C88" s="5">
        <v>85</v>
      </c>
      <c r="D88" s="5">
        <v>0.74561403508771895</v>
      </c>
      <c r="E88" s="5">
        <v>0.38596491228070101</v>
      </c>
      <c r="F88" s="5">
        <v>0.82352941176470495</v>
      </c>
      <c r="G88" s="5">
        <v>0.86303570440813404</v>
      </c>
      <c r="H88" s="5">
        <v>8.7719298245613996E-3</v>
      </c>
      <c r="I88" s="5">
        <v>1.7543859649122799E-2</v>
      </c>
      <c r="J88" s="5">
        <v>1</v>
      </c>
      <c r="K88" s="5">
        <v>2</v>
      </c>
      <c r="L88" s="5">
        <v>3</v>
      </c>
      <c r="M88" s="5">
        <v>0.52631578947368396</v>
      </c>
      <c r="N88" s="5">
        <v>60</v>
      </c>
      <c r="O88" s="5">
        <v>114</v>
      </c>
      <c r="P88" s="5">
        <v>10</v>
      </c>
      <c r="Q88" s="5">
        <v>11.4</v>
      </c>
      <c r="R88" s="5">
        <v>1.1000000000000001</v>
      </c>
      <c r="S88" s="5">
        <v>11</v>
      </c>
      <c r="T88" s="5">
        <v>0</v>
      </c>
      <c r="U88" s="5">
        <v>0</v>
      </c>
    </row>
    <row r="89" spans="1:21" x14ac:dyDescent="0.25">
      <c r="A89" t="s">
        <v>913</v>
      </c>
      <c r="B89" s="5">
        <v>131</v>
      </c>
      <c r="C89" s="5">
        <v>97</v>
      </c>
      <c r="D89" s="5">
        <v>0.74045801526717503</v>
      </c>
      <c r="E89" s="5">
        <v>0.41984732824427401</v>
      </c>
      <c r="F89" s="5">
        <v>0.78350515463917503</v>
      </c>
      <c r="G89" s="5">
        <v>0.88399787272337005</v>
      </c>
      <c r="H89" s="5">
        <v>2.2900763358778602E-2</v>
      </c>
      <c r="I89" s="5">
        <v>3.8167938931297697E-2</v>
      </c>
      <c r="J89" s="5">
        <v>3</v>
      </c>
      <c r="K89" s="5">
        <v>5</v>
      </c>
      <c r="L89" s="5">
        <v>4</v>
      </c>
      <c r="M89" s="5">
        <v>0.54961832061068705</v>
      </c>
      <c r="N89" s="5">
        <v>72</v>
      </c>
      <c r="O89" s="5">
        <v>131</v>
      </c>
      <c r="P89" s="5">
        <v>5</v>
      </c>
      <c r="Q89" s="5">
        <v>26.2</v>
      </c>
      <c r="R89" s="5">
        <v>2.8</v>
      </c>
      <c r="S89" s="5">
        <v>14</v>
      </c>
      <c r="T89" s="5">
        <v>0</v>
      </c>
      <c r="U89" s="5">
        <v>0</v>
      </c>
    </row>
    <row r="90" spans="1:21" x14ac:dyDescent="0.25">
      <c r="A90" t="s">
        <v>923</v>
      </c>
      <c r="B90" s="5">
        <v>161</v>
      </c>
      <c r="C90" s="5">
        <v>118</v>
      </c>
      <c r="D90" s="5">
        <v>0.73291925465838503</v>
      </c>
      <c r="E90" s="5">
        <v>0.440993788819875</v>
      </c>
      <c r="F90" s="5">
        <v>0.76271186440677896</v>
      </c>
      <c r="G90" s="5">
        <v>0.90323467256072798</v>
      </c>
      <c r="H90" s="5">
        <v>6.2111801242236003E-3</v>
      </c>
      <c r="I90" s="5">
        <v>1.2422360248447201E-2</v>
      </c>
      <c r="J90" s="5">
        <v>1</v>
      </c>
      <c r="K90" s="5">
        <v>2</v>
      </c>
      <c r="L90" s="5">
        <v>4</v>
      </c>
      <c r="M90" s="5">
        <v>0.60248447204968902</v>
      </c>
      <c r="N90" s="5">
        <v>97</v>
      </c>
      <c r="O90" s="5">
        <v>161</v>
      </c>
      <c r="P90" s="5">
        <v>9</v>
      </c>
      <c r="Q90" s="5">
        <v>17.8888888888888</v>
      </c>
      <c r="R90" s="5">
        <v>2.1111111111111098</v>
      </c>
      <c r="S90" s="5">
        <v>19</v>
      </c>
      <c r="T90" s="5">
        <v>0</v>
      </c>
      <c r="U90" s="5">
        <v>0</v>
      </c>
    </row>
    <row r="91" spans="1:21" x14ac:dyDescent="0.25">
      <c r="A91" t="s">
        <v>929</v>
      </c>
      <c r="B91" s="5">
        <v>156</v>
      </c>
      <c r="C91" s="5">
        <v>113</v>
      </c>
      <c r="D91" s="5">
        <v>0.72435897435897401</v>
      </c>
      <c r="E91" s="5">
        <v>0.42948717948717902</v>
      </c>
      <c r="F91" s="5">
        <v>0.787610619469026</v>
      </c>
      <c r="G91" s="5">
        <v>0.89419910667821401</v>
      </c>
      <c r="H91" s="5">
        <v>4.4871794871794803E-2</v>
      </c>
      <c r="I91" s="5">
        <v>0</v>
      </c>
      <c r="J91" s="5">
        <v>7</v>
      </c>
      <c r="K91" s="5">
        <v>0</v>
      </c>
      <c r="L91" s="5">
        <v>3</v>
      </c>
      <c r="M91" s="5">
        <v>0.62179487179487103</v>
      </c>
      <c r="N91" s="5">
        <v>97</v>
      </c>
      <c r="O91" s="5">
        <v>156</v>
      </c>
      <c r="P91" s="5">
        <v>10</v>
      </c>
      <c r="Q91" s="5">
        <v>15.6</v>
      </c>
      <c r="R91" s="5">
        <v>1.6</v>
      </c>
      <c r="S91" s="5">
        <v>16</v>
      </c>
      <c r="T91" s="5">
        <v>0</v>
      </c>
      <c r="U91" s="5">
        <v>0</v>
      </c>
    </row>
    <row r="92" spans="1:21" x14ac:dyDescent="0.25">
      <c r="A92" t="s">
        <v>936</v>
      </c>
      <c r="B92" s="5">
        <v>181</v>
      </c>
      <c r="C92" s="5">
        <v>127</v>
      </c>
      <c r="D92" s="5">
        <v>0.70165745856353501</v>
      </c>
      <c r="E92" s="5">
        <v>0.425414364640884</v>
      </c>
      <c r="F92" s="5">
        <v>0.81889763779527502</v>
      </c>
      <c r="G92" s="5">
        <v>0.87682310527052598</v>
      </c>
      <c r="H92" s="5">
        <v>0</v>
      </c>
      <c r="I92" s="5">
        <v>1.6574585635359101E-2</v>
      </c>
      <c r="J92" s="5">
        <v>0</v>
      </c>
      <c r="K92" s="5">
        <v>3</v>
      </c>
      <c r="L92" s="5">
        <v>3</v>
      </c>
      <c r="M92" s="5">
        <v>0.57377049180327799</v>
      </c>
      <c r="N92" s="5">
        <v>105</v>
      </c>
      <c r="O92" s="5">
        <v>183</v>
      </c>
      <c r="P92" s="5">
        <v>9</v>
      </c>
      <c r="Q92" s="5">
        <v>20.1111111111111</v>
      </c>
      <c r="R92" s="5">
        <v>2.88888888888888</v>
      </c>
      <c r="S92" s="5">
        <v>26</v>
      </c>
      <c r="T92" s="5">
        <v>0</v>
      </c>
      <c r="U92" s="5">
        <v>0</v>
      </c>
    </row>
    <row r="93" spans="1:21" x14ac:dyDescent="0.25">
      <c r="A93" t="s">
        <v>946</v>
      </c>
      <c r="B93" s="5">
        <v>208</v>
      </c>
      <c r="C93" s="5">
        <v>119</v>
      </c>
      <c r="D93" s="5">
        <v>0.57211538461538403</v>
      </c>
      <c r="E93" s="5">
        <v>0.58653846153846101</v>
      </c>
      <c r="F93" s="5">
        <v>0.72268907563025198</v>
      </c>
      <c r="G93" s="5">
        <v>0.81452939099170496</v>
      </c>
      <c r="H93" s="5">
        <v>1.44230769230769E-2</v>
      </c>
      <c r="I93" s="5">
        <v>6.25E-2</v>
      </c>
      <c r="J93" s="5">
        <v>3</v>
      </c>
      <c r="K93" s="5">
        <v>13</v>
      </c>
      <c r="L93" s="5">
        <v>3</v>
      </c>
      <c r="M93" s="5">
        <v>0.54066985645932997</v>
      </c>
      <c r="N93" s="5">
        <v>113</v>
      </c>
      <c r="O93" s="5">
        <v>209</v>
      </c>
      <c r="P93" s="5">
        <v>6</v>
      </c>
      <c r="Q93" s="5">
        <v>34.6666666666666</v>
      </c>
      <c r="R93" s="5">
        <v>3.5</v>
      </c>
      <c r="S93" s="5">
        <v>21</v>
      </c>
      <c r="T93" s="5">
        <v>0</v>
      </c>
      <c r="U93" s="5">
        <v>0</v>
      </c>
    </row>
    <row r="94" spans="1:21" x14ac:dyDescent="0.25">
      <c r="A94" t="s">
        <v>956</v>
      </c>
      <c r="B94" s="5">
        <v>187</v>
      </c>
      <c r="C94" s="5">
        <v>132</v>
      </c>
      <c r="D94" s="5">
        <v>0.70588235294117596</v>
      </c>
      <c r="E94" s="5">
        <v>0.43315508021390298</v>
      </c>
      <c r="F94" s="5">
        <v>0.80303030303030298</v>
      </c>
      <c r="G94" s="5">
        <v>0.87795989661456997</v>
      </c>
      <c r="H94" s="5">
        <v>1.06951871657754E-2</v>
      </c>
      <c r="I94" s="5">
        <v>1.06951871657754E-2</v>
      </c>
      <c r="J94" s="5">
        <v>2</v>
      </c>
      <c r="K94" s="5">
        <v>2</v>
      </c>
      <c r="L94" s="5">
        <v>4</v>
      </c>
      <c r="M94" s="5">
        <v>0.55851063829787195</v>
      </c>
      <c r="N94" s="5">
        <v>105</v>
      </c>
      <c r="O94" s="5">
        <v>188</v>
      </c>
      <c r="P94" s="5">
        <v>8</v>
      </c>
      <c r="Q94" s="5">
        <v>23.375</v>
      </c>
      <c r="R94" s="5">
        <v>4.375</v>
      </c>
      <c r="S94" s="5">
        <v>35</v>
      </c>
      <c r="T94" s="5">
        <v>0</v>
      </c>
      <c r="U94" s="5">
        <v>0</v>
      </c>
    </row>
    <row r="95" spans="1:21" x14ac:dyDescent="0.25">
      <c r="A95" t="s">
        <v>966</v>
      </c>
      <c r="B95" s="5">
        <v>133</v>
      </c>
      <c r="C95" s="5">
        <v>84</v>
      </c>
      <c r="D95" s="5">
        <v>0.63157894736842102</v>
      </c>
      <c r="E95" s="5">
        <v>0.54135338345864603</v>
      </c>
      <c r="F95" s="5">
        <v>0.72619047619047605</v>
      </c>
      <c r="G95" s="5">
        <v>0.80786879696286795</v>
      </c>
      <c r="H95" s="5">
        <v>1.50375939849624E-2</v>
      </c>
      <c r="I95" s="5">
        <v>1.50375939849624E-2</v>
      </c>
      <c r="J95" s="5">
        <v>2</v>
      </c>
      <c r="K95" s="5">
        <v>2</v>
      </c>
      <c r="L95" s="5">
        <v>2</v>
      </c>
      <c r="M95" s="5">
        <v>0.62406015037593898</v>
      </c>
      <c r="N95" s="5">
        <v>83</v>
      </c>
      <c r="O95" s="5">
        <v>133</v>
      </c>
      <c r="P95" s="5">
        <v>5</v>
      </c>
      <c r="Q95" s="5">
        <v>26.6</v>
      </c>
      <c r="R95" s="5">
        <v>2.4</v>
      </c>
      <c r="S95" s="5">
        <v>12</v>
      </c>
      <c r="T95" s="5">
        <v>0</v>
      </c>
      <c r="U95" s="5">
        <v>0</v>
      </c>
    </row>
    <row r="96" spans="1:21" x14ac:dyDescent="0.25">
      <c r="A96" t="s">
        <v>974</v>
      </c>
      <c r="B96" s="5">
        <v>180</v>
      </c>
      <c r="C96" s="5">
        <v>130</v>
      </c>
      <c r="D96" s="5">
        <v>0.72222222222222199</v>
      </c>
      <c r="E96" s="5">
        <v>0.42777777777777698</v>
      </c>
      <c r="F96" s="5">
        <v>0.79230769230769205</v>
      </c>
      <c r="G96" s="5">
        <v>0.89603017581510602</v>
      </c>
      <c r="H96" s="5">
        <v>1.6666666666666601E-2</v>
      </c>
      <c r="I96" s="5">
        <v>3.3333333333333298E-2</v>
      </c>
      <c r="J96" s="5">
        <v>3</v>
      </c>
      <c r="K96" s="5">
        <v>6</v>
      </c>
      <c r="L96" s="5">
        <v>4</v>
      </c>
      <c r="M96" s="5">
        <v>0.50555555555555498</v>
      </c>
      <c r="N96" s="5">
        <v>91</v>
      </c>
      <c r="O96" s="5">
        <v>180</v>
      </c>
      <c r="P96" s="5">
        <v>5</v>
      </c>
      <c r="Q96" s="5" t="s">
        <v>982</v>
      </c>
      <c r="R96" s="5">
        <v>5.6</v>
      </c>
      <c r="S96" s="5">
        <v>28</v>
      </c>
      <c r="T96" s="5">
        <v>0</v>
      </c>
      <c r="U96" s="5">
        <v>0</v>
      </c>
    </row>
    <row r="97" spans="1:21" x14ac:dyDescent="0.25">
      <c r="A97" t="s">
        <v>985</v>
      </c>
      <c r="B97" s="5">
        <v>136</v>
      </c>
      <c r="C97" s="5">
        <v>94</v>
      </c>
      <c r="D97" s="5">
        <v>0.69117647058823495</v>
      </c>
      <c r="E97" s="5">
        <v>0.41911764705882298</v>
      </c>
      <c r="F97" s="5">
        <v>0.840425531914893</v>
      </c>
      <c r="G97" s="5">
        <v>0.829316292008767</v>
      </c>
      <c r="H97" s="5">
        <v>7.3529411764705803E-3</v>
      </c>
      <c r="I97" s="5">
        <v>1.47058823529411E-2</v>
      </c>
      <c r="J97" s="5">
        <v>1</v>
      </c>
      <c r="K97" s="5">
        <v>2</v>
      </c>
      <c r="L97" s="5">
        <v>2</v>
      </c>
      <c r="M97" s="5">
        <v>0.61764705882352899</v>
      </c>
      <c r="N97" s="5">
        <v>84</v>
      </c>
      <c r="O97" s="5">
        <v>136</v>
      </c>
      <c r="P97" s="5">
        <v>8</v>
      </c>
      <c r="Q97" s="5" t="s">
        <v>992</v>
      </c>
      <c r="R97" s="5">
        <v>1.5</v>
      </c>
      <c r="S97" s="5">
        <v>12</v>
      </c>
      <c r="T97" s="5">
        <v>0</v>
      </c>
      <c r="U97" s="5">
        <v>0</v>
      </c>
    </row>
    <row r="98" spans="1:21" x14ac:dyDescent="0.25">
      <c r="A98" t="s">
        <v>995</v>
      </c>
      <c r="B98" s="5">
        <v>149</v>
      </c>
      <c r="C98" s="5">
        <v>107</v>
      </c>
      <c r="D98" s="5">
        <v>0.71812080536912704</v>
      </c>
      <c r="E98" s="5">
        <v>0.43624161073825501</v>
      </c>
      <c r="F98" s="5">
        <v>0.78504672897196204</v>
      </c>
      <c r="G98" s="5">
        <v>0.87055311679638503</v>
      </c>
      <c r="H98" s="5">
        <v>1.34228187919463E-2</v>
      </c>
      <c r="I98" s="5">
        <v>2.68456375838926E-2</v>
      </c>
      <c r="J98" s="5">
        <v>2</v>
      </c>
      <c r="K98" s="5">
        <v>4</v>
      </c>
      <c r="L98" s="5">
        <v>2</v>
      </c>
      <c r="M98" s="5">
        <v>0.54362416107382505</v>
      </c>
      <c r="N98" s="5">
        <v>81</v>
      </c>
      <c r="O98" s="5">
        <v>149</v>
      </c>
      <c r="P98" s="5">
        <v>4</v>
      </c>
      <c r="Q98" s="5">
        <v>37.25</v>
      </c>
      <c r="R98" s="5">
        <v>3.25</v>
      </c>
      <c r="S98" s="5">
        <v>13</v>
      </c>
      <c r="T98" s="5">
        <v>0</v>
      </c>
      <c r="U98" s="5">
        <v>0</v>
      </c>
    </row>
    <row r="99" spans="1:21" x14ac:dyDescent="0.25">
      <c r="A99" t="s">
        <v>1006</v>
      </c>
      <c r="B99" s="5">
        <v>163</v>
      </c>
      <c r="C99" s="5">
        <v>121</v>
      </c>
      <c r="D99" s="5">
        <v>0.74233128834355799</v>
      </c>
      <c r="E99" s="5">
        <v>0.380368098159509</v>
      </c>
      <c r="F99" s="5">
        <v>0.834710743801652</v>
      </c>
      <c r="G99" s="5">
        <v>0.88569900280789904</v>
      </c>
      <c r="H99" s="5">
        <v>6.13496932515337E-3</v>
      </c>
      <c r="I99" s="5">
        <v>1.22699386503067E-2</v>
      </c>
      <c r="J99" s="5">
        <v>1</v>
      </c>
      <c r="K99" s="5">
        <v>2</v>
      </c>
      <c r="L99" s="5">
        <v>3</v>
      </c>
      <c r="M99" s="5">
        <v>0.56441717791410995</v>
      </c>
      <c r="N99" s="5">
        <v>92</v>
      </c>
      <c r="O99" s="5">
        <v>163</v>
      </c>
      <c r="P99" s="5">
        <v>8</v>
      </c>
      <c r="Q99" s="5">
        <v>20.375</v>
      </c>
      <c r="R99" s="5">
        <v>4.5</v>
      </c>
      <c r="S99" s="5">
        <v>36</v>
      </c>
      <c r="T99" s="5">
        <v>0</v>
      </c>
      <c r="U99" s="5">
        <v>0</v>
      </c>
    </row>
    <row r="100" spans="1:21" x14ac:dyDescent="0.25">
      <c r="A100" t="s">
        <v>1015</v>
      </c>
      <c r="B100" s="5">
        <v>90</v>
      </c>
      <c r="C100" s="5">
        <v>75</v>
      </c>
      <c r="D100" s="5">
        <v>0.83333333333333304</v>
      </c>
      <c r="E100" s="5">
        <v>0.27777777777777701</v>
      </c>
      <c r="F100" s="5">
        <v>0.86666666666666603</v>
      </c>
      <c r="G100" s="5">
        <v>0.90543777884992205</v>
      </c>
      <c r="H100" s="5">
        <v>0</v>
      </c>
      <c r="I100" s="5">
        <v>3.3333333333333298E-2</v>
      </c>
      <c r="J100" s="5">
        <v>0</v>
      </c>
      <c r="K100" s="5">
        <v>3</v>
      </c>
      <c r="L100" s="5">
        <v>3</v>
      </c>
      <c r="M100" s="5">
        <v>0.550561797752809</v>
      </c>
      <c r="N100" s="5">
        <v>49</v>
      </c>
      <c r="O100" s="5">
        <v>89</v>
      </c>
      <c r="P100" s="5">
        <v>8</v>
      </c>
      <c r="Q100" s="5">
        <v>11.25</v>
      </c>
      <c r="R100" s="5">
        <v>1.375</v>
      </c>
      <c r="S100" s="5">
        <v>11</v>
      </c>
      <c r="T100" s="5">
        <v>0</v>
      </c>
      <c r="U100" s="5">
        <v>0</v>
      </c>
    </row>
    <row r="101" spans="1:21" x14ac:dyDescent="0.25">
      <c r="A101" t="s">
        <v>1024</v>
      </c>
      <c r="B101" s="5">
        <v>227</v>
      </c>
      <c r="C101" s="5">
        <v>146</v>
      </c>
      <c r="D101" s="5">
        <v>0.6431718061674</v>
      </c>
      <c r="E101" s="5">
        <v>0.506607929515418</v>
      </c>
      <c r="F101" s="5">
        <v>0.76712328767123195</v>
      </c>
      <c r="G101" s="5">
        <v>0.85793041435504702</v>
      </c>
      <c r="H101" s="5">
        <v>2.6431718061673999E-2</v>
      </c>
      <c r="I101" s="5">
        <v>4.4052863436123302E-2</v>
      </c>
      <c r="J101" s="5">
        <v>6</v>
      </c>
      <c r="K101" s="5">
        <v>10</v>
      </c>
      <c r="L101" s="5">
        <v>3</v>
      </c>
      <c r="M101" s="5">
        <v>0.52838427947598199</v>
      </c>
      <c r="N101" s="5">
        <v>121</v>
      </c>
      <c r="O101" s="5">
        <v>229</v>
      </c>
      <c r="P101" s="5">
        <v>8</v>
      </c>
      <c r="Q101" s="5">
        <v>28.375</v>
      </c>
      <c r="R101" s="5">
        <v>5</v>
      </c>
      <c r="S101" s="5">
        <v>40</v>
      </c>
      <c r="T101" s="5">
        <v>0</v>
      </c>
      <c r="U101" s="5">
        <v>0</v>
      </c>
    </row>
    <row r="102" spans="1:21" x14ac:dyDescent="0.25">
      <c r="A102" t="s">
        <v>1035</v>
      </c>
      <c r="B102" s="5">
        <v>175</v>
      </c>
      <c r="C102" s="5">
        <v>111</v>
      </c>
      <c r="D102" s="5">
        <v>0.63428571428571401</v>
      </c>
      <c r="E102" s="5">
        <v>0.56000000000000005</v>
      </c>
      <c r="F102" s="5">
        <v>0.69369369369369305</v>
      </c>
      <c r="G102" s="5">
        <v>0.84961524560456403</v>
      </c>
      <c r="H102" s="5">
        <v>2.2857142857142802E-2</v>
      </c>
      <c r="I102" s="5">
        <v>2.2857142857142802E-2</v>
      </c>
      <c r="J102" s="5">
        <v>4</v>
      </c>
      <c r="K102" s="5">
        <v>4</v>
      </c>
      <c r="L102" s="5">
        <v>3</v>
      </c>
      <c r="M102" s="5">
        <v>0.48587570621468901</v>
      </c>
      <c r="N102" s="5">
        <v>86</v>
      </c>
      <c r="O102" s="5">
        <v>177</v>
      </c>
      <c r="P102" s="5">
        <v>13</v>
      </c>
      <c r="Q102" s="5">
        <v>13.4615384615384</v>
      </c>
      <c r="R102" s="5">
        <v>2.2307692307692299</v>
      </c>
      <c r="S102" s="5">
        <v>29</v>
      </c>
      <c r="T102" s="5">
        <v>0</v>
      </c>
      <c r="U102" s="5">
        <v>0</v>
      </c>
    </row>
    <row r="103" spans="1:21" x14ac:dyDescent="0.25">
      <c r="A103" t="s">
        <v>1043</v>
      </c>
      <c r="B103" s="5">
        <v>208</v>
      </c>
      <c r="C103" s="5">
        <v>131</v>
      </c>
      <c r="D103" s="5">
        <v>0.62980769230769196</v>
      </c>
      <c r="E103" s="5">
        <v>0.53365384615384603</v>
      </c>
      <c r="F103" s="5">
        <v>0.74045801526717503</v>
      </c>
      <c r="G103" s="5">
        <v>0.85516069727230903</v>
      </c>
      <c r="H103" s="5">
        <v>1.9230769230769201E-2</v>
      </c>
      <c r="I103" s="5">
        <v>4.3269230769230699E-2</v>
      </c>
      <c r="J103" s="5">
        <v>4</v>
      </c>
      <c r="K103" s="5">
        <v>9</v>
      </c>
      <c r="L103" s="5">
        <v>4</v>
      </c>
      <c r="M103" s="5">
        <v>0.54807692307692302</v>
      </c>
      <c r="N103" s="5">
        <v>114</v>
      </c>
      <c r="O103" s="5">
        <v>208</v>
      </c>
      <c r="P103" s="5">
        <v>4</v>
      </c>
      <c r="Q103" s="5" t="s">
        <v>1049</v>
      </c>
      <c r="R103" s="5">
        <v>10.25</v>
      </c>
      <c r="S103" s="5">
        <v>41</v>
      </c>
      <c r="T103" s="5">
        <v>0</v>
      </c>
      <c r="U103" s="5">
        <v>0</v>
      </c>
    </row>
    <row r="104" spans="1:21" x14ac:dyDescent="0.25">
      <c r="A104" t="s">
        <v>1052</v>
      </c>
      <c r="B104" s="5">
        <v>123</v>
      </c>
      <c r="C104" s="5">
        <v>90</v>
      </c>
      <c r="D104" s="5">
        <v>0.73170731707317005</v>
      </c>
      <c r="E104" s="5">
        <v>0.40650406504065001</v>
      </c>
      <c r="F104" s="5">
        <v>0.81111111111111101</v>
      </c>
      <c r="G104" s="5">
        <v>0.87285603849993998</v>
      </c>
      <c r="H104" s="5">
        <v>1.6260162601626001E-2</v>
      </c>
      <c r="I104" s="5">
        <v>0</v>
      </c>
      <c r="J104" s="5">
        <v>2</v>
      </c>
      <c r="K104" s="5">
        <v>0</v>
      </c>
      <c r="L104" s="5">
        <v>1</v>
      </c>
      <c r="M104" s="5">
        <v>0.60975609756097504</v>
      </c>
      <c r="N104" s="5">
        <v>75</v>
      </c>
      <c r="O104" s="5">
        <v>123</v>
      </c>
      <c r="P104" s="5">
        <v>9</v>
      </c>
      <c r="Q104" s="5">
        <v>13.6666666666666</v>
      </c>
      <c r="R104" s="5">
        <v>0.66666666666666596</v>
      </c>
      <c r="S104" s="5">
        <v>6</v>
      </c>
      <c r="T104" s="5">
        <v>0</v>
      </c>
      <c r="U104" s="5">
        <v>0</v>
      </c>
    </row>
    <row r="105" spans="1:21" x14ac:dyDescent="0.25">
      <c r="A105" t="s">
        <v>1062</v>
      </c>
      <c r="B105" s="5">
        <v>150</v>
      </c>
      <c r="C105" s="5">
        <v>104</v>
      </c>
      <c r="D105" s="5">
        <v>0.69333333333333302</v>
      </c>
      <c r="E105" s="5">
        <v>0.44666666666666599</v>
      </c>
      <c r="F105" s="5">
        <v>0.79807692307692302</v>
      </c>
      <c r="G105" s="5">
        <v>0.84825588703684396</v>
      </c>
      <c r="H105" s="5">
        <v>1.3333333333333299E-2</v>
      </c>
      <c r="I105" s="5">
        <v>6.6666666666666602E-3</v>
      </c>
      <c r="J105" s="5">
        <v>2</v>
      </c>
      <c r="K105" s="5">
        <v>1</v>
      </c>
      <c r="L105" s="5">
        <v>2</v>
      </c>
      <c r="M105" s="5">
        <v>0.51677852348993203</v>
      </c>
      <c r="N105" s="5">
        <v>77</v>
      </c>
      <c r="O105" s="5">
        <v>149</v>
      </c>
      <c r="P105" s="5">
        <v>11</v>
      </c>
      <c r="Q105" s="5">
        <v>13.636363636363599</v>
      </c>
      <c r="R105" s="5">
        <v>1.1818181818181801</v>
      </c>
      <c r="S105" s="5">
        <v>13</v>
      </c>
      <c r="T105" s="5">
        <v>0</v>
      </c>
      <c r="U105" s="5">
        <v>0</v>
      </c>
    </row>
    <row r="106" spans="1:21" x14ac:dyDescent="0.25">
      <c r="A106" t="s">
        <v>1073</v>
      </c>
      <c r="B106" s="5">
        <v>142</v>
      </c>
      <c r="C106" s="5">
        <v>111</v>
      </c>
      <c r="D106" s="5">
        <v>0.78169014084507005</v>
      </c>
      <c r="E106" s="5">
        <v>0.35915492957746398</v>
      </c>
      <c r="F106" s="5">
        <v>0.819819819819819</v>
      </c>
      <c r="G106" s="5">
        <v>0.90969128208461303</v>
      </c>
      <c r="H106" s="5">
        <v>2.1126760563380202E-2</v>
      </c>
      <c r="I106" s="5">
        <v>2.1126760563380202E-2</v>
      </c>
      <c r="J106" s="5">
        <v>3</v>
      </c>
      <c r="K106" s="5">
        <v>3</v>
      </c>
      <c r="L106" s="5">
        <v>2</v>
      </c>
      <c r="M106" s="5">
        <v>0.56944444444444398</v>
      </c>
      <c r="N106" s="5">
        <v>82</v>
      </c>
      <c r="O106" s="5">
        <v>144</v>
      </c>
      <c r="P106" s="5">
        <v>7</v>
      </c>
      <c r="Q106" s="5">
        <v>20.285714285714199</v>
      </c>
      <c r="R106" s="5">
        <v>2.71428571428571</v>
      </c>
      <c r="S106" s="5">
        <v>19</v>
      </c>
      <c r="T106" s="5">
        <v>0</v>
      </c>
      <c r="U106" s="5">
        <v>0</v>
      </c>
    </row>
    <row r="107" spans="1:21" x14ac:dyDescent="0.25">
      <c r="A107" t="s">
        <v>1083</v>
      </c>
      <c r="B107" s="5">
        <v>142</v>
      </c>
      <c r="C107" s="5">
        <v>102</v>
      </c>
      <c r="D107" s="5">
        <v>0.71830985915492895</v>
      </c>
      <c r="E107" s="5">
        <v>0.42957746478873199</v>
      </c>
      <c r="F107" s="5">
        <v>0.79411764705882304</v>
      </c>
      <c r="G107" s="5">
        <v>0.86673718930474497</v>
      </c>
      <c r="H107" s="5">
        <v>2.1126760563380202E-2</v>
      </c>
      <c r="I107" s="5">
        <v>1.4084507042253501E-2</v>
      </c>
      <c r="J107" s="5">
        <v>3</v>
      </c>
      <c r="K107" s="5">
        <v>2</v>
      </c>
      <c r="L107" s="5">
        <v>4</v>
      </c>
      <c r="M107" s="5">
        <v>0.58108108108108103</v>
      </c>
      <c r="N107" s="5">
        <v>86</v>
      </c>
      <c r="O107" s="5">
        <v>148</v>
      </c>
      <c r="P107" s="5">
        <v>7</v>
      </c>
      <c r="Q107" s="5">
        <v>20.285714285714199</v>
      </c>
      <c r="R107" s="5">
        <v>3</v>
      </c>
      <c r="S107" s="5">
        <v>21</v>
      </c>
      <c r="T107" s="5">
        <v>0</v>
      </c>
      <c r="U107" s="5">
        <v>0</v>
      </c>
    </row>
    <row r="108" spans="1:21" x14ac:dyDescent="0.25">
      <c r="A108" t="s">
        <v>1089</v>
      </c>
      <c r="B108" s="5">
        <v>104</v>
      </c>
      <c r="C108" s="5">
        <v>84</v>
      </c>
      <c r="D108" s="5">
        <v>0.80769230769230704</v>
      </c>
      <c r="E108" s="5">
        <v>0.30769230769230699</v>
      </c>
      <c r="F108" s="5">
        <v>0.85714285714285698</v>
      </c>
      <c r="G108" s="5">
        <v>0.90343314138556896</v>
      </c>
      <c r="H108" s="5">
        <v>2.8846153846153799E-2</v>
      </c>
      <c r="I108" s="5">
        <v>0</v>
      </c>
      <c r="J108" s="5">
        <v>3</v>
      </c>
      <c r="K108" s="5">
        <v>0</v>
      </c>
      <c r="L108" s="5">
        <v>4</v>
      </c>
      <c r="M108" s="5">
        <v>0.625</v>
      </c>
      <c r="N108" s="5">
        <v>65</v>
      </c>
      <c r="O108" s="5">
        <v>104</v>
      </c>
      <c r="P108" s="5">
        <v>9</v>
      </c>
      <c r="Q108" s="5">
        <v>11.5555555555555</v>
      </c>
      <c r="R108" s="5">
        <v>1.2222222222222201</v>
      </c>
      <c r="S108" s="5">
        <v>11</v>
      </c>
      <c r="T108" s="5">
        <v>0</v>
      </c>
      <c r="U108" s="5">
        <v>0</v>
      </c>
    </row>
    <row r="109" spans="1:21" x14ac:dyDescent="0.25">
      <c r="A109" t="s">
        <v>1098</v>
      </c>
      <c r="B109" s="5">
        <v>110</v>
      </c>
      <c r="C109" s="5">
        <v>81</v>
      </c>
      <c r="D109" s="5">
        <v>0.736363636363636</v>
      </c>
      <c r="E109" s="5">
        <v>0.42727272727272703</v>
      </c>
      <c r="F109" s="5">
        <v>0.77777777777777701</v>
      </c>
      <c r="G109" s="5">
        <v>0.87091865998147699</v>
      </c>
      <c r="H109" s="5">
        <v>0</v>
      </c>
      <c r="I109" s="5">
        <v>6.3636363636363602E-2</v>
      </c>
      <c r="J109" s="5">
        <v>0</v>
      </c>
      <c r="K109" s="5">
        <v>7</v>
      </c>
      <c r="L109" s="5">
        <v>3</v>
      </c>
      <c r="M109" s="5">
        <v>0.7</v>
      </c>
      <c r="N109" s="5">
        <v>77</v>
      </c>
      <c r="O109" s="5">
        <v>110</v>
      </c>
      <c r="P109" s="5">
        <v>16</v>
      </c>
      <c r="Q109" s="5">
        <v>6.875</v>
      </c>
      <c r="R109" s="5">
        <v>0.4375</v>
      </c>
      <c r="S109" s="5">
        <v>7</v>
      </c>
      <c r="T109" s="5">
        <v>0</v>
      </c>
      <c r="U109" s="5">
        <v>0</v>
      </c>
    </row>
    <row r="110" spans="1:21" x14ac:dyDescent="0.25">
      <c r="A110" t="s">
        <v>1106</v>
      </c>
      <c r="B110" s="5">
        <v>153</v>
      </c>
      <c r="C110" s="5">
        <v>94</v>
      </c>
      <c r="D110" s="5">
        <v>0.61437908496731997</v>
      </c>
      <c r="E110" s="5">
        <v>0.52941176470588203</v>
      </c>
      <c r="F110" s="5">
        <v>0.76595744680850997</v>
      </c>
      <c r="G110" s="5">
        <v>0.79586569572794497</v>
      </c>
      <c r="H110" s="5">
        <v>1.30718954248366E-2</v>
      </c>
      <c r="I110" s="5">
        <v>0</v>
      </c>
      <c r="J110" s="5">
        <v>2</v>
      </c>
      <c r="K110" s="5">
        <v>0</v>
      </c>
      <c r="L110" s="5">
        <v>3</v>
      </c>
      <c r="M110" s="5">
        <v>0.57516339869280997</v>
      </c>
      <c r="N110" s="5">
        <v>88</v>
      </c>
      <c r="O110" s="5">
        <v>153</v>
      </c>
      <c r="P110" s="5">
        <v>9</v>
      </c>
      <c r="Q110" s="5" t="s">
        <v>992</v>
      </c>
      <c r="R110" s="5">
        <v>2.4444444444444402</v>
      </c>
      <c r="S110" s="5">
        <v>22</v>
      </c>
      <c r="T110" s="5">
        <v>0</v>
      </c>
      <c r="U110" s="5">
        <v>0</v>
      </c>
    </row>
    <row r="111" spans="1:21" x14ac:dyDescent="0.25">
      <c r="A111" t="s">
        <v>1114</v>
      </c>
      <c r="B111" s="5">
        <v>144</v>
      </c>
      <c r="C111" s="5">
        <v>103</v>
      </c>
      <c r="D111" s="5">
        <v>0.71527777777777701</v>
      </c>
      <c r="E111" s="5">
        <v>0.41666666666666602</v>
      </c>
      <c r="F111" s="5">
        <v>0.81553398058252402</v>
      </c>
      <c r="G111" s="5">
        <v>0.86299742052516604</v>
      </c>
      <c r="H111" s="5">
        <v>0</v>
      </c>
      <c r="I111" s="5">
        <v>1.38888888888888E-2</v>
      </c>
      <c r="J111" s="5">
        <v>0</v>
      </c>
      <c r="K111" s="5">
        <v>2</v>
      </c>
      <c r="L111" s="5">
        <v>1</v>
      </c>
      <c r="M111" s="5">
        <v>0.59440559440559404</v>
      </c>
      <c r="N111" s="5">
        <v>85</v>
      </c>
      <c r="O111" s="5">
        <v>143</v>
      </c>
      <c r="P111" s="5">
        <v>5</v>
      </c>
      <c r="Q111" s="5">
        <v>28.8</v>
      </c>
      <c r="R111" s="5">
        <v>4.2</v>
      </c>
      <c r="S111" s="5">
        <v>21</v>
      </c>
      <c r="T111" s="5">
        <v>0</v>
      </c>
      <c r="U111" s="5">
        <v>0</v>
      </c>
    </row>
    <row r="112" spans="1:21" x14ac:dyDescent="0.25">
      <c r="A112" t="s">
        <v>1123</v>
      </c>
      <c r="B112" s="5">
        <v>115</v>
      </c>
      <c r="C112" s="5">
        <v>86</v>
      </c>
      <c r="D112" s="5">
        <v>0.74782608695652097</v>
      </c>
      <c r="E112" s="5">
        <v>0.36521739130434699</v>
      </c>
      <c r="F112" s="5">
        <v>0.84883720930232498</v>
      </c>
      <c r="G112" s="5">
        <v>0.85861075298669598</v>
      </c>
      <c r="H112" s="5">
        <v>8.6956521739130401E-3</v>
      </c>
      <c r="I112" s="5">
        <v>8.6956521739130401E-3</v>
      </c>
      <c r="J112" s="5">
        <v>1</v>
      </c>
      <c r="K112" s="5">
        <v>1</v>
      </c>
      <c r="L112" s="5">
        <v>4</v>
      </c>
      <c r="M112" s="5">
        <v>0.59130434782608698</v>
      </c>
      <c r="N112" s="5">
        <v>68</v>
      </c>
      <c r="O112" s="5">
        <v>115</v>
      </c>
      <c r="P112" s="5">
        <v>5</v>
      </c>
      <c r="Q112" s="5" t="s">
        <v>528</v>
      </c>
      <c r="R112" s="5">
        <v>1.8</v>
      </c>
      <c r="S112" s="5">
        <v>9</v>
      </c>
      <c r="T112" s="5">
        <v>0</v>
      </c>
      <c r="U112" s="5">
        <v>0</v>
      </c>
    </row>
    <row r="113" spans="1:21" x14ac:dyDescent="0.25">
      <c r="A113" t="s">
        <v>1130</v>
      </c>
      <c r="B113" s="5">
        <v>167</v>
      </c>
      <c r="C113" s="5">
        <v>120</v>
      </c>
      <c r="D113" s="5">
        <v>0.71856287425149701</v>
      </c>
      <c r="E113" s="5">
        <v>0.41317365269460998</v>
      </c>
      <c r="F113" s="5">
        <v>0.81666666666666599</v>
      </c>
      <c r="G113" s="5">
        <v>0.87671092105064796</v>
      </c>
      <c r="H113" s="5">
        <v>1.79640718562874E-2</v>
      </c>
      <c r="I113" s="5">
        <v>8.9820359281437098E-2</v>
      </c>
      <c r="J113" s="5">
        <v>3</v>
      </c>
      <c r="K113" s="5">
        <v>15</v>
      </c>
      <c r="L113" s="5">
        <v>3</v>
      </c>
      <c r="M113" s="5">
        <v>0.56886227544910095</v>
      </c>
      <c r="N113" s="5">
        <v>95</v>
      </c>
      <c r="O113" s="5">
        <v>167</v>
      </c>
      <c r="P113" s="5">
        <v>4</v>
      </c>
      <c r="Q113" s="5">
        <v>41.75</v>
      </c>
      <c r="R113" s="5">
        <v>6.75</v>
      </c>
      <c r="S113" s="5">
        <v>27</v>
      </c>
      <c r="T113" s="5">
        <v>0</v>
      </c>
      <c r="U113" s="5">
        <v>0</v>
      </c>
    </row>
    <row r="114" spans="1:21" x14ac:dyDescent="0.25">
      <c r="A114" t="s">
        <v>1141</v>
      </c>
      <c r="B114" s="5">
        <v>195</v>
      </c>
      <c r="C114" s="5">
        <v>117</v>
      </c>
      <c r="D114" s="5">
        <v>0.6</v>
      </c>
      <c r="E114" s="5">
        <v>0.55897435897435899</v>
      </c>
      <c r="F114" s="5">
        <v>0.73504273504273498</v>
      </c>
      <c r="G114" s="5">
        <v>0.82696008842337698</v>
      </c>
      <c r="H114" s="5">
        <v>2.0512820512820499E-2</v>
      </c>
      <c r="I114" s="5">
        <v>5.1282051282051197E-2</v>
      </c>
      <c r="J114" s="5">
        <v>4</v>
      </c>
      <c r="K114" s="5">
        <v>10</v>
      </c>
      <c r="L114" s="5">
        <v>4</v>
      </c>
      <c r="M114" s="5">
        <v>0.51010101010101006</v>
      </c>
      <c r="N114" s="5">
        <v>101</v>
      </c>
      <c r="O114" s="5">
        <v>198</v>
      </c>
      <c r="P114" s="5">
        <v>8</v>
      </c>
      <c r="Q114" s="5">
        <v>24.375</v>
      </c>
      <c r="R114" s="5">
        <v>4.75</v>
      </c>
      <c r="S114" s="5">
        <v>38</v>
      </c>
      <c r="T114" s="5">
        <v>0</v>
      </c>
      <c r="U114" s="5">
        <v>0</v>
      </c>
    </row>
    <row r="115" spans="1:21" x14ac:dyDescent="0.25">
      <c r="A115" t="s">
        <v>1151</v>
      </c>
      <c r="B115" s="5">
        <v>235</v>
      </c>
      <c r="C115" s="5">
        <v>167</v>
      </c>
      <c r="D115" s="5">
        <v>0.71063829787234001</v>
      </c>
      <c r="E115" s="5">
        <v>0.438297872340425</v>
      </c>
      <c r="F115" s="5">
        <v>0.79041916167664605</v>
      </c>
      <c r="G115" s="5">
        <v>0.90793513514879798</v>
      </c>
      <c r="H115" s="5">
        <v>2.5531914893616999E-2</v>
      </c>
      <c r="I115" s="5">
        <v>0</v>
      </c>
      <c r="J115" s="5">
        <v>6</v>
      </c>
      <c r="K115" s="5">
        <v>0</v>
      </c>
      <c r="L115" s="5">
        <v>3</v>
      </c>
      <c r="M115" s="5">
        <v>0.52542372881355903</v>
      </c>
      <c r="N115" s="5">
        <v>124</v>
      </c>
      <c r="O115" s="5">
        <v>236</v>
      </c>
      <c r="P115" s="5">
        <v>12</v>
      </c>
      <c r="Q115" s="5">
        <v>19.5833333333333</v>
      </c>
      <c r="R115" s="5">
        <v>2.1666666666666599</v>
      </c>
      <c r="S115" s="5">
        <v>26</v>
      </c>
      <c r="T115" s="5">
        <v>0</v>
      </c>
      <c r="U115" s="5">
        <v>0</v>
      </c>
    </row>
    <row r="116" spans="1:21" x14ac:dyDescent="0.25">
      <c r="A116" t="s">
        <v>1160</v>
      </c>
      <c r="B116" s="5">
        <v>172</v>
      </c>
      <c r="C116" s="5">
        <v>118</v>
      </c>
      <c r="D116" s="5">
        <v>0.68604651162790697</v>
      </c>
      <c r="E116" s="5">
        <v>0.49418604651162701</v>
      </c>
      <c r="F116" s="5">
        <v>0.73728813559322004</v>
      </c>
      <c r="G116" s="5">
        <v>0.88946090221105301</v>
      </c>
      <c r="H116" s="5">
        <v>0</v>
      </c>
      <c r="I116" s="5">
        <v>2.3255813953488299E-2</v>
      </c>
      <c r="J116" s="5">
        <v>0</v>
      </c>
      <c r="K116" s="5">
        <v>4</v>
      </c>
      <c r="L116" s="5">
        <v>4</v>
      </c>
      <c r="M116" s="5">
        <v>0.54597701149425204</v>
      </c>
      <c r="N116" s="5">
        <v>95</v>
      </c>
      <c r="O116" s="5">
        <v>174</v>
      </c>
      <c r="P116" s="5">
        <v>8</v>
      </c>
      <c r="Q116" s="5">
        <v>21.5</v>
      </c>
      <c r="R116" s="5">
        <v>2.875</v>
      </c>
      <c r="S116" s="5">
        <v>23</v>
      </c>
      <c r="T116" s="5">
        <v>0</v>
      </c>
      <c r="U116" s="5">
        <v>0</v>
      </c>
    </row>
    <row r="117" spans="1:21" x14ac:dyDescent="0.25">
      <c r="A117" t="s">
        <v>1169</v>
      </c>
      <c r="B117" s="5">
        <v>115</v>
      </c>
      <c r="C117" s="5">
        <v>80</v>
      </c>
      <c r="D117" s="5">
        <v>0.69565217391304301</v>
      </c>
      <c r="E117" s="5">
        <v>0.44347826086956499</v>
      </c>
      <c r="F117" s="5">
        <v>0.8</v>
      </c>
      <c r="G117" s="5">
        <v>0.82708216996655504</v>
      </c>
      <c r="H117" s="5">
        <v>8.6956521739130401E-3</v>
      </c>
      <c r="I117" s="5">
        <v>2.6086956521739101E-2</v>
      </c>
      <c r="J117" s="5">
        <v>1</v>
      </c>
      <c r="K117" s="5">
        <v>3</v>
      </c>
      <c r="L117" s="5">
        <v>3</v>
      </c>
      <c r="M117" s="5">
        <v>0.60869565217391297</v>
      </c>
      <c r="N117" s="5">
        <v>70</v>
      </c>
      <c r="O117" s="5">
        <v>115</v>
      </c>
      <c r="P117" s="5">
        <v>10</v>
      </c>
      <c r="Q117" s="5">
        <v>11.5</v>
      </c>
      <c r="R117" s="5">
        <v>2.1</v>
      </c>
      <c r="S117" s="5">
        <v>21</v>
      </c>
      <c r="T117" s="5">
        <v>0</v>
      </c>
      <c r="U117" s="5">
        <v>0</v>
      </c>
    </row>
    <row r="118" spans="1:21" x14ac:dyDescent="0.25">
      <c r="A118" t="s">
        <v>1177</v>
      </c>
      <c r="B118" s="5">
        <v>296</v>
      </c>
      <c r="C118" s="5">
        <v>155</v>
      </c>
      <c r="D118" s="5">
        <v>0.52364864864864802</v>
      </c>
      <c r="E118" s="5">
        <v>0.63851351351351304</v>
      </c>
      <c r="F118" s="5">
        <v>0.69032258064516105</v>
      </c>
      <c r="G118" s="5">
        <v>0.80764826996503203</v>
      </c>
      <c r="H118" s="5">
        <v>1.35135135135135E-2</v>
      </c>
      <c r="I118" s="5">
        <v>2.3648648648648601E-2</v>
      </c>
      <c r="J118" s="5">
        <v>4</v>
      </c>
      <c r="K118" s="5">
        <v>7</v>
      </c>
      <c r="L118" s="5">
        <v>4</v>
      </c>
      <c r="M118" s="5">
        <v>0.483108108108108</v>
      </c>
      <c r="N118" s="5">
        <v>143</v>
      </c>
      <c r="O118" s="5">
        <v>296</v>
      </c>
      <c r="P118" s="5">
        <v>6</v>
      </c>
      <c r="Q118" s="5">
        <v>49.3333333333333</v>
      </c>
      <c r="R118" s="5">
        <v>8.5</v>
      </c>
      <c r="S118" s="5">
        <v>51</v>
      </c>
      <c r="T118" s="5">
        <v>0</v>
      </c>
      <c r="U118" s="5">
        <v>0</v>
      </c>
    </row>
    <row r="119" spans="1:21" x14ac:dyDescent="0.25">
      <c r="A119" t="s">
        <v>1188</v>
      </c>
      <c r="B119" s="5">
        <v>190</v>
      </c>
      <c r="C119" s="5">
        <v>119</v>
      </c>
      <c r="D119" s="5">
        <v>0.62631578947368405</v>
      </c>
      <c r="E119" s="5">
        <v>0.52631578947368396</v>
      </c>
      <c r="F119" s="5">
        <v>0.75630252100840301</v>
      </c>
      <c r="G119" s="5">
        <v>0.82999356612169795</v>
      </c>
      <c r="H119" s="5">
        <v>5.2631578947368403E-3</v>
      </c>
      <c r="I119" s="5">
        <v>2.1052631578947299E-2</v>
      </c>
      <c r="J119" s="5">
        <v>1</v>
      </c>
      <c r="K119" s="5">
        <v>4</v>
      </c>
      <c r="L119" s="5">
        <v>3</v>
      </c>
      <c r="M119" s="5">
        <v>0.55263157894736803</v>
      </c>
      <c r="N119" s="5">
        <v>105</v>
      </c>
      <c r="O119" s="5">
        <v>190</v>
      </c>
      <c r="P119" s="5">
        <v>8</v>
      </c>
      <c r="Q119" s="5">
        <v>23.75</v>
      </c>
      <c r="R119" s="5">
        <v>2.625</v>
      </c>
      <c r="S119" s="5">
        <v>21</v>
      </c>
      <c r="T119" s="5">
        <v>0</v>
      </c>
      <c r="U119" s="5">
        <v>0</v>
      </c>
    </row>
    <row r="120" spans="1:21" x14ac:dyDescent="0.25">
      <c r="A120" t="s">
        <v>1198</v>
      </c>
      <c r="B120" s="5">
        <v>139</v>
      </c>
      <c r="C120" s="5">
        <v>107</v>
      </c>
      <c r="D120" s="5">
        <v>0.76978417266187005</v>
      </c>
      <c r="E120" s="5">
        <v>0.37410071942445999</v>
      </c>
      <c r="F120" s="5">
        <v>0.81308411214953202</v>
      </c>
      <c r="G120" s="5">
        <v>0.90948578403380098</v>
      </c>
      <c r="H120" s="5">
        <v>2.15827338129496E-2</v>
      </c>
      <c r="I120" s="5">
        <v>4.31654676258992E-2</v>
      </c>
      <c r="J120" s="5">
        <v>3</v>
      </c>
      <c r="K120" s="5">
        <v>6</v>
      </c>
      <c r="L120" s="5">
        <v>3</v>
      </c>
      <c r="M120" s="5">
        <v>0.55395683453237399</v>
      </c>
      <c r="N120" s="5">
        <v>77</v>
      </c>
      <c r="O120" s="5">
        <v>139</v>
      </c>
      <c r="P120" s="5">
        <v>10</v>
      </c>
      <c r="Q120" s="5">
        <v>13.9</v>
      </c>
      <c r="R120" s="5">
        <v>1.4</v>
      </c>
      <c r="S120" s="5">
        <v>14</v>
      </c>
      <c r="T120" s="5">
        <v>0</v>
      </c>
      <c r="U120" s="5">
        <v>0</v>
      </c>
    </row>
    <row r="121" spans="1:21" x14ac:dyDescent="0.25">
      <c r="A121" t="s">
        <v>1209</v>
      </c>
      <c r="B121" s="5">
        <v>127</v>
      </c>
      <c r="C121" s="5">
        <v>90</v>
      </c>
      <c r="D121" s="5">
        <v>0.70866141732283405</v>
      </c>
      <c r="E121" s="5">
        <v>0.40157480314960597</v>
      </c>
      <c r="F121" s="5">
        <v>0.844444444444444</v>
      </c>
      <c r="G121" s="5">
        <v>0.83242092178504601</v>
      </c>
      <c r="H121" s="5">
        <v>7.8740157480314907E-3</v>
      </c>
      <c r="I121" s="5">
        <v>0</v>
      </c>
      <c r="J121" s="5">
        <v>1</v>
      </c>
      <c r="K121" s="5">
        <v>0</v>
      </c>
      <c r="L121" s="5">
        <v>3</v>
      </c>
      <c r="M121" s="5">
        <v>0.535433070866141</v>
      </c>
      <c r="N121" s="5">
        <v>68</v>
      </c>
      <c r="O121" s="5">
        <v>127</v>
      </c>
      <c r="P121" s="5">
        <v>9</v>
      </c>
      <c r="Q121" s="5">
        <v>14.1111111111111</v>
      </c>
      <c r="R121" s="5">
        <v>2.1111111111111098</v>
      </c>
      <c r="S121" s="5">
        <v>19</v>
      </c>
      <c r="T121" s="5">
        <v>0</v>
      </c>
      <c r="U121" s="5">
        <v>0</v>
      </c>
    </row>
    <row r="122" spans="1:21" x14ac:dyDescent="0.25">
      <c r="A122" t="s">
        <v>1218</v>
      </c>
      <c r="B122" s="5">
        <v>205</v>
      </c>
      <c r="C122" s="5">
        <v>143</v>
      </c>
      <c r="D122" s="5">
        <v>0.69756097560975605</v>
      </c>
      <c r="E122" s="5">
        <v>0.41463414634146301</v>
      </c>
      <c r="F122" s="5">
        <v>0.83916083916083895</v>
      </c>
      <c r="G122" s="5">
        <v>0.85988855505709605</v>
      </c>
      <c r="H122" s="5">
        <v>9.7560975609756097E-3</v>
      </c>
      <c r="I122" s="5">
        <v>2.4390243902439001E-2</v>
      </c>
      <c r="J122" s="5">
        <v>2</v>
      </c>
      <c r="K122" s="5">
        <v>5</v>
      </c>
      <c r="L122" s="5">
        <v>4</v>
      </c>
      <c r="M122" s="5">
        <v>0.541062801932367</v>
      </c>
      <c r="N122" s="5">
        <v>112</v>
      </c>
      <c r="O122" s="5">
        <v>207</v>
      </c>
      <c r="P122" s="5">
        <v>8</v>
      </c>
      <c r="Q122" s="5">
        <v>25.625</v>
      </c>
      <c r="R122" s="5">
        <v>3.75</v>
      </c>
      <c r="S122" s="5">
        <v>30</v>
      </c>
      <c r="T122" s="5">
        <v>0</v>
      </c>
      <c r="U122" s="5">
        <v>0</v>
      </c>
    </row>
    <row r="123" spans="1:21" x14ac:dyDescent="0.25">
      <c r="A123" t="s">
        <v>1229</v>
      </c>
      <c r="B123" s="5">
        <v>127</v>
      </c>
      <c r="C123" s="5">
        <v>88</v>
      </c>
      <c r="D123" s="5">
        <v>0.69291338582677098</v>
      </c>
      <c r="E123" s="5">
        <v>0.42519685039369998</v>
      </c>
      <c r="F123" s="5">
        <v>0.82954545454545403</v>
      </c>
      <c r="G123" s="5">
        <v>0.83524247861402301</v>
      </c>
      <c r="H123" s="5">
        <v>0</v>
      </c>
      <c r="I123" s="5">
        <v>7.8740157480314907E-3</v>
      </c>
      <c r="J123" s="5">
        <v>0</v>
      </c>
      <c r="K123" s="5">
        <v>1</v>
      </c>
      <c r="L123" s="5">
        <v>2</v>
      </c>
      <c r="M123" s="5">
        <v>0.63779527559055105</v>
      </c>
      <c r="N123" s="5">
        <v>81</v>
      </c>
      <c r="O123" s="5">
        <v>127</v>
      </c>
      <c r="P123" s="5">
        <v>13</v>
      </c>
      <c r="Q123" s="5">
        <v>9.7692307692307701</v>
      </c>
      <c r="R123" s="5">
        <v>0.76923076923076905</v>
      </c>
      <c r="S123" s="5">
        <v>10</v>
      </c>
      <c r="T123" s="5">
        <v>0</v>
      </c>
      <c r="U123" s="5">
        <v>0</v>
      </c>
    </row>
    <row r="124" spans="1:21" x14ac:dyDescent="0.25">
      <c r="A124" t="s">
        <v>1237</v>
      </c>
      <c r="B124" s="5">
        <v>162</v>
      </c>
      <c r="C124" s="5">
        <v>100</v>
      </c>
      <c r="D124" s="5">
        <v>0.61728395061728303</v>
      </c>
      <c r="E124" s="5">
        <v>0.54320987654320896</v>
      </c>
      <c r="F124" s="5">
        <v>0.74</v>
      </c>
      <c r="G124" s="5">
        <v>0.84069396509514804</v>
      </c>
      <c r="H124" s="5">
        <v>0</v>
      </c>
      <c r="I124" s="5">
        <v>2.4691358024691301E-2</v>
      </c>
      <c r="J124" s="5">
        <v>0</v>
      </c>
      <c r="K124" s="5">
        <v>4</v>
      </c>
      <c r="L124" s="5">
        <v>3</v>
      </c>
      <c r="M124" s="5">
        <v>0.55555555555555503</v>
      </c>
      <c r="N124" s="5">
        <v>90</v>
      </c>
      <c r="O124" s="5">
        <v>162</v>
      </c>
      <c r="P124" s="5">
        <v>18</v>
      </c>
      <c r="Q124" s="5" t="s">
        <v>1244</v>
      </c>
      <c r="R124" s="5">
        <v>0.72222222222222199</v>
      </c>
      <c r="S124" s="5">
        <v>13</v>
      </c>
      <c r="T124" s="5">
        <v>0</v>
      </c>
      <c r="U124" s="5">
        <v>0</v>
      </c>
    </row>
    <row r="125" spans="1:21" x14ac:dyDescent="0.25">
      <c r="A125" t="s">
        <v>1246</v>
      </c>
      <c r="B125" s="5">
        <v>159</v>
      </c>
      <c r="C125" s="5">
        <v>110</v>
      </c>
      <c r="D125" s="5">
        <v>0.69182389937106903</v>
      </c>
      <c r="E125" s="5">
        <v>0.47169811320754701</v>
      </c>
      <c r="F125" s="5">
        <v>0.763636363636363</v>
      </c>
      <c r="G125" s="5">
        <v>0.86700213410569604</v>
      </c>
      <c r="H125" s="5">
        <v>1.25786163522012E-2</v>
      </c>
      <c r="I125" s="5">
        <v>6.2893081761006197E-3</v>
      </c>
      <c r="J125" s="5">
        <v>2</v>
      </c>
      <c r="K125" s="5">
        <v>1</v>
      </c>
      <c r="L125" s="5">
        <v>5</v>
      </c>
      <c r="M125" s="5">
        <v>0.54938271604938205</v>
      </c>
      <c r="N125" s="5">
        <v>89</v>
      </c>
      <c r="O125" s="5">
        <v>162</v>
      </c>
      <c r="P125" s="5">
        <v>18</v>
      </c>
      <c r="Q125" s="5">
        <v>8.8333333333333304</v>
      </c>
      <c r="R125" s="5">
        <v>0.83333333333333304</v>
      </c>
      <c r="S125" s="5">
        <v>15</v>
      </c>
      <c r="T125" s="5">
        <v>0</v>
      </c>
      <c r="U125" s="5">
        <v>0</v>
      </c>
    </row>
    <row r="126" spans="1:21" x14ac:dyDescent="0.25">
      <c r="A126" t="s">
        <v>1256</v>
      </c>
      <c r="B126" s="5">
        <v>142</v>
      </c>
      <c r="C126" s="5">
        <v>94</v>
      </c>
      <c r="D126" s="5">
        <v>0.66197183098591506</v>
      </c>
      <c r="E126" s="5">
        <v>0.5</v>
      </c>
      <c r="F126" s="5">
        <v>0.75531914893617003</v>
      </c>
      <c r="G126" s="5">
        <v>0.83597116570409402</v>
      </c>
      <c r="H126" s="5">
        <v>0</v>
      </c>
      <c r="I126" s="5">
        <v>1.4084507042253501E-2</v>
      </c>
      <c r="J126" s="5">
        <v>0</v>
      </c>
      <c r="K126" s="5">
        <v>2</v>
      </c>
      <c r="L126" s="5">
        <v>2</v>
      </c>
      <c r="M126" s="5">
        <v>0.57342657342657299</v>
      </c>
      <c r="N126" s="5">
        <v>82</v>
      </c>
      <c r="O126" s="5">
        <v>143</v>
      </c>
      <c r="P126" s="5">
        <v>9</v>
      </c>
      <c r="Q126" s="5">
        <v>15.7777777777777</v>
      </c>
      <c r="R126" s="5">
        <v>2.1111111111111098</v>
      </c>
      <c r="S126" s="5">
        <v>19</v>
      </c>
      <c r="T126" s="5">
        <v>0</v>
      </c>
      <c r="U126" s="5">
        <v>0</v>
      </c>
    </row>
    <row r="127" spans="1:21" x14ac:dyDescent="0.25">
      <c r="A127" t="s">
        <v>1263</v>
      </c>
      <c r="B127" s="5">
        <v>154</v>
      </c>
      <c r="C127" s="5">
        <v>100</v>
      </c>
      <c r="D127" s="5">
        <v>0.64935064935064901</v>
      </c>
      <c r="E127" s="5">
        <v>0.506493506493506</v>
      </c>
      <c r="F127" s="5">
        <v>0.76</v>
      </c>
      <c r="G127" s="5">
        <v>0.83298485940640699</v>
      </c>
      <c r="H127" s="5">
        <v>3.8961038961038898E-2</v>
      </c>
      <c r="I127" s="5">
        <v>3.2467532467532402E-2</v>
      </c>
      <c r="J127" s="5">
        <v>6</v>
      </c>
      <c r="K127" s="5">
        <v>5</v>
      </c>
      <c r="L127" s="5">
        <v>2</v>
      </c>
      <c r="M127" s="5">
        <v>0.506493506493506</v>
      </c>
      <c r="N127" s="5">
        <v>78</v>
      </c>
      <c r="O127" s="5">
        <v>154</v>
      </c>
      <c r="P127" s="5">
        <v>1</v>
      </c>
      <c r="Q127" s="5" t="s">
        <v>1270</v>
      </c>
      <c r="R127" s="5">
        <v>25</v>
      </c>
      <c r="S127" s="5">
        <v>25</v>
      </c>
      <c r="T127" s="5">
        <v>0</v>
      </c>
      <c r="U127" s="5">
        <v>0</v>
      </c>
    </row>
    <row r="128" spans="1:21" x14ac:dyDescent="0.25">
      <c r="A128" t="s">
        <v>1273</v>
      </c>
      <c r="B128" s="5">
        <v>172</v>
      </c>
      <c r="C128" s="5">
        <v>121</v>
      </c>
      <c r="D128" s="5">
        <v>0.70348837209302295</v>
      </c>
      <c r="E128" s="5">
        <v>0.42441860465116199</v>
      </c>
      <c r="F128" s="5">
        <v>0.81818181818181801</v>
      </c>
      <c r="G128" s="5">
        <v>0.85882108792691503</v>
      </c>
      <c r="H128" s="5">
        <v>5.8139534883720903E-3</v>
      </c>
      <c r="I128" s="5">
        <v>1.1627906976744099E-2</v>
      </c>
      <c r="J128" s="5">
        <v>1</v>
      </c>
      <c r="K128" s="5">
        <v>2</v>
      </c>
      <c r="L128" s="5">
        <v>3</v>
      </c>
      <c r="M128" s="5">
        <v>0.59302325581395299</v>
      </c>
      <c r="N128" s="5">
        <v>102</v>
      </c>
      <c r="O128" s="5">
        <v>172</v>
      </c>
      <c r="P128" s="5">
        <v>12</v>
      </c>
      <c r="Q128" s="5">
        <v>14.3333333333333</v>
      </c>
      <c r="R128" s="5">
        <v>1.5833333333333299</v>
      </c>
      <c r="S128" s="5">
        <v>19</v>
      </c>
      <c r="T128" s="5">
        <v>0</v>
      </c>
      <c r="U128" s="5">
        <v>0</v>
      </c>
    </row>
    <row r="129" spans="1:21" x14ac:dyDescent="0.25">
      <c r="A129" t="s">
        <v>1284</v>
      </c>
      <c r="B129" s="5">
        <v>142</v>
      </c>
      <c r="C129" s="5">
        <v>106</v>
      </c>
      <c r="D129" s="5">
        <v>0.74647887323943596</v>
      </c>
      <c r="E129" s="5">
        <v>0.41549295774647799</v>
      </c>
      <c r="F129" s="5">
        <v>0.78301886792452802</v>
      </c>
      <c r="G129" s="5">
        <v>0.89737896417045804</v>
      </c>
      <c r="H129" s="5">
        <v>1.4084507042253501E-2</v>
      </c>
      <c r="I129" s="5">
        <v>7.0422535211267599E-3</v>
      </c>
      <c r="J129" s="5">
        <v>2</v>
      </c>
      <c r="K129" s="5">
        <v>1</v>
      </c>
      <c r="L129" s="5">
        <v>2</v>
      </c>
      <c r="M129" s="5">
        <v>0.57638888888888795</v>
      </c>
      <c r="N129" s="5">
        <v>83</v>
      </c>
      <c r="O129" s="5">
        <v>144</v>
      </c>
      <c r="P129" s="5">
        <v>7</v>
      </c>
      <c r="Q129" s="5">
        <v>20.285714285714199</v>
      </c>
      <c r="R129" s="5">
        <v>2.8571428571428501</v>
      </c>
      <c r="S129" s="5">
        <v>20</v>
      </c>
      <c r="T129" s="5">
        <v>0</v>
      </c>
      <c r="U129" s="5">
        <v>0</v>
      </c>
    </row>
    <row r="130" spans="1:21" x14ac:dyDescent="0.25">
      <c r="A130" t="s">
        <v>1292</v>
      </c>
      <c r="B130" s="5">
        <v>169</v>
      </c>
      <c r="C130" s="5">
        <v>102</v>
      </c>
      <c r="D130" s="5">
        <v>0.60355029585798803</v>
      </c>
      <c r="E130" s="5">
        <v>0.562130177514792</v>
      </c>
      <c r="F130" s="5">
        <v>0.72549019607843102</v>
      </c>
      <c r="G130" s="5">
        <v>0.80741012119908795</v>
      </c>
      <c r="H130" s="5">
        <v>5.9171597633135998E-3</v>
      </c>
      <c r="I130" s="5">
        <v>1.7751479289940801E-2</v>
      </c>
      <c r="J130" s="5">
        <v>1</v>
      </c>
      <c r="K130" s="5">
        <v>3</v>
      </c>
      <c r="L130" s="5">
        <v>5</v>
      </c>
      <c r="M130" s="5">
        <v>0.55621301775147902</v>
      </c>
      <c r="N130" s="5">
        <v>94</v>
      </c>
      <c r="O130" s="5">
        <v>169</v>
      </c>
      <c r="P130" s="5">
        <v>9</v>
      </c>
      <c r="Q130" s="5">
        <v>18.7777777777777</v>
      </c>
      <c r="R130" s="5">
        <v>2.7777777777777701</v>
      </c>
      <c r="S130" s="5">
        <v>25</v>
      </c>
      <c r="T130" s="5">
        <v>0</v>
      </c>
      <c r="U130" s="5">
        <v>0</v>
      </c>
    </row>
    <row r="131" spans="1:21" x14ac:dyDescent="0.25">
      <c r="A131" t="s">
        <v>1301</v>
      </c>
      <c r="B131" s="5">
        <v>103</v>
      </c>
      <c r="C131" s="5">
        <v>74</v>
      </c>
      <c r="D131" s="5">
        <v>0.71844660194174703</v>
      </c>
      <c r="E131" s="5">
        <v>0.39805825242718401</v>
      </c>
      <c r="F131" s="5">
        <v>0.83783783783783705</v>
      </c>
      <c r="G131" s="5">
        <v>0.81753724204454403</v>
      </c>
      <c r="H131" s="5">
        <v>9.7087378640776604E-3</v>
      </c>
      <c r="I131" s="5">
        <v>9.7087378640776604E-3</v>
      </c>
      <c r="J131" s="5">
        <v>1</v>
      </c>
      <c r="K131" s="5">
        <v>1</v>
      </c>
      <c r="L131" s="5">
        <v>3</v>
      </c>
      <c r="M131" s="5">
        <v>0.54368932038834905</v>
      </c>
      <c r="N131" s="5">
        <v>56</v>
      </c>
      <c r="O131" s="5">
        <v>103</v>
      </c>
      <c r="P131" s="5">
        <v>7</v>
      </c>
      <c r="Q131" s="5">
        <v>14.714285714285699</v>
      </c>
      <c r="R131" s="5">
        <v>1.4285714285714199</v>
      </c>
      <c r="S131" s="5">
        <v>10</v>
      </c>
      <c r="T131" s="5">
        <v>0</v>
      </c>
      <c r="U131" s="5">
        <v>0</v>
      </c>
    </row>
    <row r="132" spans="1:21" x14ac:dyDescent="0.25">
      <c r="A132" t="s">
        <v>1307</v>
      </c>
      <c r="B132" s="5">
        <v>118</v>
      </c>
      <c r="C132" s="5">
        <v>83</v>
      </c>
      <c r="D132" s="5">
        <v>0.70338983050847403</v>
      </c>
      <c r="E132" s="5">
        <v>0.46610169491525399</v>
      </c>
      <c r="F132" s="5">
        <v>0.75903614457831303</v>
      </c>
      <c r="G132" s="5">
        <v>0.85245099698653704</v>
      </c>
      <c r="H132" s="5">
        <v>1.6949152542372801E-2</v>
      </c>
      <c r="I132" s="5">
        <v>1.6949152542372801E-2</v>
      </c>
      <c r="J132" s="5">
        <v>2</v>
      </c>
      <c r="K132" s="5">
        <v>2</v>
      </c>
      <c r="L132" s="5">
        <v>3</v>
      </c>
      <c r="M132" s="5">
        <v>0.57627118644067798</v>
      </c>
      <c r="N132" s="5">
        <v>68</v>
      </c>
      <c r="O132" s="5">
        <v>118</v>
      </c>
      <c r="P132" s="5">
        <v>5</v>
      </c>
      <c r="Q132" s="5">
        <v>23.6</v>
      </c>
      <c r="R132" s="5">
        <v>2.8</v>
      </c>
      <c r="S132" s="5">
        <v>14</v>
      </c>
      <c r="T132" s="5">
        <v>0</v>
      </c>
      <c r="U132" s="5">
        <v>0</v>
      </c>
    </row>
    <row r="133" spans="1:21" x14ac:dyDescent="0.25">
      <c r="A133" t="s">
        <v>1316</v>
      </c>
      <c r="B133" s="5">
        <v>130</v>
      </c>
      <c r="C133" s="5">
        <v>92</v>
      </c>
      <c r="D133" s="5">
        <v>0.70769230769230695</v>
      </c>
      <c r="E133" s="5">
        <v>0.45384615384615301</v>
      </c>
      <c r="F133" s="5">
        <v>0.77173913043478204</v>
      </c>
      <c r="G133" s="5">
        <v>0.85956712798645196</v>
      </c>
      <c r="H133" s="5">
        <v>7.6923076923076901E-3</v>
      </c>
      <c r="I133" s="5">
        <v>1.53846153846153E-2</v>
      </c>
      <c r="J133" s="5">
        <v>1</v>
      </c>
      <c r="K133" s="5">
        <v>2</v>
      </c>
      <c r="L133" s="5">
        <v>4</v>
      </c>
      <c r="M133" s="5">
        <v>0.54545454545454497</v>
      </c>
      <c r="N133" s="5">
        <v>72</v>
      </c>
      <c r="O133" s="5">
        <v>132</v>
      </c>
      <c r="P133" s="5">
        <v>14</v>
      </c>
      <c r="Q133" s="5">
        <v>9.2857142857142794</v>
      </c>
      <c r="R133" s="5">
        <v>1.0714285714285701</v>
      </c>
      <c r="S133" s="5">
        <v>15</v>
      </c>
      <c r="T133" s="5">
        <v>0</v>
      </c>
      <c r="U133" s="5">
        <v>0</v>
      </c>
    </row>
    <row r="134" spans="1:21" x14ac:dyDescent="0.25">
      <c r="A134" t="s">
        <v>1325</v>
      </c>
      <c r="B134" s="5">
        <v>138</v>
      </c>
      <c r="C134" s="5">
        <v>94</v>
      </c>
      <c r="D134" s="5">
        <v>0.68115942028985499</v>
      </c>
      <c r="E134" s="5">
        <v>0.50724637681159401</v>
      </c>
      <c r="F134" s="5">
        <v>0.72340425531914898</v>
      </c>
      <c r="G134" s="5">
        <v>0.85851550207893201</v>
      </c>
      <c r="H134" s="5">
        <v>3.6231884057971002E-2</v>
      </c>
      <c r="I134" s="5">
        <v>2.1739130434782601E-2</v>
      </c>
      <c r="J134" s="5">
        <v>5</v>
      </c>
      <c r="K134" s="5">
        <v>3</v>
      </c>
      <c r="L134" s="5">
        <v>4</v>
      </c>
      <c r="M134" s="5">
        <v>0.57971014492753603</v>
      </c>
      <c r="N134" s="5">
        <v>80</v>
      </c>
      <c r="O134" s="5">
        <v>138</v>
      </c>
      <c r="P134" s="5">
        <v>13</v>
      </c>
      <c r="Q134" s="5">
        <v>10.615384615384601</v>
      </c>
      <c r="R134" s="5">
        <v>1.7692307692307601</v>
      </c>
      <c r="S134" s="5">
        <v>23</v>
      </c>
      <c r="T134" s="5">
        <v>0</v>
      </c>
      <c r="U134" s="5">
        <v>0</v>
      </c>
    </row>
    <row r="135" spans="1:21" x14ac:dyDescent="0.25">
      <c r="A135" t="s">
        <v>1334</v>
      </c>
      <c r="B135" s="5">
        <v>191</v>
      </c>
      <c r="C135" s="5">
        <v>138</v>
      </c>
      <c r="D135" s="5">
        <v>0.72251308900523503</v>
      </c>
      <c r="E135" s="5">
        <v>0.413612565445026</v>
      </c>
      <c r="F135" s="5">
        <v>0.81159420289855</v>
      </c>
      <c r="G135" s="5">
        <v>0.88776591094489998</v>
      </c>
      <c r="H135" s="5">
        <v>2.09424083769633E-2</v>
      </c>
      <c r="I135" s="5">
        <v>3.6649214659685798E-2</v>
      </c>
      <c r="J135" s="5">
        <v>4</v>
      </c>
      <c r="K135" s="5">
        <v>7</v>
      </c>
      <c r="L135" s="5">
        <v>3</v>
      </c>
      <c r="M135" s="5">
        <v>0.53125</v>
      </c>
      <c r="N135" s="5">
        <v>102</v>
      </c>
      <c r="O135" s="5">
        <v>192</v>
      </c>
      <c r="P135" s="5">
        <v>1</v>
      </c>
      <c r="Q135" s="5" t="s">
        <v>1342</v>
      </c>
      <c r="R135" s="5">
        <v>14</v>
      </c>
      <c r="S135" s="5">
        <v>14</v>
      </c>
      <c r="T135" s="5">
        <v>0</v>
      </c>
      <c r="U135" s="5">
        <v>0</v>
      </c>
    </row>
    <row r="136" spans="1:21" x14ac:dyDescent="0.25">
      <c r="A136" t="s">
        <v>1345</v>
      </c>
      <c r="B136" s="5">
        <v>218</v>
      </c>
      <c r="C136" s="5">
        <v>119</v>
      </c>
      <c r="D136" s="5">
        <v>0.54587155963302703</v>
      </c>
      <c r="E136" s="5">
        <v>0.61926605504587096</v>
      </c>
      <c r="F136" s="5">
        <v>0.69747899159663795</v>
      </c>
      <c r="G136" s="5">
        <v>0.79988263452373398</v>
      </c>
      <c r="H136" s="5">
        <v>1.37614678899082E-2</v>
      </c>
      <c r="I136" s="5">
        <v>2.29357798165137E-2</v>
      </c>
      <c r="J136" s="5">
        <v>3</v>
      </c>
      <c r="K136" s="5">
        <v>5</v>
      </c>
      <c r="L136" s="5">
        <v>3</v>
      </c>
      <c r="M136" s="5">
        <v>0.49302325581395301</v>
      </c>
      <c r="N136" s="5">
        <v>106</v>
      </c>
      <c r="O136" s="5">
        <v>215</v>
      </c>
      <c r="P136" s="5">
        <v>1</v>
      </c>
      <c r="Q136" s="5" t="s">
        <v>1352</v>
      </c>
      <c r="R136" s="5">
        <v>18</v>
      </c>
      <c r="S136" s="5">
        <v>18</v>
      </c>
      <c r="T136" s="5">
        <v>0</v>
      </c>
      <c r="U136" s="5">
        <v>0</v>
      </c>
    </row>
    <row r="137" spans="1:21" x14ac:dyDescent="0.25">
      <c r="A137" t="s">
        <v>1355</v>
      </c>
      <c r="B137" s="5">
        <v>151</v>
      </c>
      <c r="C137" s="5">
        <v>98</v>
      </c>
      <c r="D137" s="5">
        <v>0.64900662251655605</v>
      </c>
      <c r="E137" s="5">
        <v>0.49006622516556197</v>
      </c>
      <c r="F137" s="5">
        <v>0.78571428571428503</v>
      </c>
      <c r="G137" s="5">
        <v>0.81496501479307903</v>
      </c>
      <c r="H137" s="5">
        <v>0</v>
      </c>
      <c r="I137" s="5">
        <v>2.64900662251655E-2</v>
      </c>
      <c r="J137" s="5">
        <v>0</v>
      </c>
      <c r="K137" s="5">
        <v>4</v>
      </c>
      <c r="L137" s="5">
        <v>5</v>
      </c>
      <c r="M137" s="5">
        <v>0.55844155844155796</v>
      </c>
      <c r="N137" s="5">
        <v>86</v>
      </c>
      <c r="O137" s="5">
        <v>154</v>
      </c>
      <c r="P137" s="5">
        <v>1</v>
      </c>
      <c r="Q137" s="5" t="s">
        <v>1360</v>
      </c>
      <c r="R137" s="5">
        <v>26</v>
      </c>
      <c r="S137" s="5">
        <v>26</v>
      </c>
      <c r="T137" s="5">
        <v>0</v>
      </c>
      <c r="U137" s="5">
        <v>0</v>
      </c>
    </row>
    <row r="138" spans="1:21" x14ac:dyDescent="0.25">
      <c r="A138" t="s">
        <v>1363</v>
      </c>
      <c r="B138" s="5">
        <v>155</v>
      </c>
      <c r="C138" s="5">
        <v>106</v>
      </c>
      <c r="D138" s="5">
        <v>0.68387096774193501</v>
      </c>
      <c r="E138" s="5">
        <v>0.43870967741935402</v>
      </c>
      <c r="F138" s="5">
        <v>0.820754716981132</v>
      </c>
      <c r="G138" s="5">
        <v>0.84737439082102795</v>
      </c>
      <c r="H138" s="5">
        <v>6.4516129032258004E-3</v>
      </c>
      <c r="I138" s="5">
        <v>6.4516129032258004E-3</v>
      </c>
      <c r="J138" s="5">
        <v>1</v>
      </c>
      <c r="K138" s="5">
        <v>1</v>
      </c>
      <c r="L138" s="5">
        <v>2</v>
      </c>
      <c r="M138" s="5">
        <v>0.54487179487179405</v>
      </c>
      <c r="N138" s="5">
        <v>85</v>
      </c>
      <c r="O138" s="5">
        <v>156</v>
      </c>
      <c r="P138" s="5">
        <v>7</v>
      </c>
      <c r="Q138" s="5">
        <v>22.1428571428571</v>
      </c>
      <c r="R138" s="5">
        <v>3</v>
      </c>
      <c r="S138" s="5">
        <v>21</v>
      </c>
      <c r="T138" s="5">
        <v>0</v>
      </c>
      <c r="U138" s="5">
        <v>0</v>
      </c>
    </row>
    <row r="139" spans="1:21" x14ac:dyDescent="0.25">
      <c r="A139" t="s">
        <v>1370</v>
      </c>
      <c r="B139" s="5">
        <v>194</v>
      </c>
      <c r="C139" s="5">
        <v>135</v>
      </c>
      <c r="D139" s="5">
        <v>0.69587628865979301</v>
      </c>
      <c r="E139" s="5">
        <v>0.432989690721649</v>
      </c>
      <c r="F139" s="5">
        <v>0.81481481481481399</v>
      </c>
      <c r="G139" s="5">
        <v>0.88202571822521803</v>
      </c>
      <c r="H139" s="5">
        <v>5.1546391752577301E-3</v>
      </c>
      <c r="I139" s="5">
        <v>5.6701030927835003E-2</v>
      </c>
      <c r="J139" s="5">
        <v>1</v>
      </c>
      <c r="K139" s="5">
        <v>11</v>
      </c>
      <c r="L139" s="5">
        <v>4</v>
      </c>
      <c r="M139" s="5">
        <v>0.53333333333333299</v>
      </c>
      <c r="N139" s="5">
        <v>104</v>
      </c>
      <c r="O139" s="5">
        <v>195</v>
      </c>
      <c r="P139" s="5">
        <v>3</v>
      </c>
      <c r="Q139" s="5">
        <v>64.6666666666666</v>
      </c>
      <c r="R139" s="5">
        <v>5</v>
      </c>
      <c r="S139" s="5">
        <v>15</v>
      </c>
      <c r="T139" s="5">
        <v>0</v>
      </c>
      <c r="U139" s="5">
        <v>0</v>
      </c>
    </row>
    <row r="140" spans="1:21" x14ac:dyDescent="0.25">
      <c r="A140" t="s">
        <v>1380</v>
      </c>
      <c r="B140" s="5">
        <v>99</v>
      </c>
      <c r="C140" s="5">
        <v>77</v>
      </c>
      <c r="D140" s="5">
        <v>0.77777777777777701</v>
      </c>
      <c r="E140" s="5">
        <v>0.31313131313131298</v>
      </c>
      <c r="F140" s="5">
        <v>0.88311688311688297</v>
      </c>
      <c r="G140" s="5">
        <v>0.85932181170406996</v>
      </c>
      <c r="H140" s="5">
        <v>0</v>
      </c>
      <c r="I140" s="5">
        <v>2.02020202020202E-2</v>
      </c>
      <c r="J140" s="5">
        <v>0</v>
      </c>
      <c r="K140" s="5">
        <v>2</v>
      </c>
      <c r="L140" s="5">
        <v>3</v>
      </c>
      <c r="M140" s="5">
        <v>0.61616161616161602</v>
      </c>
      <c r="N140" s="5">
        <v>61</v>
      </c>
      <c r="O140" s="5">
        <v>99</v>
      </c>
      <c r="P140" s="5">
        <v>10</v>
      </c>
      <c r="Q140" s="5">
        <v>9.9</v>
      </c>
      <c r="R140" s="5">
        <v>0.9</v>
      </c>
      <c r="S140" s="5">
        <v>9</v>
      </c>
      <c r="T140" s="5">
        <v>0</v>
      </c>
      <c r="U140" s="5">
        <v>0</v>
      </c>
    </row>
    <row r="141" spans="1:21" x14ac:dyDescent="0.25">
      <c r="A141" t="s">
        <v>1388</v>
      </c>
      <c r="B141" s="5">
        <v>123</v>
      </c>
      <c r="C141" s="5">
        <v>86</v>
      </c>
      <c r="D141" s="5">
        <v>0.69918699186991795</v>
      </c>
      <c r="E141" s="5">
        <v>0.44715447154471499</v>
      </c>
      <c r="F141" s="5">
        <v>0.79069767441860395</v>
      </c>
      <c r="G141" s="5">
        <v>0.84514795816806199</v>
      </c>
      <c r="H141" s="5">
        <v>1.6260162601626001E-2</v>
      </c>
      <c r="I141" s="5">
        <v>0</v>
      </c>
      <c r="J141" s="5">
        <v>2</v>
      </c>
      <c r="K141" s="5">
        <v>0</v>
      </c>
      <c r="L141" s="5">
        <v>1</v>
      </c>
      <c r="M141" s="5">
        <v>0.585365853658536</v>
      </c>
      <c r="N141" s="5">
        <v>72</v>
      </c>
      <c r="O141" s="5">
        <v>123</v>
      </c>
      <c r="P141" s="5">
        <v>5</v>
      </c>
      <c r="Q141" s="5">
        <v>24.6</v>
      </c>
      <c r="R141" s="5">
        <v>4.2</v>
      </c>
      <c r="S141" s="5">
        <v>21</v>
      </c>
      <c r="T141" s="5">
        <v>1</v>
      </c>
      <c r="U141" s="5">
        <v>0.65041311395441004</v>
      </c>
    </row>
    <row r="142" spans="1:21" x14ac:dyDescent="0.25">
      <c r="A142" t="s">
        <v>1396</v>
      </c>
      <c r="B142" s="5">
        <v>191</v>
      </c>
      <c r="C142" s="5">
        <v>126</v>
      </c>
      <c r="D142" s="5">
        <v>0.65968586387434502</v>
      </c>
      <c r="E142" s="5">
        <v>0.46596858638743399</v>
      </c>
      <c r="F142" s="5">
        <v>0.80952380952380898</v>
      </c>
      <c r="G142" s="5">
        <v>0.84899832234040595</v>
      </c>
      <c r="H142" s="5">
        <v>1.5706806282722498E-2</v>
      </c>
      <c r="I142" s="5">
        <v>0</v>
      </c>
      <c r="J142" s="5">
        <v>3</v>
      </c>
      <c r="K142" s="5">
        <v>0</v>
      </c>
      <c r="L142" s="5">
        <v>2</v>
      </c>
      <c r="M142" s="5">
        <v>0.52356020942408299</v>
      </c>
      <c r="N142" s="5">
        <v>100</v>
      </c>
      <c r="O142" s="5">
        <v>191</v>
      </c>
      <c r="P142" s="5">
        <v>5</v>
      </c>
      <c r="Q142" s="5">
        <v>38.200000000000003</v>
      </c>
      <c r="R142" s="5">
        <v>5.6</v>
      </c>
      <c r="S142" s="5">
        <v>28</v>
      </c>
      <c r="T142" s="5">
        <v>0</v>
      </c>
      <c r="U142" s="5">
        <v>0</v>
      </c>
    </row>
    <row r="143" spans="1:21" x14ac:dyDescent="0.25">
      <c r="A143" t="s">
        <v>1405</v>
      </c>
      <c r="B143" s="5">
        <v>168</v>
      </c>
      <c r="C143" s="5">
        <v>115</v>
      </c>
      <c r="D143" s="5">
        <v>0.68452380952380898</v>
      </c>
      <c r="E143" s="5">
        <v>0.45833333333333298</v>
      </c>
      <c r="F143" s="5">
        <v>0.79130434782608605</v>
      </c>
      <c r="G143" s="5">
        <v>0.86587519176957295</v>
      </c>
      <c r="H143" s="5">
        <v>2.3809523809523801E-2</v>
      </c>
      <c r="I143" s="5">
        <v>5.9523809523809503E-3</v>
      </c>
      <c r="J143" s="5">
        <v>4</v>
      </c>
      <c r="K143" s="5">
        <v>1</v>
      </c>
      <c r="L143" s="5">
        <v>1</v>
      </c>
      <c r="M143" s="5">
        <v>0.61904761904761896</v>
      </c>
      <c r="N143" s="5">
        <v>104</v>
      </c>
      <c r="O143" s="5">
        <v>168</v>
      </c>
      <c r="P143" s="5">
        <v>7</v>
      </c>
      <c r="Q143" s="5" t="s">
        <v>1412</v>
      </c>
      <c r="R143" s="5">
        <v>2.8571428571428501</v>
      </c>
      <c r="S143" s="5">
        <v>20</v>
      </c>
      <c r="T143" s="5">
        <v>0</v>
      </c>
      <c r="U143" s="5">
        <v>0</v>
      </c>
    </row>
    <row r="144" spans="1:21" x14ac:dyDescent="0.25">
      <c r="A144" t="s">
        <v>1414</v>
      </c>
      <c r="B144" s="5">
        <v>174</v>
      </c>
      <c r="C144" s="5">
        <v>115</v>
      </c>
      <c r="D144" s="5">
        <v>0.66091954022988497</v>
      </c>
      <c r="E144" s="5">
        <v>0.51724137931034397</v>
      </c>
      <c r="F144" s="5">
        <v>0.73043478260869499</v>
      </c>
      <c r="G144" s="5">
        <v>0.87069117607704205</v>
      </c>
      <c r="H144" s="5">
        <v>2.8735632183908E-2</v>
      </c>
      <c r="I144" s="5">
        <v>1.1494252873563199E-2</v>
      </c>
      <c r="J144" s="5">
        <v>5</v>
      </c>
      <c r="K144" s="5">
        <v>2</v>
      </c>
      <c r="L144" s="5">
        <v>3</v>
      </c>
      <c r="M144" s="5">
        <v>0.52601156069364097</v>
      </c>
      <c r="N144" s="5">
        <v>91</v>
      </c>
      <c r="O144" s="5">
        <v>173</v>
      </c>
      <c r="P144" s="5">
        <v>13</v>
      </c>
      <c r="Q144" s="5">
        <v>13.3846153846153</v>
      </c>
      <c r="R144" s="5">
        <v>2</v>
      </c>
      <c r="S144" s="5">
        <v>26</v>
      </c>
      <c r="T144" s="5">
        <v>0</v>
      </c>
      <c r="U144" s="5">
        <v>0</v>
      </c>
    </row>
    <row r="145" spans="1:21" x14ac:dyDescent="0.25">
      <c r="A145" t="s">
        <v>1423</v>
      </c>
      <c r="B145" s="5">
        <v>211</v>
      </c>
      <c r="C145" s="5">
        <v>143</v>
      </c>
      <c r="D145" s="5">
        <v>0.67772511848341199</v>
      </c>
      <c r="E145" s="5">
        <v>0.464454976303317</v>
      </c>
      <c r="F145" s="5">
        <v>0.79020979020978999</v>
      </c>
      <c r="G145" s="5">
        <v>0.87817636941903598</v>
      </c>
      <c r="H145" s="5">
        <v>9.4786729857819895E-3</v>
      </c>
      <c r="I145" s="5">
        <v>2.8436018957345901E-2</v>
      </c>
      <c r="J145" s="5">
        <v>2</v>
      </c>
      <c r="K145" s="5">
        <v>6</v>
      </c>
      <c r="L145" s="5">
        <v>4</v>
      </c>
      <c r="M145" s="5">
        <v>0.58767772511848304</v>
      </c>
      <c r="N145" s="5">
        <v>124</v>
      </c>
      <c r="O145" s="5">
        <v>211</v>
      </c>
      <c r="P145" s="5">
        <v>15</v>
      </c>
      <c r="Q145" s="5">
        <v>14.066666666666601</v>
      </c>
      <c r="R145" s="5">
        <v>1.86666666666666</v>
      </c>
      <c r="S145" s="5">
        <v>28</v>
      </c>
      <c r="T145" s="5">
        <v>0</v>
      </c>
      <c r="U145" s="5">
        <v>0</v>
      </c>
    </row>
    <row r="146" spans="1:21" x14ac:dyDescent="0.25">
      <c r="A146" t="s">
        <v>1434</v>
      </c>
      <c r="B146" s="5">
        <v>132</v>
      </c>
      <c r="C146" s="5">
        <v>100</v>
      </c>
      <c r="D146" s="5">
        <v>0.75757575757575701</v>
      </c>
      <c r="E146" s="5">
        <v>0.40909090909090901</v>
      </c>
      <c r="F146" s="5">
        <v>0.78</v>
      </c>
      <c r="G146" s="5">
        <v>0.90240328880096699</v>
      </c>
      <c r="H146" s="5">
        <v>7.5757575757575699E-3</v>
      </c>
      <c r="I146" s="5">
        <v>0</v>
      </c>
      <c r="J146" s="5">
        <v>1</v>
      </c>
      <c r="K146" s="5">
        <v>0</v>
      </c>
      <c r="L146" s="5">
        <v>2</v>
      </c>
      <c r="M146" s="5">
        <v>0.65151515151515105</v>
      </c>
      <c r="N146" s="5">
        <v>86</v>
      </c>
      <c r="O146" s="5">
        <v>132</v>
      </c>
      <c r="P146" s="5">
        <v>17</v>
      </c>
      <c r="Q146" s="5">
        <v>7.7647058823529402</v>
      </c>
      <c r="R146" s="5">
        <v>0.76470588235294101</v>
      </c>
      <c r="S146" s="5">
        <v>13</v>
      </c>
      <c r="T146" s="5">
        <v>0</v>
      </c>
      <c r="U146" s="5">
        <v>0</v>
      </c>
    </row>
    <row r="147" spans="1:21" x14ac:dyDescent="0.25">
      <c r="A147" t="s">
        <v>1443</v>
      </c>
      <c r="B147" s="5">
        <v>213</v>
      </c>
      <c r="C147" s="5">
        <v>133</v>
      </c>
      <c r="D147" s="5">
        <v>0.62441314553990601</v>
      </c>
      <c r="E147" s="5">
        <v>0.52582159624413105</v>
      </c>
      <c r="F147" s="5">
        <v>0.75939849624060096</v>
      </c>
      <c r="G147" s="5">
        <v>0.85581138572059001</v>
      </c>
      <c r="H147" s="5">
        <v>1.4084507042253501E-2</v>
      </c>
      <c r="I147" s="5">
        <v>3.2863849765258198E-2</v>
      </c>
      <c r="J147" s="5">
        <v>3</v>
      </c>
      <c r="K147" s="5">
        <v>7</v>
      </c>
      <c r="L147" s="5">
        <v>2</v>
      </c>
      <c r="M147" s="5">
        <v>0.51173708920187699</v>
      </c>
      <c r="N147" s="5">
        <v>109</v>
      </c>
      <c r="O147" s="5">
        <v>213</v>
      </c>
      <c r="P147" s="5">
        <v>10</v>
      </c>
      <c r="Q147" s="5">
        <v>21.3</v>
      </c>
      <c r="R147" s="5">
        <v>2.2000000000000002</v>
      </c>
      <c r="S147" s="5">
        <v>22</v>
      </c>
      <c r="T147" s="5">
        <v>0</v>
      </c>
      <c r="U147" s="5">
        <v>0</v>
      </c>
    </row>
    <row r="148" spans="1:21" x14ac:dyDescent="0.25">
      <c r="A148" t="s">
        <v>1452</v>
      </c>
      <c r="B148" s="5">
        <v>134</v>
      </c>
      <c r="C148" s="5">
        <v>105</v>
      </c>
      <c r="D148" s="5">
        <v>0.78358208955223796</v>
      </c>
      <c r="E148" s="5">
        <v>0.328358208955223</v>
      </c>
      <c r="F148" s="5">
        <v>0.85714285714285698</v>
      </c>
      <c r="G148" s="5">
        <v>0.89889206104712505</v>
      </c>
      <c r="H148" s="5">
        <v>1.4925373134328301E-2</v>
      </c>
      <c r="I148" s="5">
        <v>2.2388059701492501E-2</v>
      </c>
      <c r="J148" s="5">
        <v>2</v>
      </c>
      <c r="K148" s="5">
        <v>3</v>
      </c>
      <c r="L148" s="5">
        <v>4</v>
      </c>
      <c r="M148" s="5">
        <v>0.57462686567164101</v>
      </c>
      <c r="N148" s="5">
        <v>77</v>
      </c>
      <c r="O148" s="5">
        <v>134</v>
      </c>
      <c r="P148" s="5">
        <v>10</v>
      </c>
      <c r="Q148" s="5">
        <v>13.4</v>
      </c>
      <c r="R148" s="5">
        <v>2.1</v>
      </c>
      <c r="S148" s="5">
        <v>21</v>
      </c>
      <c r="T148" s="5">
        <v>0</v>
      </c>
      <c r="U148" s="5">
        <v>0</v>
      </c>
    </row>
    <row r="149" spans="1:21" x14ac:dyDescent="0.25">
      <c r="A149" t="s">
        <v>1460</v>
      </c>
      <c r="B149" s="5">
        <v>157</v>
      </c>
      <c r="C149" s="5">
        <v>118</v>
      </c>
      <c r="D149" s="5">
        <v>0.75159235668789803</v>
      </c>
      <c r="E149" s="5">
        <v>0.39490445859872603</v>
      </c>
      <c r="F149" s="5">
        <v>0.80508474576271105</v>
      </c>
      <c r="G149" s="5">
        <v>0.90180277249006902</v>
      </c>
      <c r="H149" s="5">
        <v>6.3694267515923501E-3</v>
      </c>
      <c r="I149" s="5">
        <v>1.27388535031847E-2</v>
      </c>
      <c r="J149" s="5">
        <v>1</v>
      </c>
      <c r="K149" s="5">
        <v>2</v>
      </c>
      <c r="L149" s="5">
        <v>4</v>
      </c>
      <c r="M149" s="5">
        <v>0.59872611464968095</v>
      </c>
      <c r="N149" s="5">
        <v>94</v>
      </c>
      <c r="O149" s="5">
        <v>157</v>
      </c>
      <c r="P149" s="5">
        <v>10</v>
      </c>
      <c r="Q149" s="5">
        <v>15.7</v>
      </c>
      <c r="R149" s="5">
        <v>2.1</v>
      </c>
      <c r="S149" s="5">
        <v>21</v>
      </c>
      <c r="T149" s="5">
        <v>0</v>
      </c>
      <c r="U149" s="5">
        <v>0</v>
      </c>
    </row>
    <row r="150" spans="1:21" x14ac:dyDescent="0.25">
      <c r="A150" t="s">
        <v>1470</v>
      </c>
      <c r="B150" s="5">
        <f>Median!B$3</f>
        <v>157.5</v>
      </c>
      <c r="C150" s="5">
        <f>Median!C$3</f>
        <v>110</v>
      </c>
      <c r="D150" s="5">
        <f>Median!D$3</f>
        <v>0.69680851063829696</v>
      </c>
      <c r="E150" s="5">
        <f>Median!E$3</f>
        <v>0.44512195121951198</v>
      </c>
      <c r="F150" s="5">
        <f>Median!F$3</f>
        <v>0.79347826086956497</v>
      </c>
      <c r="G150" s="5">
        <f>Median!G$3</f>
        <v>0.860642237587948</v>
      </c>
      <c r="H150" s="5">
        <f>Median!H$3</f>
        <v>1.35135135135135E-2</v>
      </c>
      <c r="I150" s="5">
        <f>Median!I$3</f>
        <v>1.4084507042253501E-2</v>
      </c>
      <c r="J150" s="5">
        <f>Median!J$3</f>
        <v>2</v>
      </c>
      <c r="K150" s="5">
        <f>Median!K$3</f>
        <v>2</v>
      </c>
      <c r="L150" s="5">
        <f>Median!L$3</f>
        <v>3</v>
      </c>
      <c r="M150" s="5">
        <f>Median!M$3</f>
        <v>0.54938271604938205</v>
      </c>
      <c r="N150" s="5">
        <f>Median!N$3</f>
        <v>88</v>
      </c>
      <c r="O150" s="5">
        <f>Median!O$3</f>
        <v>158.5</v>
      </c>
      <c r="P150" s="5">
        <f>Median!P$3</f>
        <v>10</v>
      </c>
      <c r="Q150" s="5">
        <f>Median!Q$3</f>
        <v>15.81666666666665</v>
      </c>
      <c r="R150" s="5">
        <f>Median!R$3</f>
        <v>2.1428571428571401</v>
      </c>
      <c r="S150" s="5">
        <f>Median!S$3</f>
        <v>20</v>
      </c>
      <c r="T150" s="5">
        <f>Median!T$3</f>
        <v>0</v>
      </c>
      <c r="U150" s="5">
        <f>Median!U$3</f>
        <v>0</v>
      </c>
    </row>
    <row r="151" spans="1:21" x14ac:dyDescent="0.25">
      <c r="A151" t="s">
        <v>1471</v>
      </c>
      <c r="B151" s="5">
        <v>192</v>
      </c>
      <c r="C151" s="5">
        <v>136</v>
      </c>
      <c r="D151" s="5">
        <v>0.70833333333333304</v>
      </c>
      <c r="E151" s="5">
        <v>0.421875</v>
      </c>
      <c r="F151" s="5">
        <v>0.81617647058823495</v>
      </c>
      <c r="G151" s="5">
        <v>0.89017508634429299</v>
      </c>
      <c r="H151" s="5">
        <v>3.125E-2</v>
      </c>
      <c r="I151" s="5">
        <v>1.5625E-2</v>
      </c>
      <c r="J151" s="5">
        <v>6</v>
      </c>
      <c r="K151" s="5">
        <v>3</v>
      </c>
      <c r="L151" s="5">
        <v>5</v>
      </c>
      <c r="M151" s="5">
        <v>0.52356020942408299</v>
      </c>
      <c r="N151" s="5">
        <v>100</v>
      </c>
      <c r="O151" s="5">
        <v>191</v>
      </c>
      <c r="P151" s="5">
        <v>9</v>
      </c>
      <c r="Q151" s="5">
        <v>21.3333333333333</v>
      </c>
      <c r="R151" s="5">
        <v>3.1111111111111098</v>
      </c>
      <c r="S151" s="5">
        <v>28</v>
      </c>
      <c r="T151" s="5">
        <v>0</v>
      </c>
      <c r="U151" s="5">
        <v>0</v>
      </c>
    </row>
    <row r="152" spans="1:21" x14ac:dyDescent="0.25">
      <c r="A152" t="s">
        <v>1479</v>
      </c>
      <c r="B152" s="5">
        <v>215</v>
      </c>
      <c r="C152" s="5">
        <v>131</v>
      </c>
      <c r="D152" s="5">
        <v>0.60930232558139497</v>
      </c>
      <c r="E152" s="5">
        <v>0.52558139534883697</v>
      </c>
      <c r="F152" s="5">
        <v>0.77862595419847302</v>
      </c>
      <c r="G152" s="5">
        <v>0.81742108115371703</v>
      </c>
      <c r="H152" s="5">
        <v>9.30232558139534E-3</v>
      </c>
      <c r="I152" s="5">
        <v>1.3953488372093001E-2</v>
      </c>
      <c r="J152" s="5">
        <v>2</v>
      </c>
      <c r="K152" s="5">
        <v>3</v>
      </c>
      <c r="L152" s="5">
        <v>3</v>
      </c>
      <c r="M152" s="5">
        <v>0.51388888888888795</v>
      </c>
      <c r="N152" s="5">
        <v>111</v>
      </c>
      <c r="O152" s="5">
        <v>216</v>
      </c>
      <c r="P152" s="5">
        <v>13</v>
      </c>
      <c r="Q152" s="5">
        <v>16.538461538461501</v>
      </c>
      <c r="R152" s="5">
        <v>3.1538461538461502</v>
      </c>
      <c r="S152" s="5">
        <v>41</v>
      </c>
      <c r="T152" s="5">
        <v>0</v>
      </c>
      <c r="U152" s="5">
        <v>0</v>
      </c>
    </row>
    <row r="153" spans="1:21" x14ac:dyDescent="0.25">
      <c r="A153" t="s">
        <v>1490</v>
      </c>
      <c r="B153" s="5">
        <v>193</v>
      </c>
      <c r="C153" s="5">
        <v>130</v>
      </c>
      <c r="D153" s="5">
        <v>0.67357512953367804</v>
      </c>
      <c r="E153" s="5">
        <v>0.48704663212435201</v>
      </c>
      <c r="F153" s="5">
        <v>0.76153846153846105</v>
      </c>
      <c r="G153" s="5">
        <v>0.882452953416487</v>
      </c>
      <c r="H153" s="5">
        <v>1.55440414507772E-2</v>
      </c>
      <c r="I153" s="5">
        <v>2.59067357512953E-2</v>
      </c>
      <c r="J153" s="5">
        <v>3</v>
      </c>
      <c r="K153" s="5">
        <v>5</v>
      </c>
      <c r="L153" s="5">
        <v>4</v>
      </c>
      <c r="M153" s="5">
        <v>0.48484848484848397</v>
      </c>
      <c r="N153" s="5">
        <v>96</v>
      </c>
      <c r="O153" s="5">
        <v>198</v>
      </c>
      <c r="P153" s="5">
        <v>8</v>
      </c>
      <c r="Q153" s="5">
        <v>24.125</v>
      </c>
      <c r="R153" s="5">
        <v>3</v>
      </c>
      <c r="S153" s="5">
        <v>24</v>
      </c>
      <c r="T153" s="5">
        <v>0</v>
      </c>
      <c r="U153" s="5">
        <v>0</v>
      </c>
    </row>
    <row r="154" spans="1:21" x14ac:dyDescent="0.25">
      <c r="A154" t="s">
        <v>1500</v>
      </c>
      <c r="B154" s="5">
        <v>150</v>
      </c>
      <c r="C154" s="5">
        <v>117</v>
      </c>
      <c r="D154" s="5">
        <v>0.78</v>
      </c>
      <c r="E154" s="5">
        <v>0.34666666666666601</v>
      </c>
      <c r="F154" s="5">
        <v>0.83760683760683696</v>
      </c>
      <c r="G154" s="5">
        <v>0.90967687481529602</v>
      </c>
      <c r="H154" s="5">
        <v>6.6666666666666602E-3</v>
      </c>
      <c r="I154" s="5">
        <v>6.6666666666666602E-3</v>
      </c>
      <c r="J154" s="5">
        <v>1</v>
      </c>
      <c r="K154" s="5">
        <v>1</v>
      </c>
      <c r="L154" s="5">
        <v>2</v>
      </c>
      <c r="M154" s="5">
        <v>0.60264900662251597</v>
      </c>
      <c r="N154" s="5">
        <v>91</v>
      </c>
      <c r="O154" s="5">
        <v>151</v>
      </c>
      <c r="P154" s="5">
        <v>17</v>
      </c>
      <c r="Q154" s="5">
        <v>8.8235294117646994</v>
      </c>
      <c r="R154" s="5">
        <v>0.76470588235294101</v>
      </c>
      <c r="S154" s="5">
        <v>13</v>
      </c>
      <c r="T154" s="5">
        <v>0</v>
      </c>
      <c r="U154" s="5">
        <v>0</v>
      </c>
    </row>
    <row r="155" spans="1:21" x14ac:dyDescent="0.25">
      <c r="A155" t="s">
        <v>1507</v>
      </c>
      <c r="B155" s="5">
        <v>210</v>
      </c>
      <c r="C155" s="5">
        <v>126</v>
      </c>
      <c r="D155" s="5">
        <v>0.6</v>
      </c>
      <c r="E155" s="5">
        <v>0.580952380952381</v>
      </c>
      <c r="F155" s="5">
        <v>0.69841269841269804</v>
      </c>
      <c r="G155" s="5">
        <v>0.84785463292258201</v>
      </c>
      <c r="H155" s="5">
        <v>2.8571428571428501E-2</v>
      </c>
      <c r="I155" s="5">
        <v>4.7619047619047597E-3</v>
      </c>
      <c r="J155" s="5">
        <v>6</v>
      </c>
      <c r="K155" s="5">
        <v>1</v>
      </c>
      <c r="L155" s="5">
        <v>4</v>
      </c>
      <c r="M155" s="5">
        <v>0.56398104265402804</v>
      </c>
      <c r="N155" s="5">
        <v>119</v>
      </c>
      <c r="O155" s="5">
        <v>211</v>
      </c>
      <c r="P155" s="5">
        <v>18</v>
      </c>
      <c r="Q155" s="5">
        <v>11.6666666666666</v>
      </c>
      <c r="R155" s="5">
        <v>1.7222222222222201</v>
      </c>
      <c r="S155" s="5">
        <v>31</v>
      </c>
      <c r="T155" s="5">
        <v>0</v>
      </c>
      <c r="U155" s="5">
        <v>0</v>
      </c>
    </row>
    <row r="156" spans="1:21" x14ac:dyDescent="0.25">
      <c r="A156" t="s">
        <v>1516</v>
      </c>
      <c r="B156" s="5">
        <v>157</v>
      </c>
      <c r="C156" s="5">
        <v>120</v>
      </c>
      <c r="D156" s="5">
        <v>0.76433121019108197</v>
      </c>
      <c r="E156" s="5">
        <v>0.36305732484076397</v>
      </c>
      <c r="F156" s="5">
        <v>0.83333333333333304</v>
      </c>
      <c r="G156" s="5">
        <v>0.90340844559588096</v>
      </c>
      <c r="H156" s="5">
        <v>0</v>
      </c>
      <c r="I156" s="5">
        <v>6.3694267515923501E-3</v>
      </c>
      <c r="J156" s="5">
        <v>0</v>
      </c>
      <c r="K156" s="5">
        <v>1</v>
      </c>
      <c r="L156" s="5">
        <v>4</v>
      </c>
      <c r="M156" s="5">
        <v>0.65605095541401204</v>
      </c>
      <c r="N156" s="5">
        <v>103</v>
      </c>
      <c r="O156" s="5">
        <v>157</v>
      </c>
      <c r="P156" s="5">
        <v>8</v>
      </c>
      <c r="Q156" s="5">
        <v>19.625</v>
      </c>
      <c r="R156" s="5">
        <v>2.125</v>
      </c>
      <c r="S156" s="5">
        <v>17</v>
      </c>
      <c r="T156" s="5">
        <v>0</v>
      </c>
      <c r="U156" s="5">
        <v>0</v>
      </c>
    </row>
    <row r="157" spans="1:21" x14ac:dyDescent="0.25">
      <c r="A157" t="s">
        <v>1524</v>
      </c>
      <c r="B157" s="5">
        <v>179</v>
      </c>
      <c r="C157" s="5">
        <v>126</v>
      </c>
      <c r="D157" s="5">
        <v>0.70391061452513903</v>
      </c>
      <c r="E157" s="5">
        <v>0.45251396648044601</v>
      </c>
      <c r="F157" s="5">
        <v>0.77777777777777701</v>
      </c>
      <c r="G157" s="5">
        <v>0.8747185823743</v>
      </c>
      <c r="H157" s="5">
        <v>2.23463687150838E-2</v>
      </c>
      <c r="I157" s="5">
        <v>2.23463687150838E-2</v>
      </c>
      <c r="J157" s="5">
        <v>4</v>
      </c>
      <c r="K157" s="5">
        <v>4</v>
      </c>
      <c r="L157" s="5">
        <v>3</v>
      </c>
      <c r="M157" s="5">
        <v>0.52513966480446905</v>
      </c>
      <c r="N157" s="5">
        <v>94</v>
      </c>
      <c r="O157" s="5">
        <v>179</v>
      </c>
      <c r="P157" s="5">
        <v>15</v>
      </c>
      <c r="Q157" s="5">
        <v>11.9333333333333</v>
      </c>
      <c r="R157" s="5">
        <v>0.93333333333333302</v>
      </c>
      <c r="S157" s="5">
        <v>14</v>
      </c>
      <c r="T157" s="5">
        <v>0</v>
      </c>
      <c r="U157" s="5">
        <v>0</v>
      </c>
    </row>
    <row r="158" spans="1:21" x14ac:dyDescent="0.25">
      <c r="A158" t="s">
        <v>1533</v>
      </c>
      <c r="B158" s="5">
        <v>191</v>
      </c>
      <c r="C158" s="5">
        <v>118</v>
      </c>
      <c r="D158" s="5">
        <v>0.61780104712041795</v>
      </c>
      <c r="E158" s="5">
        <v>0.57068062827225097</v>
      </c>
      <c r="F158" s="5">
        <v>0.69491525423728795</v>
      </c>
      <c r="G158" s="5">
        <v>0.85321736755502697</v>
      </c>
      <c r="H158" s="5">
        <v>2.6178010471204102E-2</v>
      </c>
      <c r="I158" s="5">
        <v>1.04712041884816E-2</v>
      </c>
      <c r="J158" s="5">
        <v>5</v>
      </c>
      <c r="K158" s="5">
        <v>2</v>
      </c>
      <c r="L158" s="5">
        <v>1</v>
      </c>
      <c r="M158" s="5">
        <v>0.52356020942408299</v>
      </c>
      <c r="N158" s="5">
        <v>100</v>
      </c>
      <c r="O158" s="5">
        <v>191</v>
      </c>
      <c r="P158" s="5">
        <v>9</v>
      </c>
      <c r="Q158" s="5">
        <v>21.2222222222222</v>
      </c>
      <c r="R158" s="5">
        <v>2.6666666666666599</v>
      </c>
      <c r="S158" s="5">
        <v>24</v>
      </c>
      <c r="T158" s="5">
        <v>0</v>
      </c>
      <c r="U158" s="5">
        <v>0</v>
      </c>
    </row>
    <row r="159" spans="1:21" x14ac:dyDescent="0.25">
      <c r="A159" t="s">
        <v>1543</v>
      </c>
      <c r="B159" s="5">
        <v>123</v>
      </c>
      <c r="C159" s="5">
        <v>96</v>
      </c>
      <c r="D159" s="5">
        <v>0.78048780487804803</v>
      </c>
      <c r="E159" s="5">
        <v>0.36585365853658502</v>
      </c>
      <c r="F159" s="5">
        <v>0.8125</v>
      </c>
      <c r="G159" s="5">
        <v>0.90732963013141799</v>
      </c>
      <c r="H159" s="5">
        <v>0</v>
      </c>
      <c r="I159" s="5">
        <v>8.1300813008130003E-3</v>
      </c>
      <c r="J159" s="5">
        <v>0</v>
      </c>
      <c r="K159" s="5">
        <v>1</v>
      </c>
      <c r="L159" s="5">
        <v>3</v>
      </c>
      <c r="M159" s="5">
        <v>0.70161290322580605</v>
      </c>
      <c r="N159" s="5">
        <v>87</v>
      </c>
      <c r="O159" s="5">
        <v>124</v>
      </c>
      <c r="P159" s="5">
        <v>3</v>
      </c>
      <c r="Q159" s="5" t="s">
        <v>1550</v>
      </c>
      <c r="R159" s="5">
        <v>4</v>
      </c>
      <c r="S159" s="5">
        <v>12</v>
      </c>
      <c r="T159" s="5">
        <v>0</v>
      </c>
      <c r="U159" s="5">
        <v>0</v>
      </c>
    </row>
    <row r="160" spans="1:21" x14ac:dyDescent="0.25">
      <c r="A160" t="s">
        <v>1552</v>
      </c>
      <c r="B160" s="5">
        <v>109</v>
      </c>
      <c r="C160" s="5">
        <v>76</v>
      </c>
      <c r="D160" s="5">
        <v>0.69724770642201805</v>
      </c>
      <c r="E160" s="5">
        <v>0.47706422018348599</v>
      </c>
      <c r="F160" s="5">
        <v>0.75</v>
      </c>
      <c r="G160" s="5">
        <v>0.84334806255927397</v>
      </c>
      <c r="H160" s="5">
        <v>1.8348623853211E-2</v>
      </c>
      <c r="I160" s="5">
        <v>9.1743119266054999E-3</v>
      </c>
      <c r="J160" s="5">
        <v>2</v>
      </c>
      <c r="K160" s="5">
        <v>1</v>
      </c>
      <c r="L160" s="5">
        <v>2</v>
      </c>
      <c r="M160" s="5">
        <v>0.55855855855855796</v>
      </c>
      <c r="N160" s="5">
        <v>62</v>
      </c>
      <c r="O160" s="5">
        <v>111</v>
      </c>
      <c r="P160" s="5">
        <v>11</v>
      </c>
      <c r="Q160" s="5">
        <v>9.9090909090908994</v>
      </c>
      <c r="R160" s="5">
        <v>1.0909090909090899</v>
      </c>
      <c r="S160" s="5">
        <v>12</v>
      </c>
      <c r="T160" s="5">
        <v>0</v>
      </c>
      <c r="U160" s="5">
        <v>0</v>
      </c>
    </row>
    <row r="161" spans="1:21" x14ac:dyDescent="0.25">
      <c r="A161" t="s">
        <v>1561</v>
      </c>
      <c r="B161" s="5">
        <v>130</v>
      </c>
      <c r="C161" s="5">
        <v>89</v>
      </c>
      <c r="D161" s="5">
        <v>0.68461538461538396</v>
      </c>
      <c r="E161" s="5">
        <v>0.44615384615384601</v>
      </c>
      <c r="F161" s="5">
        <v>0.80898876404494302</v>
      </c>
      <c r="G161" s="5">
        <v>0.82328047019836104</v>
      </c>
      <c r="H161" s="5">
        <v>0</v>
      </c>
      <c r="I161" s="5">
        <v>0</v>
      </c>
      <c r="J161" s="5">
        <v>0</v>
      </c>
      <c r="K161" s="5">
        <v>0</v>
      </c>
      <c r="L161" s="5">
        <v>2</v>
      </c>
      <c r="M161" s="5">
        <v>0.61538461538461497</v>
      </c>
      <c r="N161" s="5">
        <v>80</v>
      </c>
      <c r="O161" s="5">
        <v>130</v>
      </c>
      <c r="P161" s="5">
        <v>12</v>
      </c>
      <c r="Q161" s="5">
        <v>10.8333333333333</v>
      </c>
      <c r="R161" s="5">
        <v>0.66666666666666596</v>
      </c>
      <c r="S161" s="5">
        <v>8</v>
      </c>
      <c r="T161" s="5">
        <v>0</v>
      </c>
      <c r="U161" s="5">
        <v>0</v>
      </c>
    </row>
    <row r="162" spans="1:21" x14ac:dyDescent="0.25">
      <c r="A162" t="s">
        <v>1568</v>
      </c>
      <c r="B162" s="5">
        <v>153</v>
      </c>
      <c r="C162" s="5">
        <v>98</v>
      </c>
      <c r="D162" s="5">
        <v>0.64052287581699296</v>
      </c>
      <c r="E162" s="5">
        <v>0.49673202614378997</v>
      </c>
      <c r="F162" s="5">
        <v>0.78571428571428503</v>
      </c>
      <c r="G162" s="5">
        <v>0.823461581456432</v>
      </c>
      <c r="H162" s="5">
        <v>4.5751633986928102E-2</v>
      </c>
      <c r="I162" s="5">
        <v>5.8823529411764698E-2</v>
      </c>
      <c r="J162" s="5">
        <v>7</v>
      </c>
      <c r="K162" s="5">
        <v>9</v>
      </c>
      <c r="L162" s="5">
        <v>5</v>
      </c>
      <c r="M162" s="5">
        <v>0.47712418300653597</v>
      </c>
      <c r="N162" s="5">
        <v>73</v>
      </c>
      <c r="O162" s="5">
        <v>153</v>
      </c>
      <c r="P162" s="5">
        <v>18</v>
      </c>
      <c r="Q162" s="5">
        <v>8.5</v>
      </c>
      <c r="R162" s="5">
        <v>1.2222222222222201</v>
      </c>
      <c r="S162" s="5">
        <v>22</v>
      </c>
      <c r="T162" s="5">
        <v>0</v>
      </c>
      <c r="U162" s="5">
        <v>0</v>
      </c>
    </row>
    <row r="163" spans="1:21" x14ac:dyDescent="0.25">
      <c r="A163" t="s">
        <v>1575</v>
      </c>
      <c r="B163" s="5">
        <v>161</v>
      </c>
      <c r="C163" s="5">
        <v>112</v>
      </c>
      <c r="D163" s="5">
        <v>0.69565217391304301</v>
      </c>
      <c r="E163" s="5">
        <v>0.453416149068323</v>
      </c>
      <c r="F163" s="5">
        <v>0.78571428571428503</v>
      </c>
      <c r="G163" s="5">
        <v>0.87417981800701405</v>
      </c>
      <c r="H163" s="5">
        <v>2.4844720496894401E-2</v>
      </c>
      <c r="I163" s="5">
        <v>2.4844720496894401E-2</v>
      </c>
      <c r="J163" s="5">
        <v>4</v>
      </c>
      <c r="K163" s="5">
        <v>4</v>
      </c>
      <c r="L163" s="5">
        <v>4</v>
      </c>
      <c r="M163" s="5">
        <v>0.503067484662576</v>
      </c>
      <c r="N163" s="5">
        <v>82</v>
      </c>
      <c r="O163" s="5">
        <v>163</v>
      </c>
      <c r="P163" s="5">
        <v>9</v>
      </c>
      <c r="Q163" s="5">
        <v>17.8888888888888</v>
      </c>
      <c r="R163" s="5">
        <v>2.1111111111111098</v>
      </c>
      <c r="S163" s="5">
        <v>19</v>
      </c>
      <c r="T163" s="5">
        <v>0</v>
      </c>
      <c r="U163" s="5">
        <v>0</v>
      </c>
    </row>
    <row r="164" spans="1:21" x14ac:dyDescent="0.25">
      <c r="A164" t="s">
        <v>1581</v>
      </c>
      <c r="B164" s="5">
        <v>126</v>
      </c>
      <c r="C164" s="5">
        <v>95</v>
      </c>
      <c r="D164" s="5">
        <v>0.75396825396825395</v>
      </c>
      <c r="E164" s="5">
        <v>0.38888888888888801</v>
      </c>
      <c r="F164" s="5">
        <v>0.81052631578947298</v>
      </c>
      <c r="G164" s="5">
        <v>0.889627223355409</v>
      </c>
      <c r="H164" s="5">
        <v>0</v>
      </c>
      <c r="I164" s="5">
        <v>1.5873015873015799E-2</v>
      </c>
      <c r="J164" s="5">
        <v>0</v>
      </c>
      <c r="K164" s="5">
        <v>2</v>
      </c>
      <c r="L164" s="5">
        <v>1</v>
      </c>
      <c r="M164" s="5">
        <v>0.57936507936507897</v>
      </c>
      <c r="N164" s="5">
        <v>73</v>
      </c>
      <c r="O164" s="5">
        <v>126</v>
      </c>
      <c r="P164" s="5">
        <v>9</v>
      </c>
      <c r="Q164" s="5" t="s">
        <v>261</v>
      </c>
      <c r="R164" s="5">
        <v>1.88888888888888</v>
      </c>
      <c r="S164" s="5">
        <v>17</v>
      </c>
      <c r="T164" s="5">
        <v>0</v>
      </c>
      <c r="U164" s="5">
        <v>0</v>
      </c>
    </row>
    <row r="165" spans="1:21" x14ac:dyDescent="0.25">
      <c r="A165" t="s">
        <v>1589</v>
      </c>
      <c r="B165" s="5">
        <v>152</v>
      </c>
      <c r="C165" s="5">
        <v>94</v>
      </c>
      <c r="D165" s="5">
        <v>0.61842105263157898</v>
      </c>
      <c r="E165" s="5">
        <v>0.51973684210526305</v>
      </c>
      <c r="F165" s="5">
        <v>0.77659574468085102</v>
      </c>
      <c r="G165" s="5">
        <v>0.77526662058465001</v>
      </c>
      <c r="H165" s="5">
        <v>1.3157894736842099E-2</v>
      </c>
      <c r="I165" s="5">
        <v>2.6315789473684199E-2</v>
      </c>
      <c r="J165" s="5">
        <v>2</v>
      </c>
      <c r="K165" s="5">
        <v>4</v>
      </c>
      <c r="L165" s="5">
        <v>3</v>
      </c>
      <c r="M165" s="5">
        <v>0.54605263157894701</v>
      </c>
      <c r="N165" s="5">
        <v>83</v>
      </c>
      <c r="O165" s="5">
        <v>152</v>
      </c>
      <c r="P165" s="5">
        <v>9</v>
      </c>
      <c r="Q165" s="5">
        <v>16.8888888888888</v>
      </c>
      <c r="R165" s="5">
        <v>2.2222222222222201</v>
      </c>
      <c r="S165" s="5">
        <v>20</v>
      </c>
      <c r="T165" s="5">
        <v>1</v>
      </c>
      <c r="U165" s="5">
        <v>0.652621260089286</v>
      </c>
    </row>
    <row r="166" spans="1:21" x14ac:dyDescent="0.25">
      <c r="A166" t="s">
        <v>1599</v>
      </c>
      <c r="B166" s="5">
        <v>113</v>
      </c>
      <c r="C166" s="5">
        <v>82</v>
      </c>
      <c r="D166" s="5">
        <v>0.72566371681415898</v>
      </c>
      <c r="E166" s="5">
        <v>0.43362831858407003</v>
      </c>
      <c r="F166" s="5">
        <v>0.78048780487804803</v>
      </c>
      <c r="G166" s="5">
        <v>0.862219186420492</v>
      </c>
      <c r="H166" s="5">
        <v>2.6548672566371601E-2</v>
      </c>
      <c r="I166" s="5">
        <v>2.6548672566371601E-2</v>
      </c>
      <c r="J166" s="5">
        <v>3</v>
      </c>
      <c r="K166" s="5">
        <v>3</v>
      </c>
      <c r="L166" s="5">
        <v>4</v>
      </c>
      <c r="M166" s="5">
        <v>0.57522123893805299</v>
      </c>
      <c r="N166" s="5">
        <v>65</v>
      </c>
      <c r="O166" s="5">
        <v>113</v>
      </c>
      <c r="P166" s="5">
        <v>12</v>
      </c>
      <c r="Q166" s="5">
        <v>9.4166666666666607</v>
      </c>
      <c r="R166" s="5">
        <v>1.6666666666666601</v>
      </c>
      <c r="S166" s="5">
        <v>20</v>
      </c>
      <c r="T166" s="5">
        <v>0</v>
      </c>
      <c r="U166" s="5">
        <v>0</v>
      </c>
    </row>
    <row r="167" spans="1:21" x14ac:dyDescent="0.25">
      <c r="A167" t="s">
        <v>1606</v>
      </c>
      <c r="B167" s="5">
        <v>103</v>
      </c>
      <c r="C167" s="5">
        <v>75</v>
      </c>
      <c r="D167" s="5">
        <v>0.72815533980582503</v>
      </c>
      <c r="E167" s="5">
        <v>0.39805825242718401</v>
      </c>
      <c r="F167" s="5">
        <v>0.82666666666666599</v>
      </c>
      <c r="G167" s="5">
        <v>0.81859933497975002</v>
      </c>
      <c r="H167" s="5">
        <v>0</v>
      </c>
      <c r="I167" s="5">
        <v>9.7087378640776604E-3</v>
      </c>
      <c r="J167" s="5">
        <v>0</v>
      </c>
      <c r="K167" s="5">
        <v>1</v>
      </c>
      <c r="L167" s="5">
        <v>3</v>
      </c>
      <c r="M167" s="5">
        <v>0.56310679611650405</v>
      </c>
      <c r="N167" s="5">
        <v>58</v>
      </c>
      <c r="O167" s="5">
        <v>103</v>
      </c>
      <c r="P167" s="5">
        <v>12</v>
      </c>
      <c r="Q167" s="5">
        <v>8.5833333333333304</v>
      </c>
      <c r="R167" s="5">
        <v>0.58333333333333304</v>
      </c>
      <c r="S167" s="5">
        <v>7</v>
      </c>
      <c r="T167" s="5">
        <v>0</v>
      </c>
      <c r="U167" s="5">
        <v>0</v>
      </c>
    </row>
    <row r="168" spans="1:21" x14ac:dyDescent="0.25">
      <c r="A168" t="s">
        <v>1614</v>
      </c>
      <c r="B168" s="5">
        <v>169</v>
      </c>
      <c r="C168" s="5">
        <v>114</v>
      </c>
      <c r="D168" s="5">
        <v>0.67455621301775104</v>
      </c>
      <c r="E168" s="5">
        <v>0.45562130177514698</v>
      </c>
      <c r="F168" s="5">
        <v>0.80701754385964897</v>
      </c>
      <c r="G168" s="5">
        <v>0.84134794862783402</v>
      </c>
      <c r="H168" s="5">
        <v>5.9171597633135998E-3</v>
      </c>
      <c r="I168" s="5">
        <v>1.18343195266272E-2</v>
      </c>
      <c r="J168" s="5">
        <v>1</v>
      </c>
      <c r="K168" s="5">
        <v>2</v>
      </c>
      <c r="L168" s="5">
        <v>4</v>
      </c>
      <c r="M168" s="5">
        <v>0.53846153846153799</v>
      </c>
      <c r="N168" s="5">
        <v>91</v>
      </c>
      <c r="O168" s="5">
        <v>169</v>
      </c>
      <c r="P168" s="5">
        <v>8</v>
      </c>
      <c r="Q168" s="5">
        <v>21.125</v>
      </c>
      <c r="R168" s="5">
        <v>3.125</v>
      </c>
      <c r="S168" s="5">
        <v>25</v>
      </c>
      <c r="T168" s="5">
        <v>0</v>
      </c>
      <c r="U168" s="5">
        <v>0</v>
      </c>
    </row>
    <row r="169" spans="1:21" x14ac:dyDescent="0.25">
      <c r="A169" t="s">
        <v>1622</v>
      </c>
      <c r="B169" s="5">
        <v>238</v>
      </c>
      <c r="C169" s="5">
        <v>156</v>
      </c>
      <c r="D169" s="5">
        <v>0.65546218487394903</v>
      </c>
      <c r="E169" s="5">
        <v>0.46218487394957902</v>
      </c>
      <c r="F169" s="5">
        <v>0.82051282051282004</v>
      </c>
      <c r="G169" s="5">
        <v>0.858072894603925</v>
      </c>
      <c r="H169" s="5">
        <v>8.4033613445378096E-3</v>
      </c>
      <c r="I169" s="5">
        <v>2.5210084033613401E-2</v>
      </c>
      <c r="J169" s="5">
        <v>2</v>
      </c>
      <c r="K169" s="5">
        <v>6</v>
      </c>
      <c r="L169" s="5">
        <v>5</v>
      </c>
      <c r="M169" s="5">
        <v>0.48953974895397401</v>
      </c>
      <c r="N169" s="5">
        <v>117</v>
      </c>
      <c r="O169" s="5">
        <v>239</v>
      </c>
      <c r="P169" s="5">
        <v>7</v>
      </c>
      <c r="Q169" s="5" t="s">
        <v>1630</v>
      </c>
      <c r="R169" s="5">
        <v>6.5714285714285703</v>
      </c>
      <c r="S169" s="5">
        <v>46</v>
      </c>
      <c r="T169" s="5">
        <v>0</v>
      </c>
      <c r="U169" s="5">
        <v>0</v>
      </c>
    </row>
    <row r="170" spans="1:21" x14ac:dyDescent="0.25">
      <c r="A170" t="s">
        <v>1633</v>
      </c>
      <c r="B170" s="5">
        <v>123</v>
      </c>
      <c r="C170" s="5">
        <v>87</v>
      </c>
      <c r="D170" s="5">
        <v>0.707317073170731</v>
      </c>
      <c r="E170" s="5">
        <v>0.47967479674796698</v>
      </c>
      <c r="F170" s="5">
        <v>0.73563218390804597</v>
      </c>
      <c r="G170" s="5">
        <v>0.86961129694702299</v>
      </c>
      <c r="H170" s="5">
        <v>0</v>
      </c>
      <c r="I170" s="5">
        <v>3.2520325203252001E-2</v>
      </c>
      <c r="J170" s="5">
        <v>0</v>
      </c>
      <c r="K170" s="5">
        <v>4</v>
      </c>
      <c r="L170" s="5">
        <v>5</v>
      </c>
      <c r="M170" s="5">
        <v>0.64227642276422703</v>
      </c>
      <c r="N170" s="5">
        <v>79</v>
      </c>
      <c r="O170" s="5">
        <v>123</v>
      </c>
      <c r="P170" s="5">
        <v>5</v>
      </c>
      <c r="Q170" s="5">
        <v>24.6</v>
      </c>
      <c r="R170" s="5">
        <v>2.2000000000000002</v>
      </c>
      <c r="S170" s="5">
        <v>11</v>
      </c>
      <c r="T170" s="5">
        <v>0</v>
      </c>
      <c r="U170" s="5">
        <v>0</v>
      </c>
    </row>
    <row r="171" spans="1:21" x14ac:dyDescent="0.25">
      <c r="A171" t="s">
        <v>1641</v>
      </c>
      <c r="B171" s="5">
        <v>119</v>
      </c>
      <c r="C171" s="5">
        <v>78</v>
      </c>
      <c r="D171" s="5">
        <v>0.65546218487394903</v>
      </c>
      <c r="E171" s="5">
        <v>0.504201680672268</v>
      </c>
      <c r="F171" s="5">
        <v>0.75641025641025605</v>
      </c>
      <c r="G171" s="5">
        <v>0.81395551223993501</v>
      </c>
      <c r="H171" s="5">
        <v>0</v>
      </c>
      <c r="I171" s="5">
        <v>0</v>
      </c>
      <c r="J171" s="5">
        <v>0</v>
      </c>
      <c r="K171" s="5">
        <v>0</v>
      </c>
      <c r="L171" s="5">
        <v>1</v>
      </c>
      <c r="M171" s="5">
        <v>0.57142857142857095</v>
      </c>
      <c r="N171" s="5">
        <v>68</v>
      </c>
      <c r="O171" s="5">
        <v>119</v>
      </c>
      <c r="P171" s="5">
        <v>6</v>
      </c>
      <c r="Q171" s="5">
        <v>19.8333333333333</v>
      </c>
      <c r="R171" s="5">
        <v>1.3333333333333299</v>
      </c>
      <c r="S171" s="5">
        <v>8</v>
      </c>
      <c r="T171" s="5">
        <v>0</v>
      </c>
      <c r="U171" s="5">
        <v>0</v>
      </c>
    </row>
    <row r="172" spans="1:21" x14ac:dyDescent="0.25">
      <c r="A172" t="s">
        <v>1648</v>
      </c>
      <c r="B172" s="5">
        <v>175</v>
      </c>
      <c r="C172" s="5">
        <v>117</v>
      </c>
      <c r="D172" s="5">
        <v>0.66857142857142804</v>
      </c>
      <c r="E172" s="5">
        <v>0.45142857142857101</v>
      </c>
      <c r="F172" s="5">
        <v>0.82051282051282004</v>
      </c>
      <c r="G172" s="5">
        <v>0.82956622319830298</v>
      </c>
      <c r="H172" s="5">
        <v>5.7142857142857099E-3</v>
      </c>
      <c r="I172" s="5">
        <v>5.7142857142857099E-3</v>
      </c>
      <c r="J172" s="5">
        <v>1</v>
      </c>
      <c r="K172" s="5">
        <v>1</v>
      </c>
      <c r="L172" s="5">
        <v>4</v>
      </c>
      <c r="M172" s="5">
        <v>0.568965517241379</v>
      </c>
      <c r="N172" s="5">
        <v>99</v>
      </c>
      <c r="O172" s="5">
        <v>174</v>
      </c>
      <c r="P172" s="5">
        <v>2</v>
      </c>
      <c r="Q172" s="5">
        <v>87.5</v>
      </c>
      <c r="R172" s="5">
        <v>9</v>
      </c>
      <c r="S172" s="5">
        <v>18</v>
      </c>
      <c r="T172" s="5">
        <v>0</v>
      </c>
      <c r="U172" s="5">
        <v>0</v>
      </c>
    </row>
    <row r="173" spans="1:21" x14ac:dyDescent="0.25">
      <c r="A173" t="s">
        <v>1656</v>
      </c>
      <c r="B173" s="5">
        <v>169</v>
      </c>
      <c r="C173" s="5">
        <v>116</v>
      </c>
      <c r="D173" s="5">
        <v>0.68639053254437798</v>
      </c>
      <c r="E173" s="5">
        <v>0.46153846153846101</v>
      </c>
      <c r="F173" s="5">
        <v>0.78448275862068895</v>
      </c>
      <c r="G173" s="5">
        <v>0.86460523187084504</v>
      </c>
      <c r="H173" s="5">
        <v>2.3668639053254399E-2</v>
      </c>
      <c r="I173" s="5">
        <v>6.5088757396449703E-2</v>
      </c>
      <c r="J173" s="5">
        <v>4</v>
      </c>
      <c r="K173" s="5">
        <v>11</v>
      </c>
      <c r="L173" s="5">
        <v>4</v>
      </c>
      <c r="M173" s="5">
        <v>0.50295857988165604</v>
      </c>
      <c r="N173" s="5">
        <v>85</v>
      </c>
      <c r="O173" s="5">
        <v>169</v>
      </c>
      <c r="P173" s="5">
        <v>7</v>
      </c>
      <c r="Q173" s="5">
        <v>24.1428571428571</v>
      </c>
      <c r="R173" s="5">
        <v>4.2857142857142803</v>
      </c>
      <c r="S173" s="5">
        <v>30</v>
      </c>
      <c r="T173" s="5">
        <v>1</v>
      </c>
      <c r="U173" s="5">
        <v>0.62367833789722904</v>
      </c>
    </row>
    <row r="174" spans="1:21" x14ac:dyDescent="0.25">
      <c r="A174" t="s">
        <v>1666</v>
      </c>
      <c r="B174" s="5">
        <v>227</v>
      </c>
      <c r="C174" s="5">
        <v>144</v>
      </c>
      <c r="D174" s="5">
        <v>0.63436123348017603</v>
      </c>
      <c r="E174" s="5">
        <v>0.53303964757709199</v>
      </c>
      <c r="F174" s="5">
        <v>0.73611111111111105</v>
      </c>
      <c r="G174" s="5">
        <v>0.87045318058752996</v>
      </c>
      <c r="H174" s="5">
        <v>1.3215859030837E-2</v>
      </c>
      <c r="I174" s="5">
        <v>0</v>
      </c>
      <c r="J174" s="5">
        <v>3</v>
      </c>
      <c r="K174" s="5">
        <v>0</v>
      </c>
      <c r="L174" s="5">
        <v>4</v>
      </c>
      <c r="M174" s="5">
        <v>0.49561403508771901</v>
      </c>
      <c r="N174" s="5">
        <v>113</v>
      </c>
      <c r="O174" s="5">
        <v>228</v>
      </c>
      <c r="P174" s="5">
        <v>13</v>
      </c>
      <c r="Q174" s="5">
        <v>17.4615384615384</v>
      </c>
      <c r="R174" s="5">
        <v>2.6923076923076898</v>
      </c>
      <c r="S174" s="5">
        <v>35</v>
      </c>
      <c r="T174" s="5">
        <v>0</v>
      </c>
      <c r="U174" s="5">
        <v>0</v>
      </c>
    </row>
    <row r="175" spans="1:21" x14ac:dyDescent="0.25">
      <c r="A175" t="s">
        <v>1675</v>
      </c>
      <c r="B175" s="5">
        <v>86</v>
      </c>
      <c r="C175" s="5">
        <v>79</v>
      </c>
      <c r="D175" s="5">
        <v>0.91860465116279</v>
      </c>
      <c r="E175" s="5">
        <v>0.13953488372093001</v>
      </c>
      <c r="F175" s="5">
        <v>0.936708860759493</v>
      </c>
      <c r="G175" s="5">
        <v>0.95486287538271097</v>
      </c>
      <c r="H175" s="5">
        <v>0</v>
      </c>
      <c r="I175" s="5">
        <v>0</v>
      </c>
      <c r="J175" s="5">
        <v>0</v>
      </c>
      <c r="K175" s="5">
        <v>0</v>
      </c>
      <c r="L175" s="5">
        <v>3</v>
      </c>
      <c r="M175" s="5">
        <v>0.63953488372093004</v>
      </c>
      <c r="N175" s="5">
        <v>55</v>
      </c>
      <c r="O175" s="5">
        <v>86</v>
      </c>
      <c r="P175" s="5">
        <v>6</v>
      </c>
      <c r="Q175" s="5">
        <v>14.3333333333333</v>
      </c>
      <c r="R175" s="5">
        <v>1.3333333333333299</v>
      </c>
      <c r="S175" s="5">
        <v>8</v>
      </c>
      <c r="T175" s="5">
        <v>0</v>
      </c>
      <c r="U175" s="5">
        <v>0</v>
      </c>
    </row>
    <row r="176" spans="1:21" x14ac:dyDescent="0.25">
      <c r="A176" t="s">
        <v>1682</v>
      </c>
      <c r="B176" s="5">
        <v>208</v>
      </c>
      <c r="C176" s="5">
        <v>128</v>
      </c>
      <c r="D176" s="5">
        <v>0.61538461538461497</v>
      </c>
      <c r="E176" s="5">
        <v>0.54807692307692302</v>
      </c>
      <c r="F176" s="5">
        <v>0.734375</v>
      </c>
      <c r="G176" s="5">
        <v>0.84899871401884497</v>
      </c>
      <c r="H176" s="5">
        <v>1.9230769230769201E-2</v>
      </c>
      <c r="I176" s="5">
        <v>1.44230769230769E-2</v>
      </c>
      <c r="J176" s="5">
        <v>4</v>
      </c>
      <c r="K176" s="5">
        <v>3</v>
      </c>
      <c r="L176" s="5">
        <v>4</v>
      </c>
      <c r="M176" s="5">
        <v>0.58373205741626799</v>
      </c>
      <c r="N176" s="5">
        <v>122</v>
      </c>
      <c r="O176" s="5">
        <v>209</v>
      </c>
      <c r="P176" s="5">
        <v>13</v>
      </c>
      <c r="Q176" s="5" t="s">
        <v>1686</v>
      </c>
      <c r="R176" s="5">
        <v>2.3076923076922999</v>
      </c>
      <c r="S176" s="5">
        <v>30</v>
      </c>
      <c r="T176" s="5">
        <v>0</v>
      </c>
      <c r="U176" s="5">
        <v>0</v>
      </c>
    </row>
    <row r="177" spans="1:21" x14ac:dyDescent="0.25">
      <c r="A177" t="s">
        <v>1689</v>
      </c>
      <c r="B177" s="5">
        <v>152</v>
      </c>
      <c r="C177" s="5">
        <v>106</v>
      </c>
      <c r="D177" s="5">
        <v>0.69736842105263097</v>
      </c>
      <c r="E177" s="5">
        <v>0.43421052631578899</v>
      </c>
      <c r="F177" s="5">
        <v>0.81132075471698095</v>
      </c>
      <c r="G177" s="5">
        <v>0.85068817779442896</v>
      </c>
      <c r="H177" s="5">
        <v>3.2894736842105199E-2</v>
      </c>
      <c r="I177" s="5">
        <v>1.3157894736842099E-2</v>
      </c>
      <c r="J177" s="5">
        <v>5</v>
      </c>
      <c r="K177" s="5">
        <v>2</v>
      </c>
      <c r="L177" s="5">
        <v>4</v>
      </c>
      <c r="M177" s="5">
        <v>0.52287581699346397</v>
      </c>
      <c r="N177" s="5">
        <v>80</v>
      </c>
      <c r="O177" s="5">
        <v>153</v>
      </c>
      <c r="P177" s="5">
        <v>5</v>
      </c>
      <c r="Q177" s="5">
        <v>30.4</v>
      </c>
      <c r="R177" s="5">
        <v>4.5999999999999996</v>
      </c>
      <c r="S177" s="5">
        <v>23</v>
      </c>
      <c r="T177" s="5">
        <v>0</v>
      </c>
      <c r="U177" s="5">
        <v>0</v>
      </c>
    </row>
    <row r="178" spans="1:21" x14ac:dyDescent="0.25">
      <c r="A178" t="s">
        <v>1699</v>
      </c>
      <c r="B178" s="5">
        <v>155</v>
      </c>
      <c r="C178" s="5">
        <v>103</v>
      </c>
      <c r="D178" s="5">
        <v>0.66451612903225799</v>
      </c>
      <c r="E178" s="5">
        <v>0.46451612903225797</v>
      </c>
      <c r="F178" s="5">
        <v>0.80582524271844602</v>
      </c>
      <c r="G178" s="5">
        <v>0.837229027532014</v>
      </c>
      <c r="H178" s="5">
        <v>6.4516129032258004E-3</v>
      </c>
      <c r="I178" s="5">
        <v>6.4516129032258004E-3</v>
      </c>
      <c r="J178" s="5">
        <v>1</v>
      </c>
      <c r="K178" s="5">
        <v>1</v>
      </c>
      <c r="L178" s="5">
        <v>4</v>
      </c>
      <c r="M178" s="5">
        <v>0.52258064516128999</v>
      </c>
      <c r="N178" s="5">
        <v>81</v>
      </c>
      <c r="O178" s="5">
        <v>155</v>
      </c>
      <c r="P178" s="5">
        <v>7</v>
      </c>
      <c r="Q178" s="5">
        <v>22.1428571428571</v>
      </c>
      <c r="R178" s="5">
        <v>3.5714285714285698</v>
      </c>
      <c r="S178" s="5">
        <v>25</v>
      </c>
      <c r="T178" s="5">
        <v>0</v>
      </c>
      <c r="U178" s="5">
        <v>0</v>
      </c>
    </row>
    <row r="179" spans="1:21" x14ac:dyDescent="0.25">
      <c r="A179" t="s">
        <v>1706</v>
      </c>
      <c r="B179" s="5">
        <v>164</v>
      </c>
      <c r="C179" s="5">
        <v>115</v>
      </c>
      <c r="D179" s="5">
        <v>0.70121951219512102</v>
      </c>
      <c r="E179" s="5">
        <v>0.44512195121951198</v>
      </c>
      <c r="F179" s="5">
        <v>0.79130434782608605</v>
      </c>
      <c r="G179" s="5">
        <v>0.88070570730751896</v>
      </c>
      <c r="H179" s="5">
        <v>3.65853658536585E-2</v>
      </c>
      <c r="I179" s="5">
        <v>6.0975609756097502E-3</v>
      </c>
      <c r="J179" s="5">
        <v>6</v>
      </c>
      <c r="K179" s="5">
        <v>1</v>
      </c>
      <c r="L179" s="5">
        <v>4</v>
      </c>
      <c r="M179" s="5">
        <v>0.61585365853658502</v>
      </c>
      <c r="N179" s="5">
        <v>101</v>
      </c>
      <c r="O179" s="5">
        <v>164</v>
      </c>
      <c r="P179" s="5">
        <v>11</v>
      </c>
      <c r="Q179" s="5">
        <v>14.909090909090899</v>
      </c>
      <c r="R179" s="5">
        <v>2.2727272727272698</v>
      </c>
      <c r="S179" s="5">
        <v>25</v>
      </c>
      <c r="T179" s="5">
        <v>0</v>
      </c>
      <c r="U179" s="5">
        <v>0</v>
      </c>
    </row>
    <row r="180" spans="1:21" x14ac:dyDescent="0.25">
      <c r="A180" t="s">
        <v>1716</v>
      </c>
      <c r="B180" s="5">
        <v>206</v>
      </c>
      <c r="C180" s="5">
        <v>150</v>
      </c>
      <c r="D180" s="5">
        <v>0.72815533980582503</v>
      </c>
      <c r="E180" s="5">
        <v>0.39805825242718401</v>
      </c>
      <c r="F180" s="5">
        <v>0.82666666666666599</v>
      </c>
      <c r="G180" s="5">
        <v>0.89289904593269798</v>
      </c>
      <c r="H180" s="5">
        <v>9.7087378640776604E-3</v>
      </c>
      <c r="I180" s="5">
        <v>1.94174757281553E-2</v>
      </c>
      <c r="J180" s="5">
        <v>2</v>
      </c>
      <c r="K180" s="5">
        <v>4</v>
      </c>
      <c r="L180" s="5">
        <v>4</v>
      </c>
      <c r="M180" s="5">
        <v>0.55555555555555503</v>
      </c>
      <c r="N180" s="5">
        <v>115</v>
      </c>
      <c r="O180" s="5">
        <v>207</v>
      </c>
      <c r="P180" s="5">
        <v>7</v>
      </c>
      <c r="Q180" s="5">
        <v>29.428571428571399</v>
      </c>
      <c r="R180" s="5">
        <v>3.2857142857142798</v>
      </c>
      <c r="S180" s="5">
        <v>23</v>
      </c>
      <c r="T180" s="5">
        <v>0</v>
      </c>
      <c r="U180" s="5">
        <v>0</v>
      </c>
    </row>
    <row r="181" spans="1:21" x14ac:dyDescent="0.25">
      <c r="A181" t="s">
        <v>1722</v>
      </c>
      <c r="B181" s="5">
        <v>130</v>
      </c>
      <c r="C181" s="5">
        <v>88</v>
      </c>
      <c r="D181" s="5">
        <v>0.67692307692307696</v>
      </c>
      <c r="E181" s="5">
        <v>0.46153846153846101</v>
      </c>
      <c r="F181" s="5">
        <v>0.79545454545454497</v>
      </c>
      <c r="G181" s="5">
        <v>0.82470020074566497</v>
      </c>
      <c r="H181" s="5">
        <v>4.6153846153846101E-2</v>
      </c>
      <c r="I181" s="5">
        <v>0</v>
      </c>
      <c r="J181" s="5">
        <v>6</v>
      </c>
      <c r="K181" s="5">
        <v>0</v>
      </c>
      <c r="L181" s="5">
        <v>5</v>
      </c>
      <c r="M181" s="5">
        <v>0.56153846153846099</v>
      </c>
      <c r="N181" s="5">
        <v>73</v>
      </c>
      <c r="O181" s="5">
        <v>130</v>
      </c>
      <c r="P181" s="5">
        <v>9</v>
      </c>
      <c r="Q181" s="5">
        <v>14.4444444444444</v>
      </c>
      <c r="R181" s="5">
        <v>1.44444444444444</v>
      </c>
      <c r="S181" s="5">
        <v>13</v>
      </c>
      <c r="T181" s="5">
        <v>0</v>
      </c>
      <c r="U181" s="5">
        <v>0</v>
      </c>
    </row>
    <row r="182" spans="1:21" x14ac:dyDescent="0.25">
      <c r="A182" t="s">
        <v>1731</v>
      </c>
      <c r="B182" s="5">
        <v>235</v>
      </c>
      <c r="C182" s="5">
        <v>119</v>
      </c>
      <c r="D182" s="5">
        <v>0.50638297872340399</v>
      </c>
      <c r="E182" s="5">
        <v>0.69787234042553103</v>
      </c>
      <c r="F182" s="5">
        <v>0.59663865546218398</v>
      </c>
      <c r="G182" s="5">
        <v>0.82957144423162499</v>
      </c>
      <c r="H182" s="5">
        <v>5.5319148936170202E-2</v>
      </c>
      <c r="I182" s="5">
        <v>6.3829787234042507E-2</v>
      </c>
      <c r="J182" s="5">
        <v>13</v>
      </c>
      <c r="K182" s="5">
        <v>15</v>
      </c>
      <c r="L182" s="5">
        <v>4</v>
      </c>
      <c r="M182" s="5">
        <v>0.536170212765957</v>
      </c>
      <c r="N182" s="5">
        <v>126</v>
      </c>
      <c r="O182" s="5">
        <v>235</v>
      </c>
      <c r="P182" s="5">
        <v>9</v>
      </c>
      <c r="Q182" s="5">
        <v>26.1111111111111</v>
      </c>
      <c r="R182" s="5">
        <v>4.4444444444444402</v>
      </c>
      <c r="S182" s="5">
        <v>40</v>
      </c>
      <c r="T182" s="5">
        <v>0</v>
      </c>
      <c r="U182" s="5">
        <v>0</v>
      </c>
    </row>
    <row r="183" spans="1:21" x14ac:dyDescent="0.25">
      <c r="A183" t="s">
        <v>1742</v>
      </c>
      <c r="B183" s="5">
        <v>197</v>
      </c>
      <c r="C183" s="5">
        <v>139</v>
      </c>
      <c r="D183" s="5">
        <v>0.705583756345177</v>
      </c>
      <c r="E183" s="5">
        <v>0.44162436548223299</v>
      </c>
      <c r="F183" s="5">
        <v>0.79136690647482</v>
      </c>
      <c r="G183" s="5">
        <v>0.893219004644347</v>
      </c>
      <c r="H183" s="5">
        <v>2.03045685279187E-2</v>
      </c>
      <c r="I183" s="5">
        <v>4.0609137055837498E-2</v>
      </c>
      <c r="J183" s="5">
        <v>4</v>
      </c>
      <c r="K183" s="5">
        <v>8</v>
      </c>
      <c r="L183" s="5">
        <v>3</v>
      </c>
      <c r="M183" s="5">
        <v>0.512690355329949</v>
      </c>
      <c r="N183" s="5">
        <v>101</v>
      </c>
      <c r="O183" s="5">
        <v>197</v>
      </c>
      <c r="P183" s="5">
        <v>4</v>
      </c>
      <c r="Q183" s="5">
        <v>49.25</v>
      </c>
      <c r="R183" s="5">
        <v>5.75</v>
      </c>
      <c r="S183" s="5">
        <v>23</v>
      </c>
      <c r="T183" s="5">
        <v>0</v>
      </c>
      <c r="U183" s="5">
        <v>0</v>
      </c>
    </row>
    <row r="184" spans="1:21" x14ac:dyDescent="0.25">
      <c r="A184" t="s">
        <v>1752</v>
      </c>
      <c r="B184" s="5">
        <v>146</v>
      </c>
      <c r="C184" s="5">
        <v>106</v>
      </c>
      <c r="D184" s="5">
        <v>0.72602739726027399</v>
      </c>
      <c r="E184" s="5">
        <v>0.37671232876712302</v>
      </c>
      <c r="F184" s="5">
        <v>0.85849056603773499</v>
      </c>
      <c r="G184" s="5">
        <v>0.83958604369752299</v>
      </c>
      <c r="H184" s="5">
        <v>1.3698630136986301E-2</v>
      </c>
      <c r="I184" s="5">
        <v>6.8493150684931503E-3</v>
      </c>
      <c r="J184" s="5">
        <v>2</v>
      </c>
      <c r="K184" s="5">
        <v>1</v>
      </c>
      <c r="L184" s="5">
        <v>2</v>
      </c>
      <c r="M184" s="5">
        <v>0.54166666666666596</v>
      </c>
      <c r="N184" s="5">
        <v>78</v>
      </c>
      <c r="O184" s="5">
        <v>144</v>
      </c>
      <c r="P184" s="5">
        <v>12</v>
      </c>
      <c r="Q184" s="5">
        <v>12.1666666666666</v>
      </c>
      <c r="R184" s="5">
        <v>1.0833333333333299</v>
      </c>
      <c r="S184" s="5">
        <v>13</v>
      </c>
      <c r="T184" s="5">
        <v>0</v>
      </c>
      <c r="U184" s="5">
        <v>0</v>
      </c>
    </row>
    <row r="185" spans="1:21" x14ac:dyDescent="0.25">
      <c r="A185" t="s">
        <v>1763</v>
      </c>
      <c r="B185" s="5">
        <v>144</v>
      </c>
      <c r="C185" s="5">
        <v>100</v>
      </c>
      <c r="D185" s="5">
        <v>0.69444444444444398</v>
      </c>
      <c r="E185" s="5">
        <v>0.47222222222222199</v>
      </c>
      <c r="F185" s="5">
        <v>0.76</v>
      </c>
      <c r="G185" s="5">
        <v>0.86847312397787901</v>
      </c>
      <c r="H185" s="5">
        <v>2.77777777777777E-2</v>
      </c>
      <c r="I185" s="5">
        <v>6.9444444444444397E-3</v>
      </c>
      <c r="J185" s="5">
        <v>4</v>
      </c>
      <c r="K185" s="5">
        <v>1</v>
      </c>
      <c r="L185" s="5">
        <v>2</v>
      </c>
      <c r="M185" s="5">
        <v>0.46896551724137903</v>
      </c>
      <c r="N185" s="5">
        <v>68</v>
      </c>
      <c r="O185" s="5">
        <v>145</v>
      </c>
      <c r="P185" s="5">
        <v>3</v>
      </c>
      <c r="Q185" s="5" t="s">
        <v>1769</v>
      </c>
      <c r="R185" s="5">
        <v>5.6666666666666599</v>
      </c>
      <c r="S185" s="5">
        <v>17</v>
      </c>
      <c r="T185" s="5">
        <v>0</v>
      </c>
      <c r="U185" s="5">
        <v>0</v>
      </c>
    </row>
    <row r="186" spans="1:21" x14ac:dyDescent="0.25">
      <c r="A186" t="s">
        <v>1772</v>
      </c>
      <c r="B186" s="5">
        <v>125</v>
      </c>
      <c r="C186" s="5">
        <v>92</v>
      </c>
      <c r="D186" s="5">
        <v>0.73599999999999999</v>
      </c>
      <c r="E186" s="5">
        <v>0.36</v>
      </c>
      <c r="F186" s="5">
        <v>0.86956521739130399</v>
      </c>
      <c r="G186" s="5">
        <v>0.83092024411268495</v>
      </c>
      <c r="H186" s="5">
        <v>0</v>
      </c>
      <c r="I186" s="5">
        <v>1.6E-2</v>
      </c>
      <c r="J186" s="5">
        <v>0</v>
      </c>
      <c r="K186" s="5">
        <v>2</v>
      </c>
      <c r="L186" s="5">
        <v>2</v>
      </c>
      <c r="M186" s="5">
        <v>0.61599999999999999</v>
      </c>
      <c r="N186" s="5">
        <v>77</v>
      </c>
      <c r="O186" s="5">
        <v>125</v>
      </c>
      <c r="P186" s="5">
        <v>23</v>
      </c>
      <c r="Q186" s="5">
        <v>5.4347826086956497</v>
      </c>
      <c r="R186" s="5">
        <v>0.34782608695652101</v>
      </c>
      <c r="S186" s="5">
        <v>8</v>
      </c>
      <c r="T186" s="5">
        <v>1</v>
      </c>
      <c r="U186" s="5">
        <v>0.65859566822419902</v>
      </c>
    </row>
    <row r="187" spans="1:21" x14ac:dyDescent="0.25">
      <c r="A187" t="s">
        <v>1783</v>
      </c>
      <c r="B187" s="5">
        <v>161</v>
      </c>
      <c r="C187" s="5">
        <v>98</v>
      </c>
      <c r="D187" s="5">
        <v>0.60869565217391297</v>
      </c>
      <c r="E187" s="5">
        <v>0.54658385093167705</v>
      </c>
      <c r="F187" s="5">
        <v>0.74489795918367296</v>
      </c>
      <c r="G187" s="5">
        <v>0.80942103470918503</v>
      </c>
      <c r="H187" s="5">
        <v>2.4844720496894401E-2</v>
      </c>
      <c r="I187" s="5">
        <v>4.3478260869565202E-2</v>
      </c>
      <c r="J187" s="5">
        <v>4</v>
      </c>
      <c r="K187" s="5">
        <v>7</v>
      </c>
      <c r="L187" s="5">
        <v>4</v>
      </c>
      <c r="M187" s="5">
        <v>0.52173913043478204</v>
      </c>
      <c r="N187" s="5">
        <v>84</v>
      </c>
      <c r="O187" s="5">
        <v>161</v>
      </c>
      <c r="P187" s="5">
        <v>35</v>
      </c>
      <c r="Q187" s="5">
        <v>4.5999999999999996</v>
      </c>
      <c r="R187" s="5">
        <v>0.4</v>
      </c>
      <c r="S187" s="5">
        <v>14</v>
      </c>
      <c r="T187" s="5">
        <v>1</v>
      </c>
      <c r="U187" s="5">
        <v>0.656465017936539</v>
      </c>
    </row>
    <row r="188" spans="1:21" x14ac:dyDescent="0.25">
      <c r="A188" t="s">
        <v>1792</v>
      </c>
      <c r="B188" s="5">
        <v>105</v>
      </c>
      <c r="C188" s="5">
        <v>88</v>
      </c>
      <c r="D188" s="5">
        <v>0.838095238095238</v>
      </c>
      <c r="E188" s="5">
        <v>0.266666666666666</v>
      </c>
      <c r="F188" s="5">
        <v>0.875</v>
      </c>
      <c r="G188" s="5">
        <v>0.91875833867142798</v>
      </c>
      <c r="H188" s="5">
        <v>9.5238095238095195E-3</v>
      </c>
      <c r="I188" s="5">
        <v>3.8095238095238099E-2</v>
      </c>
      <c r="J188" s="5">
        <v>1</v>
      </c>
      <c r="K188" s="5">
        <v>4</v>
      </c>
      <c r="L188" s="5">
        <v>4</v>
      </c>
      <c r="M188" s="5">
        <v>0.59047619047619004</v>
      </c>
      <c r="N188" s="5">
        <v>62</v>
      </c>
      <c r="O188" s="5">
        <v>105</v>
      </c>
      <c r="P188" s="5">
        <v>12</v>
      </c>
      <c r="Q188" s="5">
        <v>8.75</v>
      </c>
      <c r="R188" s="5">
        <v>0.66666666666666596</v>
      </c>
      <c r="S188" s="5">
        <v>8</v>
      </c>
      <c r="T188" s="5">
        <v>0</v>
      </c>
      <c r="U188" s="5">
        <v>0</v>
      </c>
    </row>
    <row r="189" spans="1:21" x14ac:dyDescent="0.25">
      <c r="A189" t="s">
        <v>1801</v>
      </c>
      <c r="B189" s="5">
        <v>149</v>
      </c>
      <c r="C189" s="5">
        <v>108</v>
      </c>
      <c r="D189" s="5">
        <v>0.72483221476509996</v>
      </c>
      <c r="E189" s="5">
        <v>0.422818791946308</v>
      </c>
      <c r="F189" s="5">
        <v>0.79629629629629595</v>
      </c>
      <c r="G189" s="5">
        <v>0.88425956990987298</v>
      </c>
      <c r="H189" s="5">
        <v>2.0134228187919399E-2</v>
      </c>
      <c r="I189" s="5">
        <v>2.68456375838926E-2</v>
      </c>
      <c r="J189" s="5">
        <v>3</v>
      </c>
      <c r="K189" s="5">
        <v>4</v>
      </c>
      <c r="L189" s="5">
        <v>3</v>
      </c>
      <c r="M189" s="5">
        <v>0.53333333333333299</v>
      </c>
      <c r="N189" s="5">
        <v>80</v>
      </c>
      <c r="O189" s="5">
        <v>150</v>
      </c>
      <c r="P189" s="5">
        <v>7</v>
      </c>
      <c r="Q189" s="5">
        <v>21.285714285714199</v>
      </c>
      <c r="R189" s="5">
        <v>2.8571428571428501</v>
      </c>
      <c r="S189" s="5">
        <v>20</v>
      </c>
      <c r="T189" s="5">
        <v>0</v>
      </c>
      <c r="U189" s="5">
        <v>0</v>
      </c>
    </row>
    <row r="190" spans="1:21" x14ac:dyDescent="0.25">
      <c r="A190" t="s">
        <v>1809</v>
      </c>
      <c r="B190" s="5">
        <v>228</v>
      </c>
      <c r="C190" s="5">
        <v>122</v>
      </c>
      <c r="D190" s="5">
        <v>0.53508771929824495</v>
      </c>
      <c r="E190" s="5">
        <v>0.62719298245613997</v>
      </c>
      <c r="F190" s="5">
        <v>0.69672131147540906</v>
      </c>
      <c r="G190" s="5">
        <v>0.80416121847102995</v>
      </c>
      <c r="H190" s="5">
        <v>2.6315789473684199E-2</v>
      </c>
      <c r="I190" s="5">
        <v>6.5789473684210495E-2</v>
      </c>
      <c r="J190" s="5">
        <v>6</v>
      </c>
      <c r="K190" s="5">
        <v>15</v>
      </c>
      <c r="L190" s="5">
        <v>4</v>
      </c>
      <c r="M190" s="5">
        <v>0.50438596491228005</v>
      </c>
      <c r="N190" s="5">
        <v>115</v>
      </c>
      <c r="O190" s="5">
        <v>228</v>
      </c>
      <c r="P190" s="5">
        <v>4</v>
      </c>
      <c r="Q190" s="5" t="s">
        <v>1815</v>
      </c>
      <c r="R190" s="5">
        <v>10</v>
      </c>
      <c r="S190" s="5">
        <v>40</v>
      </c>
      <c r="T190" s="5">
        <v>1</v>
      </c>
      <c r="U190" s="5">
        <v>0.66554079349101103</v>
      </c>
    </row>
    <row r="191" spans="1:21" x14ac:dyDescent="0.25">
      <c r="A191" t="s">
        <v>1819</v>
      </c>
      <c r="B191" s="5">
        <v>191</v>
      </c>
      <c r="C191" s="5">
        <v>125</v>
      </c>
      <c r="D191" s="5">
        <v>0.65445026178010401</v>
      </c>
      <c r="E191" s="5">
        <v>0.46073298429319298</v>
      </c>
      <c r="F191" s="5">
        <v>0.82399999999999995</v>
      </c>
      <c r="G191" s="5">
        <v>0.83692125729021805</v>
      </c>
      <c r="H191" s="5">
        <v>1.5706806282722498E-2</v>
      </c>
      <c r="I191" s="5">
        <v>5.2356020942408302E-3</v>
      </c>
      <c r="J191" s="5">
        <v>3</v>
      </c>
      <c r="K191" s="5">
        <v>1</v>
      </c>
      <c r="L191" s="5">
        <v>3</v>
      </c>
      <c r="M191" s="5">
        <v>0.56020942408376895</v>
      </c>
      <c r="N191" s="5">
        <v>107</v>
      </c>
      <c r="O191" s="5">
        <v>191</v>
      </c>
      <c r="P191" s="5">
        <v>9</v>
      </c>
      <c r="Q191" s="5">
        <v>21.2222222222222</v>
      </c>
      <c r="R191" s="5">
        <v>3.4444444444444402</v>
      </c>
      <c r="S191" s="5">
        <v>31</v>
      </c>
      <c r="T191" s="5">
        <v>0</v>
      </c>
      <c r="U191" s="5">
        <v>0</v>
      </c>
    </row>
    <row r="192" spans="1:21" x14ac:dyDescent="0.25">
      <c r="A192" t="s">
        <v>1828</v>
      </c>
      <c r="B192" s="5">
        <v>222</v>
      </c>
      <c r="C192" s="5">
        <v>147</v>
      </c>
      <c r="D192" s="5">
        <v>0.66216216216216195</v>
      </c>
      <c r="E192" s="5">
        <v>0.48648648648648601</v>
      </c>
      <c r="F192" s="5">
        <v>0.77551020408163196</v>
      </c>
      <c r="G192" s="5">
        <v>0.87297124967494499</v>
      </c>
      <c r="H192" s="5">
        <v>2.2522522522522501E-2</v>
      </c>
      <c r="I192" s="5">
        <v>1.8018018018018001E-2</v>
      </c>
      <c r="J192" s="5">
        <v>5</v>
      </c>
      <c r="K192" s="5">
        <v>4</v>
      </c>
      <c r="L192" s="5">
        <v>3</v>
      </c>
      <c r="M192" s="5">
        <v>0.51121076233183804</v>
      </c>
      <c r="N192" s="5">
        <v>114</v>
      </c>
      <c r="O192" s="5">
        <v>223</v>
      </c>
      <c r="P192" s="5">
        <v>7</v>
      </c>
      <c r="Q192" s="5">
        <v>31.714285714285701</v>
      </c>
      <c r="R192" s="5">
        <v>4.8571428571428497</v>
      </c>
      <c r="S192" s="5">
        <v>34</v>
      </c>
      <c r="T192" s="5">
        <v>0</v>
      </c>
      <c r="U192" s="5">
        <v>0</v>
      </c>
    </row>
    <row r="193" spans="1:21" x14ac:dyDescent="0.25">
      <c r="A193" t="s">
        <v>1839</v>
      </c>
      <c r="B193" s="5">
        <v>184</v>
      </c>
      <c r="C193" s="5">
        <v>114</v>
      </c>
      <c r="D193" s="5">
        <v>0.61956521739130399</v>
      </c>
      <c r="E193" s="5">
        <v>0.51630434782608603</v>
      </c>
      <c r="F193" s="5">
        <v>0.78070175438596401</v>
      </c>
      <c r="G193" s="5">
        <v>0.82749491904011996</v>
      </c>
      <c r="H193" s="5">
        <v>3.2608695652173898E-2</v>
      </c>
      <c r="I193" s="5">
        <v>3.8043478260869498E-2</v>
      </c>
      <c r="J193" s="5">
        <v>6</v>
      </c>
      <c r="K193" s="5">
        <v>7</v>
      </c>
      <c r="L193" s="5">
        <v>4</v>
      </c>
      <c r="M193" s="5">
        <v>0.53475935828876997</v>
      </c>
      <c r="N193" s="5">
        <v>100</v>
      </c>
      <c r="O193" s="5">
        <v>187</v>
      </c>
      <c r="P193" s="5">
        <v>13</v>
      </c>
      <c r="Q193" s="5">
        <v>14.1538461538461</v>
      </c>
      <c r="R193" s="5">
        <v>2.3846153846153801</v>
      </c>
      <c r="S193" s="5">
        <v>31</v>
      </c>
      <c r="T193" s="5">
        <v>1</v>
      </c>
      <c r="U193" s="5">
        <v>0.66264020707506399</v>
      </c>
    </row>
    <row r="194" spans="1:21" x14ac:dyDescent="0.25">
      <c r="A194" t="s">
        <v>1850</v>
      </c>
      <c r="B194" s="5">
        <v>181</v>
      </c>
      <c r="C194" s="5">
        <v>132</v>
      </c>
      <c r="D194" s="5">
        <v>0.72928176795580102</v>
      </c>
      <c r="E194" s="5">
        <v>0.386740331491712</v>
      </c>
      <c r="F194" s="5">
        <v>0.84090909090909005</v>
      </c>
      <c r="G194" s="5">
        <v>0.89078085789806805</v>
      </c>
      <c r="H194" s="5">
        <v>5.5248618784530298E-3</v>
      </c>
      <c r="I194" s="5">
        <v>5.5248618784530298E-3</v>
      </c>
      <c r="J194" s="5">
        <v>1</v>
      </c>
      <c r="K194" s="5">
        <v>1</v>
      </c>
      <c r="L194" s="5">
        <v>3</v>
      </c>
      <c r="M194" s="5">
        <v>0.54644808743169404</v>
      </c>
      <c r="N194" s="5">
        <v>100</v>
      </c>
      <c r="O194" s="5">
        <v>183</v>
      </c>
      <c r="P194" s="5">
        <v>11</v>
      </c>
      <c r="Q194" s="5">
        <v>16.4545454545454</v>
      </c>
      <c r="R194" s="5">
        <v>2.1818181818181799</v>
      </c>
      <c r="S194" s="5">
        <v>24</v>
      </c>
      <c r="T194" s="5">
        <v>0</v>
      </c>
      <c r="U194" s="5">
        <v>0</v>
      </c>
    </row>
    <row r="195" spans="1:21" x14ac:dyDescent="0.25">
      <c r="A195" t="s">
        <v>1859</v>
      </c>
      <c r="B195" s="5">
        <v>140</v>
      </c>
      <c r="C195" s="5">
        <v>92</v>
      </c>
      <c r="D195" s="5">
        <v>0.65714285714285703</v>
      </c>
      <c r="E195" s="5">
        <v>0.48571428571428499</v>
      </c>
      <c r="F195" s="5">
        <v>0.78260869565217395</v>
      </c>
      <c r="G195" s="5">
        <v>0.82615939086964996</v>
      </c>
      <c r="H195" s="5">
        <v>2.1428571428571401E-2</v>
      </c>
      <c r="I195" s="5">
        <v>0</v>
      </c>
      <c r="J195" s="5">
        <v>3</v>
      </c>
      <c r="K195" s="5">
        <v>0</v>
      </c>
      <c r="L195" s="5">
        <v>2</v>
      </c>
      <c r="M195" s="5">
        <v>0.61428571428571399</v>
      </c>
      <c r="N195" s="5">
        <v>86</v>
      </c>
      <c r="O195" s="5">
        <v>140</v>
      </c>
      <c r="P195" s="5">
        <v>11</v>
      </c>
      <c r="Q195" s="5">
        <v>12.7272727272727</v>
      </c>
      <c r="R195" s="5">
        <v>2</v>
      </c>
      <c r="S195" s="5">
        <v>22</v>
      </c>
      <c r="T195" s="5">
        <v>0</v>
      </c>
      <c r="U195" s="5">
        <v>0</v>
      </c>
    </row>
    <row r="196" spans="1:21" x14ac:dyDescent="0.25">
      <c r="A196" t="s">
        <v>1867</v>
      </c>
      <c r="B196" s="5">
        <v>179</v>
      </c>
      <c r="C196" s="5">
        <v>117</v>
      </c>
      <c r="D196" s="5">
        <v>0.65363128491620104</v>
      </c>
      <c r="E196" s="5">
        <v>0.486033519553072</v>
      </c>
      <c r="F196" s="5">
        <v>0.78632478632478597</v>
      </c>
      <c r="G196" s="5">
        <v>0.84800736794445297</v>
      </c>
      <c r="H196" s="5">
        <v>0</v>
      </c>
      <c r="I196" s="5">
        <v>5.5865921787709499E-3</v>
      </c>
      <c r="J196" s="5">
        <v>0</v>
      </c>
      <c r="K196" s="5">
        <v>1</v>
      </c>
      <c r="L196" s="5">
        <v>4</v>
      </c>
      <c r="M196" s="5">
        <v>0.56983240223463605</v>
      </c>
      <c r="N196" s="5">
        <v>102</v>
      </c>
      <c r="O196" s="5">
        <v>179</v>
      </c>
      <c r="P196" s="5">
        <v>6</v>
      </c>
      <c r="Q196" s="5">
        <v>29.8333333333333</v>
      </c>
      <c r="R196" s="5">
        <v>3.5</v>
      </c>
      <c r="S196" s="5">
        <v>21</v>
      </c>
      <c r="T196" s="5">
        <v>0</v>
      </c>
      <c r="U196" s="5">
        <v>0</v>
      </c>
    </row>
    <row r="197" spans="1:21" x14ac:dyDescent="0.25">
      <c r="A197" t="s">
        <v>1876</v>
      </c>
      <c r="B197" s="5">
        <v>199</v>
      </c>
      <c r="C197" s="5">
        <v>129</v>
      </c>
      <c r="D197" s="5">
        <v>0.64824120603015001</v>
      </c>
      <c r="E197" s="5">
        <v>0.50753768844221103</v>
      </c>
      <c r="F197" s="5">
        <v>0.75968992248061995</v>
      </c>
      <c r="G197" s="5">
        <v>0.85773937326410599</v>
      </c>
      <c r="H197" s="5">
        <v>3.0150753768844199E-2</v>
      </c>
      <c r="I197" s="5">
        <v>5.0251256281407001E-3</v>
      </c>
      <c r="J197" s="5">
        <v>6</v>
      </c>
      <c r="K197" s="5">
        <v>1</v>
      </c>
      <c r="L197" s="5">
        <v>5</v>
      </c>
      <c r="M197" s="5">
        <v>0.52763819095477305</v>
      </c>
      <c r="N197" s="5">
        <v>105</v>
      </c>
      <c r="O197" s="5">
        <v>199</v>
      </c>
      <c r="P197" s="5">
        <v>11</v>
      </c>
      <c r="Q197" s="5">
        <v>18.090909090909001</v>
      </c>
      <c r="R197" s="5">
        <v>2</v>
      </c>
      <c r="S197" s="5">
        <v>22</v>
      </c>
      <c r="T197" s="5">
        <v>0</v>
      </c>
      <c r="U197" s="5">
        <v>0</v>
      </c>
    </row>
    <row r="198" spans="1:21" x14ac:dyDescent="0.25">
      <c r="A198" t="s">
        <v>1885</v>
      </c>
      <c r="B198" s="5">
        <v>151</v>
      </c>
      <c r="C198" s="5">
        <v>102</v>
      </c>
      <c r="D198" s="5">
        <v>0.67549668874172097</v>
      </c>
      <c r="E198" s="5">
        <v>0.443708609271523</v>
      </c>
      <c r="F198" s="5">
        <v>0.82352941176470495</v>
      </c>
      <c r="G198" s="5">
        <v>0.83850049272384997</v>
      </c>
      <c r="H198" s="5">
        <v>1.32450331125827E-2</v>
      </c>
      <c r="I198" s="5">
        <v>0</v>
      </c>
      <c r="J198" s="5">
        <v>2</v>
      </c>
      <c r="K198" s="5">
        <v>0</v>
      </c>
      <c r="L198" s="5">
        <v>3</v>
      </c>
      <c r="M198" s="5">
        <v>0.58278145695364203</v>
      </c>
      <c r="N198" s="5">
        <v>88</v>
      </c>
      <c r="O198" s="5">
        <v>151</v>
      </c>
      <c r="P198" s="5">
        <v>8</v>
      </c>
      <c r="Q198" s="5">
        <v>18.875</v>
      </c>
      <c r="R198" s="5">
        <v>2.75</v>
      </c>
      <c r="S198" s="5">
        <v>22</v>
      </c>
      <c r="T198" s="5">
        <v>0</v>
      </c>
      <c r="U198" s="5">
        <v>0</v>
      </c>
    </row>
    <row r="199" spans="1:21" x14ac:dyDescent="0.25">
      <c r="A199" t="s">
        <v>1894</v>
      </c>
      <c r="B199" s="5">
        <v>95</v>
      </c>
      <c r="C199" s="5">
        <v>61</v>
      </c>
      <c r="D199" s="5">
        <v>0.64210526315789396</v>
      </c>
      <c r="E199" s="5">
        <v>0.48421052631578898</v>
      </c>
      <c r="F199" s="5">
        <v>0.80327868852458995</v>
      </c>
      <c r="G199" s="5">
        <v>0.74908524874720495</v>
      </c>
      <c r="H199" s="5">
        <v>3.1578947368420998E-2</v>
      </c>
      <c r="I199" s="5">
        <v>0</v>
      </c>
      <c r="J199" s="5">
        <v>3</v>
      </c>
      <c r="K199" s="5">
        <v>0</v>
      </c>
      <c r="L199" s="5">
        <v>3</v>
      </c>
      <c r="M199" s="5">
        <v>0.58947368421052604</v>
      </c>
      <c r="N199" s="5">
        <v>56</v>
      </c>
      <c r="O199" s="5">
        <v>95</v>
      </c>
      <c r="P199" s="5">
        <v>4</v>
      </c>
      <c r="Q199" s="5">
        <v>23.75</v>
      </c>
      <c r="R199" s="5">
        <v>1</v>
      </c>
      <c r="S199" s="5">
        <v>4</v>
      </c>
      <c r="T199" s="5">
        <v>0</v>
      </c>
      <c r="U199" s="5">
        <v>0</v>
      </c>
    </row>
    <row r="200" spans="1:21" x14ac:dyDescent="0.25">
      <c r="A200" t="s">
        <v>1901</v>
      </c>
      <c r="B200" s="5">
        <v>122</v>
      </c>
      <c r="C200" s="5">
        <v>96</v>
      </c>
      <c r="D200" s="5">
        <v>0.786885245901639</v>
      </c>
      <c r="E200" s="5">
        <v>0.32786885245901598</v>
      </c>
      <c r="F200" s="5">
        <v>0.85416666666666596</v>
      </c>
      <c r="G200" s="5">
        <v>0.89522072981233602</v>
      </c>
      <c r="H200" s="5">
        <v>2.4590163934426201E-2</v>
      </c>
      <c r="I200" s="5">
        <v>2.4590163934426201E-2</v>
      </c>
      <c r="J200" s="5">
        <v>3</v>
      </c>
      <c r="K200" s="5">
        <v>3</v>
      </c>
      <c r="L200" s="5">
        <v>3</v>
      </c>
      <c r="M200" s="5">
        <v>0.57377049180327799</v>
      </c>
      <c r="N200" s="5">
        <v>70</v>
      </c>
      <c r="O200" s="5">
        <v>122</v>
      </c>
      <c r="P200" s="5">
        <v>6</v>
      </c>
      <c r="Q200" s="5">
        <v>20.3333333333333</v>
      </c>
      <c r="R200" s="5">
        <v>2.1666666666666599</v>
      </c>
      <c r="S200" s="5">
        <v>13</v>
      </c>
      <c r="T200" s="5">
        <v>0</v>
      </c>
      <c r="U200" s="5">
        <v>0</v>
      </c>
    </row>
    <row r="201" spans="1:21" x14ac:dyDescent="0.25">
      <c r="A201" t="s">
        <v>1909</v>
      </c>
      <c r="B201" s="5">
        <v>122</v>
      </c>
      <c r="C201" s="5">
        <v>94</v>
      </c>
      <c r="D201" s="5">
        <v>0.77049180327868805</v>
      </c>
      <c r="E201" s="5">
        <v>0.34426229508196698</v>
      </c>
      <c r="F201" s="5">
        <v>0.85106382978723405</v>
      </c>
      <c r="G201" s="5">
        <v>0.88719193910624095</v>
      </c>
      <c r="H201" s="5">
        <v>8.1967213114754103E-3</v>
      </c>
      <c r="I201" s="5">
        <v>3.2786885245901599E-2</v>
      </c>
      <c r="J201" s="5">
        <v>1</v>
      </c>
      <c r="K201" s="5">
        <v>4</v>
      </c>
      <c r="L201" s="5">
        <v>2</v>
      </c>
      <c r="M201" s="5">
        <v>0.55284552845528401</v>
      </c>
      <c r="N201" s="5">
        <v>68</v>
      </c>
      <c r="O201" s="5">
        <v>123</v>
      </c>
      <c r="P201" s="5">
        <v>10</v>
      </c>
      <c r="Q201" s="5">
        <v>12.2</v>
      </c>
      <c r="R201" s="5">
        <v>1.6</v>
      </c>
      <c r="S201" s="5">
        <v>16</v>
      </c>
      <c r="T201" s="5">
        <v>0</v>
      </c>
      <c r="U201" s="5">
        <v>0</v>
      </c>
    </row>
    <row r="202" spans="1:21" x14ac:dyDescent="0.25">
      <c r="A202" t="s">
        <v>1919</v>
      </c>
      <c r="B202" s="5">
        <v>144</v>
      </c>
      <c r="C202" s="5">
        <v>108</v>
      </c>
      <c r="D202" s="5">
        <v>0.75</v>
      </c>
      <c r="E202" s="5">
        <v>0.38888888888888801</v>
      </c>
      <c r="F202" s="5">
        <v>0.81481481481481399</v>
      </c>
      <c r="G202" s="5">
        <v>0.89657515728594706</v>
      </c>
      <c r="H202" s="5">
        <v>6.9444444444444397E-3</v>
      </c>
      <c r="I202" s="5">
        <v>2.0833333333333301E-2</v>
      </c>
      <c r="J202" s="5">
        <v>1</v>
      </c>
      <c r="K202" s="5">
        <v>3</v>
      </c>
      <c r="L202" s="5">
        <v>4</v>
      </c>
      <c r="M202" s="5">
        <v>0.50694444444444398</v>
      </c>
      <c r="N202" s="5">
        <v>73</v>
      </c>
      <c r="O202" s="5">
        <v>144</v>
      </c>
      <c r="P202" s="5">
        <v>7</v>
      </c>
      <c r="Q202" s="5">
        <v>20.571428571428498</v>
      </c>
      <c r="R202" s="5">
        <v>3.2857142857142798</v>
      </c>
      <c r="S202" s="5">
        <v>23</v>
      </c>
      <c r="T202" s="5">
        <v>0</v>
      </c>
      <c r="U202" s="5">
        <v>0</v>
      </c>
    </row>
    <row r="203" spans="1:21" x14ac:dyDescent="0.25">
      <c r="A203" t="s">
        <v>1925</v>
      </c>
      <c r="B203" s="5">
        <v>106</v>
      </c>
      <c r="C203" s="5">
        <v>79</v>
      </c>
      <c r="D203" s="5">
        <v>0.74528301886792403</v>
      </c>
      <c r="E203" s="5">
        <v>0.38679245283018798</v>
      </c>
      <c r="F203" s="5">
        <v>0.822784810126582</v>
      </c>
      <c r="G203" s="5">
        <v>0.85428554155945502</v>
      </c>
      <c r="H203" s="5">
        <v>9.4339622641509396E-3</v>
      </c>
      <c r="I203" s="5">
        <v>9.4339622641509396E-3</v>
      </c>
      <c r="J203" s="5">
        <v>1</v>
      </c>
      <c r="K203" s="5">
        <v>1</v>
      </c>
      <c r="L203" s="5">
        <v>3</v>
      </c>
      <c r="M203" s="5">
        <v>0.63207547169811296</v>
      </c>
      <c r="N203" s="5">
        <v>67</v>
      </c>
      <c r="O203" s="5">
        <v>106</v>
      </c>
      <c r="P203" s="5">
        <v>13</v>
      </c>
      <c r="Q203" s="5">
        <v>8.1538461538461497</v>
      </c>
      <c r="R203" s="5">
        <v>0.84615384615384603</v>
      </c>
      <c r="S203" s="5">
        <v>11</v>
      </c>
      <c r="T203" s="5">
        <v>0</v>
      </c>
      <c r="U203" s="5">
        <v>0</v>
      </c>
    </row>
    <row r="204" spans="1:21" x14ac:dyDescent="0.25">
      <c r="A204" t="s">
        <v>1935</v>
      </c>
      <c r="B204" s="5">
        <v>99</v>
      </c>
      <c r="C204" s="5">
        <v>74</v>
      </c>
      <c r="D204" s="5">
        <v>0.74747474747474696</v>
      </c>
      <c r="E204" s="5">
        <v>0.39393939393939298</v>
      </c>
      <c r="F204" s="5">
        <v>0.81081081081080997</v>
      </c>
      <c r="G204" s="5">
        <v>0.85375139304534498</v>
      </c>
      <c r="H204" s="5">
        <v>0</v>
      </c>
      <c r="I204" s="5">
        <v>1.01010101010101E-2</v>
      </c>
      <c r="J204" s="5">
        <v>0</v>
      </c>
      <c r="K204" s="5">
        <v>1</v>
      </c>
      <c r="L204" s="5">
        <v>2</v>
      </c>
      <c r="M204" s="5">
        <v>0.57575757575757502</v>
      </c>
      <c r="N204" s="5">
        <v>57</v>
      </c>
      <c r="O204" s="5">
        <v>99</v>
      </c>
      <c r="P204" s="5">
        <v>7</v>
      </c>
      <c r="Q204" s="5">
        <v>14.1428571428571</v>
      </c>
      <c r="R204" s="5">
        <v>1.71428571428571</v>
      </c>
      <c r="S204" s="5">
        <v>12</v>
      </c>
      <c r="T204" s="5">
        <v>0</v>
      </c>
      <c r="U204" s="5">
        <v>0</v>
      </c>
    </row>
    <row r="205" spans="1:21" x14ac:dyDescent="0.25">
      <c r="A205" t="s">
        <v>1945</v>
      </c>
      <c r="B205" s="5">
        <v>196</v>
      </c>
      <c r="C205" s="5">
        <v>136</v>
      </c>
      <c r="D205" s="5">
        <v>0.69387755102040805</v>
      </c>
      <c r="E205" s="5">
        <v>0.43367346938775497</v>
      </c>
      <c r="F205" s="5">
        <v>0.81617647058823495</v>
      </c>
      <c r="G205" s="5">
        <v>0.87588433321221904</v>
      </c>
      <c r="H205" s="5">
        <v>2.5510204081632602E-2</v>
      </c>
      <c r="I205" s="5">
        <v>1.53061224489795E-2</v>
      </c>
      <c r="J205" s="5">
        <v>5</v>
      </c>
      <c r="K205" s="5">
        <v>3</v>
      </c>
      <c r="L205" s="5">
        <v>4</v>
      </c>
      <c r="M205" s="5">
        <v>0.55102040816326503</v>
      </c>
      <c r="N205" s="5">
        <v>108</v>
      </c>
      <c r="O205" s="5">
        <v>196</v>
      </c>
      <c r="P205" s="5">
        <v>9</v>
      </c>
      <c r="Q205" s="5">
        <v>21.7777777777777</v>
      </c>
      <c r="R205" s="5">
        <v>2.4444444444444402</v>
      </c>
      <c r="S205" s="5">
        <v>22</v>
      </c>
      <c r="T205" s="5">
        <v>0</v>
      </c>
      <c r="U205" s="5">
        <v>0</v>
      </c>
    </row>
    <row r="206" spans="1:21" x14ac:dyDescent="0.25">
      <c r="A206" t="s">
        <v>1954</v>
      </c>
      <c r="B206" s="5">
        <v>168</v>
      </c>
      <c r="C206" s="5">
        <v>119</v>
      </c>
      <c r="D206" s="5">
        <v>0.70833333333333304</v>
      </c>
      <c r="E206" s="5">
        <v>0.44047619047619002</v>
      </c>
      <c r="F206" s="5">
        <v>0.78991596638655404</v>
      </c>
      <c r="G206" s="5">
        <v>0.88950728120627298</v>
      </c>
      <c r="H206" s="5">
        <v>5.9523809523809503E-3</v>
      </c>
      <c r="I206" s="5">
        <v>5.9523809523809503E-3</v>
      </c>
      <c r="J206" s="5">
        <v>1</v>
      </c>
      <c r="K206" s="5">
        <v>1</v>
      </c>
      <c r="L206" s="5">
        <v>3</v>
      </c>
      <c r="M206" s="5">
        <v>0.640718562874251</v>
      </c>
      <c r="N206" s="5">
        <v>107</v>
      </c>
      <c r="O206" s="5">
        <v>167</v>
      </c>
      <c r="P206" s="5">
        <v>32</v>
      </c>
      <c r="Q206" s="5">
        <v>5.25</v>
      </c>
      <c r="R206" s="5">
        <v>0.28125</v>
      </c>
      <c r="S206" s="5">
        <v>9</v>
      </c>
      <c r="T206" s="5">
        <v>0</v>
      </c>
      <c r="U206" s="5">
        <v>0</v>
      </c>
    </row>
    <row r="207" spans="1:21" x14ac:dyDescent="0.25">
      <c r="A207" t="s">
        <v>1962</v>
      </c>
      <c r="B207" s="5">
        <v>131</v>
      </c>
      <c r="C207" s="5">
        <v>95</v>
      </c>
      <c r="D207" s="5">
        <v>0.72519083969465603</v>
      </c>
      <c r="E207" s="5">
        <v>0.43511450381679301</v>
      </c>
      <c r="F207" s="5">
        <v>0.77894736842105206</v>
      </c>
      <c r="G207" s="5">
        <v>0.87778505048296696</v>
      </c>
      <c r="H207" s="5">
        <v>7.63358778625954E-3</v>
      </c>
      <c r="I207" s="5">
        <v>3.8167938931297697E-2</v>
      </c>
      <c r="J207" s="5">
        <v>1</v>
      </c>
      <c r="K207" s="5">
        <v>5</v>
      </c>
      <c r="L207" s="5">
        <v>2</v>
      </c>
      <c r="M207" s="5">
        <v>0.51145038167938905</v>
      </c>
      <c r="N207" s="5">
        <v>67</v>
      </c>
      <c r="O207" s="5">
        <v>131</v>
      </c>
      <c r="P207" s="5">
        <v>10</v>
      </c>
      <c r="Q207" s="5">
        <v>13.1</v>
      </c>
      <c r="R207" s="5">
        <v>1.8</v>
      </c>
      <c r="S207" s="5">
        <v>18</v>
      </c>
      <c r="T207" s="5">
        <v>0</v>
      </c>
      <c r="U207" s="5">
        <v>0</v>
      </c>
    </row>
    <row r="208" spans="1:21" x14ac:dyDescent="0.25">
      <c r="A208" t="s">
        <v>1971</v>
      </c>
      <c r="B208" s="5">
        <v>128</v>
      </c>
      <c r="C208" s="5">
        <v>96</v>
      </c>
      <c r="D208" s="5">
        <v>0.75</v>
      </c>
      <c r="E208" s="5">
        <v>0.375</v>
      </c>
      <c r="F208" s="5">
        <v>0.83333333333333304</v>
      </c>
      <c r="G208" s="5">
        <v>0.87804060656732397</v>
      </c>
      <c r="H208" s="5">
        <v>3.90625E-2</v>
      </c>
      <c r="I208" s="5">
        <v>0</v>
      </c>
      <c r="J208" s="5">
        <v>5</v>
      </c>
      <c r="K208" s="5">
        <v>0</v>
      </c>
      <c r="L208" s="5">
        <v>4</v>
      </c>
      <c r="M208" s="5">
        <v>0.5546875</v>
      </c>
      <c r="N208" s="5">
        <v>71</v>
      </c>
      <c r="O208" s="5">
        <v>128</v>
      </c>
      <c r="P208" s="5">
        <v>18</v>
      </c>
      <c r="Q208" s="5">
        <v>7.1111111111111098</v>
      </c>
      <c r="R208" s="5">
        <v>0.72222222222222199</v>
      </c>
      <c r="S208" s="5">
        <v>13</v>
      </c>
      <c r="T208" s="5">
        <v>0</v>
      </c>
      <c r="U208" s="5">
        <v>0</v>
      </c>
    </row>
    <row r="209" spans="1:21" x14ac:dyDescent="0.25">
      <c r="A209" t="s">
        <v>1978</v>
      </c>
      <c r="B209" s="5">
        <v>138</v>
      </c>
      <c r="C209" s="5">
        <v>95</v>
      </c>
      <c r="D209" s="5">
        <v>0.688405797101449</v>
      </c>
      <c r="E209" s="5">
        <v>0.44927536231884002</v>
      </c>
      <c r="F209" s="5">
        <v>0.8</v>
      </c>
      <c r="G209" s="5">
        <v>0.848556256367899</v>
      </c>
      <c r="H209" s="5">
        <v>7.2463768115942004E-3</v>
      </c>
      <c r="I209" s="5">
        <v>7.2463768115942004E-3</v>
      </c>
      <c r="J209" s="5">
        <v>1</v>
      </c>
      <c r="K209" s="5">
        <v>1</v>
      </c>
      <c r="L209" s="5">
        <v>5</v>
      </c>
      <c r="M209" s="5">
        <v>0.52173913043478204</v>
      </c>
      <c r="N209" s="5">
        <v>72</v>
      </c>
      <c r="O209" s="5">
        <v>138</v>
      </c>
      <c r="P209" s="5">
        <v>5</v>
      </c>
      <c r="Q209" s="5">
        <v>27.6</v>
      </c>
      <c r="R209" s="5">
        <v>2.8</v>
      </c>
      <c r="S209" s="5">
        <v>14</v>
      </c>
      <c r="T209" s="5">
        <v>0</v>
      </c>
      <c r="U209" s="5">
        <v>0</v>
      </c>
    </row>
    <row r="210" spans="1:21" x14ac:dyDescent="0.25">
      <c r="A210" t="s">
        <v>1985</v>
      </c>
      <c r="B210" s="5">
        <v>195</v>
      </c>
      <c r="C210" s="5">
        <v>137</v>
      </c>
      <c r="D210" s="5">
        <v>0.70256410256410196</v>
      </c>
      <c r="E210" s="5">
        <v>0.44615384615384601</v>
      </c>
      <c r="F210" s="5">
        <v>0.78832116788321105</v>
      </c>
      <c r="G210" s="5">
        <v>0.88970115693372998</v>
      </c>
      <c r="H210" s="5">
        <v>5.1282051282051204E-3</v>
      </c>
      <c r="I210" s="5">
        <v>0</v>
      </c>
      <c r="J210" s="5">
        <v>1</v>
      </c>
      <c r="K210" s="5">
        <v>0</v>
      </c>
      <c r="L210" s="5">
        <v>5</v>
      </c>
      <c r="M210" s="5">
        <v>0.55102040816326503</v>
      </c>
      <c r="N210" s="5">
        <v>108</v>
      </c>
      <c r="O210" s="5">
        <v>196</v>
      </c>
      <c r="P210" s="5">
        <v>10</v>
      </c>
      <c r="Q210" s="5">
        <v>19.5</v>
      </c>
      <c r="R210" s="5">
        <v>2.2999999999999998</v>
      </c>
      <c r="S210" s="5">
        <v>23</v>
      </c>
      <c r="T210" s="5">
        <v>0</v>
      </c>
      <c r="U210" s="5">
        <v>0</v>
      </c>
    </row>
    <row r="211" spans="1:21" x14ac:dyDescent="0.25">
      <c r="A211" t="s">
        <v>1993</v>
      </c>
      <c r="B211" s="5">
        <v>151</v>
      </c>
      <c r="C211" s="5">
        <v>105</v>
      </c>
      <c r="D211" s="5">
        <v>0.69536423841059603</v>
      </c>
      <c r="E211" s="5">
        <v>0.45695364238410502</v>
      </c>
      <c r="F211" s="5">
        <v>0.78095238095238095</v>
      </c>
      <c r="G211" s="5">
        <v>0.86491190558890696</v>
      </c>
      <c r="H211" s="5">
        <v>1.32450331125827E-2</v>
      </c>
      <c r="I211" s="5">
        <v>6.6225165562913899E-3</v>
      </c>
      <c r="J211" s="5">
        <v>2</v>
      </c>
      <c r="K211" s="5">
        <v>1</v>
      </c>
      <c r="L211" s="5">
        <v>3</v>
      </c>
      <c r="M211" s="5">
        <v>0.58940397350993301</v>
      </c>
      <c r="N211" s="5">
        <v>89</v>
      </c>
      <c r="O211" s="5">
        <v>151</v>
      </c>
      <c r="P211" s="5">
        <v>5</v>
      </c>
      <c r="Q211" s="5">
        <v>30.2</v>
      </c>
      <c r="R211" s="5">
        <v>3.4</v>
      </c>
      <c r="S211" s="5">
        <v>17</v>
      </c>
      <c r="T211" s="5">
        <v>0</v>
      </c>
      <c r="U211" s="5">
        <v>0</v>
      </c>
    </row>
    <row r="212" spans="1:21" x14ac:dyDescent="0.25">
      <c r="A212" t="s">
        <v>2003</v>
      </c>
      <c r="B212" s="5">
        <v>176</v>
      </c>
      <c r="C212" s="5">
        <v>121</v>
      </c>
      <c r="D212" s="5">
        <v>0.6875</v>
      </c>
      <c r="E212" s="5">
        <v>0.44886363636363602</v>
      </c>
      <c r="F212" s="5">
        <v>0.80165289256198302</v>
      </c>
      <c r="G212" s="5">
        <v>0.867571810526646</v>
      </c>
      <c r="H212" s="5">
        <v>1.7045454545454499E-2</v>
      </c>
      <c r="I212" s="5">
        <v>2.8409090909090901E-2</v>
      </c>
      <c r="J212" s="5">
        <v>3</v>
      </c>
      <c r="K212" s="5">
        <v>5</v>
      </c>
      <c r="L212" s="5">
        <v>2</v>
      </c>
      <c r="M212" s="5">
        <v>0.53409090909090895</v>
      </c>
      <c r="N212" s="5">
        <v>94</v>
      </c>
      <c r="O212" s="5">
        <v>176</v>
      </c>
      <c r="P212" s="5">
        <v>2</v>
      </c>
      <c r="Q212" s="5" t="s">
        <v>2011</v>
      </c>
      <c r="R212" s="5">
        <v>13.5</v>
      </c>
      <c r="S212" s="5">
        <v>27</v>
      </c>
      <c r="T212" s="5">
        <v>0</v>
      </c>
      <c r="U212" s="5">
        <v>0</v>
      </c>
    </row>
    <row r="213" spans="1:21" x14ac:dyDescent="0.25">
      <c r="A213" t="s">
        <v>2014</v>
      </c>
      <c r="B213" s="5">
        <v>212</v>
      </c>
      <c r="C213" s="5">
        <v>142</v>
      </c>
      <c r="D213" s="5">
        <v>0.66981132075471606</v>
      </c>
      <c r="E213" s="5">
        <v>0.48113207547169801</v>
      </c>
      <c r="F213" s="5">
        <v>0.77464788732394296</v>
      </c>
      <c r="G213" s="5">
        <v>0.88190346004396303</v>
      </c>
      <c r="H213" s="5">
        <v>3.3018867924528301E-2</v>
      </c>
      <c r="I213" s="5">
        <v>9.4339622641509396E-3</v>
      </c>
      <c r="J213" s="5">
        <v>7</v>
      </c>
      <c r="K213" s="5">
        <v>2</v>
      </c>
      <c r="L213" s="5">
        <v>3</v>
      </c>
      <c r="M213" s="5">
        <v>0.51401869158878499</v>
      </c>
      <c r="N213" s="5">
        <v>110</v>
      </c>
      <c r="O213" s="5">
        <v>214</v>
      </c>
      <c r="P213" s="5">
        <v>11</v>
      </c>
      <c r="Q213" s="5">
        <v>19.272727272727199</v>
      </c>
      <c r="R213" s="5">
        <v>2.8181818181818099</v>
      </c>
      <c r="S213" s="5">
        <v>31</v>
      </c>
      <c r="T213" s="5">
        <v>0</v>
      </c>
      <c r="U213" s="5">
        <v>0</v>
      </c>
    </row>
    <row r="214" spans="1:21" x14ac:dyDescent="0.25">
      <c r="A214" t="s">
        <v>2024</v>
      </c>
      <c r="B214" s="5">
        <v>154</v>
      </c>
      <c r="C214" s="5">
        <v>94</v>
      </c>
      <c r="D214" s="5">
        <v>0.61038961038961004</v>
      </c>
      <c r="E214" s="5">
        <v>0.55194805194805197</v>
      </c>
      <c r="F214" s="5">
        <v>0.73404255319148903</v>
      </c>
      <c r="G214" s="5">
        <v>0.80452154300276701</v>
      </c>
      <c r="H214" s="5">
        <v>0</v>
      </c>
      <c r="I214" s="5">
        <v>0</v>
      </c>
      <c r="J214" s="5">
        <v>0</v>
      </c>
      <c r="K214" s="5">
        <v>0</v>
      </c>
      <c r="L214" s="5">
        <v>2</v>
      </c>
      <c r="M214" s="5">
        <v>0.60784313725490102</v>
      </c>
      <c r="N214" s="5">
        <v>93</v>
      </c>
      <c r="O214" s="5">
        <v>153</v>
      </c>
      <c r="P214" s="5">
        <v>18</v>
      </c>
      <c r="Q214" s="5">
        <v>8.55555555555555</v>
      </c>
      <c r="R214" s="5">
        <v>0.77777777777777701</v>
      </c>
      <c r="S214" s="5">
        <v>14</v>
      </c>
      <c r="T214" s="5">
        <v>0</v>
      </c>
      <c r="U214" s="5">
        <v>0</v>
      </c>
    </row>
    <row r="215" spans="1:21" x14ac:dyDescent="0.25">
      <c r="A215" t="s">
        <v>2032</v>
      </c>
      <c r="B215" s="5">
        <v>128</v>
      </c>
      <c r="C215" s="5">
        <v>90</v>
      </c>
      <c r="D215" s="5">
        <v>0.703125</v>
      </c>
      <c r="E215" s="5">
        <v>0.4140625</v>
      </c>
      <c r="F215" s="5">
        <v>0.83333333333333304</v>
      </c>
      <c r="G215" s="5">
        <v>0.82780997856601202</v>
      </c>
      <c r="H215" s="5">
        <v>7.8125E-3</v>
      </c>
      <c r="I215" s="5">
        <v>0</v>
      </c>
      <c r="J215" s="5">
        <v>1</v>
      </c>
      <c r="K215" s="5">
        <v>0</v>
      </c>
      <c r="L215" s="5">
        <v>2</v>
      </c>
      <c r="M215" s="5">
        <v>0.515625</v>
      </c>
      <c r="N215" s="5">
        <v>66</v>
      </c>
      <c r="O215" s="5">
        <v>128</v>
      </c>
      <c r="P215" s="5">
        <v>5</v>
      </c>
      <c r="Q215" s="5">
        <v>25.6</v>
      </c>
      <c r="R215" s="5">
        <v>4.2</v>
      </c>
      <c r="S215" s="5">
        <v>21</v>
      </c>
      <c r="T215" s="5">
        <v>0</v>
      </c>
      <c r="U215" s="5">
        <v>0</v>
      </c>
    </row>
    <row r="216" spans="1:21" x14ac:dyDescent="0.25">
      <c r="A216" t="s">
        <v>2040</v>
      </c>
      <c r="B216" s="5">
        <v>139</v>
      </c>
      <c r="C216" s="5">
        <v>82</v>
      </c>
      <c r="D216" s="5">
        <v>0.58992805755395605</v>
      </c>
      <c r="E216" s="5">
        <v>0.53956834532374098</v>
      </c>
      <c r="F216" s="5">
        <v>0.78048780487804803</v>
      </c>
      <c r="G216" s="5">
        <v>0.74257649009710902</v>
      </c>
      <c r="H216" s="5">
        <v>0</v>
      </c>
      <c r="I216" s="5">
        <v>2.15827338129496E-2</v>
      </c>
      <c r="J216" s="5">
        <v>0</v>
      </c>
      <c r="K216" s="5">
        <v>3</v>
      </c>
      <c r="L216" s="5">
        <v>3</v>
      </c>
      <c r="M216" s="5">
        <v>0.48920863309352502</v>
      </c>
      <c r="N216" s="5">
        <v>68</v>
      </c>
      <c r="O216" s="5">
        <v>139</v>
      </c>
      <c r="P216" s="5">
        <v>11</v>
      </c>
      <c r="Q216" s="5">
        <v>12.636363636363599</v>
      </c>
      <c r="R216" s="5">
        <v>1.0909090909090899</v>
      </c>
      <c r="S216" s="5">
        <v>12</v>
      </c>
      <c r="T216" s="5">
        <v>0</v>
      </c>
      <c r="U216" s="5">
        <v>0</v>
      </c>
    </row>
    <row r="217" spans="1:21" x14ac:dyDescent="0.25">
      <c r="A217" t="s">
        <v>2047</v>
      </c>
      <c r="B217" s="5">
        <v>124</v>
      </c>
      <c r="C217" s="5">
        <v>89</v>
      </c>
      <c r="D217" s="5">
        <v>0.717741935483871</v>
      </c>
      <c r="E217" s="5">
        <v>0.41935483870967699</v>
      </c>
      <c r="F217" s="5">
        <v>0.80898876404494302</v>
      </c>
      <c r="G217" s="5">
        <v>0.85820990663376595</v>
      </c>
      <c r="H217" s="5">
        <v>3.2258064516128997E-2</v>
      </c>
      <c r="I217" s="5">
        <v>0</v>
      </c>
      <c r="J217" s="5">
        <v>4</v>
      </c>
      <c r="K217" s="5">
        <v>0</v>
      </c>
      <c r="L217" s="5">
        <v>2</v>
      </c>
      <c r="M217" s="5">
        <v>0.50793650793650702</v>
      </c>
      <c r="N217" s="5">
        <v>64</v>
      </c>
      <c r="O217" s="5">
        <v>126</v>
      </c>
      <c r="P217" s="5">
        <v>1</v>
      </c>
      <c r="Q217" s="5" t="s">
        <v>2052</v>
      </c>
      <c r="R217" s="5">
        <v>21</v>
      </c>
      <c r="S217" s="5">
        <v>21</v>
      </c>
      <c r="T217" s="5">
        <v>0</v>
      </c>
      <c r="U217" s="5">
        <v>0</v>
      </c>
    </row>
    <row r="218" spans="1:21" x14ac:dyDescent="0.25">
      <c r="A218" t="s">
        <v>2055</v>
      </c>
      <c r="B218" s="5">
        <v>168</v>
      </c>
      <c r="C218" s="5">
        <v>115</v>
      </c>
      <c r="D218" s="5">
        <v>0.68452380952380898</v>
      </c>
      <c r="E218" s="5">
        <v>0.41071428571428498</v>
      </c>
      <c r="F218" s="5">
        <v>0.860869565217391</v>
      </c>
      <c r="G218" s="5">
        <v>0.82425013505341804</v>
      </c>
      <c r="H218" s="5">
        <v>1.7857142857142801E-2</v>
      </c>
      <c r="I218" s="5">
        <v>2.9761904761904701E-2</v>
      </c>
      <c r="J218" s="5">
        <v>3</v>
      </c>
      <c r="K218" s="5">
        <v>5</v>
      </c>
      <c r="L218" s="5">
        <v>4</v>
      </c>
      <c r="M218" s="5">
        <v>0.46153846153846101</v>
      </c>
      <c r="N218" s="5">
        <v>78</v>
      </c>
      <c r="O218" s="5">
        <v>169</v>
      </c>
      <c r="P218" s="5">
        <v>11</v>
      </c>
      <c r="Q218" s="5">
        <v>15.272727272727201</v>
      </c>
      <c r="R218" s="5">
        <v>1.63636363636363</v>
      </c>
      <c r="S218" s="5">
        <v>18</v>
      </c>
      <c r="T218" s="5">
        <v>0</v>
      </c>
      <c r="U218" s="5">
        <v>0</v>
      </c>
    </row>
    <row r="219" spans="1:21" x14ac:dyDescent="0.25">
      <c r="A219" t="s">
        <v>2063</v>
      </c>
      <c r="B219" s="5">
        <v>73</v>
      </c>
      <c r="C219" s="5">
        <v>56</v>
      </c>
      <c r="D219" s="5">
        <v>0.76712328767123195</v>
      </c>
      <c r="E219" s="5">
        <v>0.32876712328767099</v>
      </c>
      <c r="F219" s="5">
        <v>0.875</v>
      </c>
      <c r="G219" s="5">
        <v>0.82005199302016396</v>
      </c>
      <c r="H219" s="5">
        <v>0</v>
      </c>
      <c r="I219" s="5">
        <v>0</v>
      </c>
      <c r="J219" s="5">
        <v>0</v>
      </c>
      <c r="K219" s="5">
        <v>0</v>
      </c>
      <c r="L219" s="5">
        <v>4</v>
      </c>
      <c r="M219" s="5">
        <v>0.68493150684931503</v>
      </c>
      <c r="N219" s="5">
        <v>50</v>
      </c>
      <c r="O219" s="5">
        <v>73</v>
      </c>
      <c r="P219" s="5">
        <v>9</v>
      </c>
      <c r="Q219" s="5">
        <v>8.1111111111111107</v>
      </c>
      <c r="R219" s="5">
        <v>0.88888888888888795</v>
      </c>
      <c r="S219" s="5">
        <v>8</v>
      </c>
      <c r="T219" s="5">
        <v>0</v>
      </c>
      <c r="U219" s="5">
        <v>0</v>
      </c>
    </row>
    <row r="220" spans="1:21" x14ac:dyDescent="0.25">
      <c r="A220" t="s">
        <v>2070</v>
      </c>
      <c r="B220" s="5">
        <v>202</v>
      </c>
      <c r="C220" s="5">
        <v>130</v>
      </c>
      <c r="D220" s="5">
        <v>0.64356435643564303</v>
      </c>
      <c r="E220" s="5">
        <v>0.49504950495049499</v>
      </c>
      <c r="F220" s="5">
        <v>0.78461538461538405</v>
      </c>
      <c r="G220" s="5">
        <v>0.85703213948396795</v>
      </c>
      <c r="H220" s="5">
        <v>0</v>
      </c>
      <c r="I220" s="5">
        <v>4.9504950495049497E-3</v>
      </c>
      <c r="J220" s="5">
        <v>0</v>
      </c>
      <c r="K220" s="5">
        <v>1</v>
      </c>
      <c r="L220" s="5">
        <v>2</v>
      </c>
      <c r="M220" s="5">
        <v>0.58910891089108897</v>
      </c>
      <c r="N220" s="5">
        <v>119</v>
      </c>
      <c r="O220" s="5">
        <v>202</v>
      </c>
      <c r="P220" s="5">
        <v>9</v>
      </c>
      <c r="Q220" s="5">
        <v>22.4444444444444</v>
      </c>
      <c r="R220" s="5">
        <v>2.6666666666666599</v>
      </c>
      <c r="S220" s="5">
        <v>24</v>
      </c>
      <c r="T220" s="5">
        <v>0</v>
      </c>
      <c r="U220" s="5">
        <v>0</v>
      </c>
    </row>
    <row r="221" spans="1:21" x14ac:dyDescent="0.25">
      <c r="A221" t="s">
        <v>2079</v>
      </c>
      <c r="B221" s="5">
        <v>117</v>
      </c>
      <c r="C221" s="5">
        <v>85</v>
      </c>
      <c r="D221" s="5">
        <v>0.72649572649572602</v>
      </c>
      <c r="E221" s="5">
        <v>0.41880341880341798</v>
      </c>
      <c r="F221" s="5">
        <v>0.8</v>
      </c>
      <c r="G221" s="5">
        <v>0.860537146880612</v>
      </c>
      <c r="H221" s="5">
        <v>1.7094017094016999E-2</v>
      </c>
      <c r="I221" s="5">
        <v>8.5470085470085392E-3</v>
      </c>
      <c r="J221" s="5">
        <v>2</v>
      </c>
      <c r="K221" s="5">
        <v>1</v>
      </c>
      <c r="L221" s="5">
        <v>2</v>
      </c>
      <c r="M221" s="5">
        <v>0.56410256410256399</v>
      </c>
      <c r="N221" s="5">
        <v>66</v>
      </c>
      <c r="O221" s="5">
        <v>117</v>
      </c>
      <c r="P221" s="5">
        <v>15</v>
      </c>
      <c r="Q221" s="5">
        <v>7.8</v>
      </c>
      <c r="R221" s="5">
        <v>1.06666666666666</v>
      </c>
      <c r="S221" s="5">
        <v>16</v>
      </c>
      <c r="T221" s="5">
        <v>0</v>
      </c>
      <c r="U221" s="5">
        <v>0</v>
      </c>
    </row>
    <row r="222" spans="1:21" x14ac:dyDescent="0.25">
      <c r="A222" t="s">
        <v>2089</v>
      </c>
      <c r="B222" s="5">
        <v>101</v>
      </c>
      <c r="C222" s="5">
        <v>76</v>
      </c>
      <c r="D222" s="5">
        <v>0.75247524752475203</v>
      </c>
      <c r="E222" s="5">
        <v>0.37623762376237602</v>
      </c>
      <c r="F222" s="5">
        <v>0.82894736842105199</v>
      </c>
      <c r="G222" s="5">
        <v>0.860642237587948</v>
      </c>
      <c r="H222" s="5">
        <v>2.9702970297029702E-2</v>
      </c>
      <c r="I222" s="5">
        <v>2.9702970297029702E-2</v>
      </c>
      <c r="J222" s="5">
        <v>3</v>
      </c>
      <c r="K222" s="5">
        <v>3</v>
      </c>
      <c r="L222" s="5">
        <v>3</v>
      </c>
      <c r="M222" s="5">
        <v>0.57425742574257399</v>
      </c>
      <c r="N222" s="5">
        <v>58</v>
      </c>
      <c r="O222" s="5">
        <v>101</v>
      </c>
      <c r="P222" s="5">
        <v>9</v>
      </c>
      <c r="Q222" s="5">
        <v>11.2222222222222</v>
      </c>
      <c r="R222" s="5">
        <v>1.3333333333333299</v>
      </c>
      <c r="S222" s="5">
        <v>12</v>
      </c>
      <c r="T222" s="5">
        <v>0</v>
      </c>
      <c r="U222" s="5">
        <v>0</v>
      </c>
    </row>
    <row r="223" spans="1:21" x14ac:dyDescent="0.25">
      <c r="A223" t="s">
        <v>2098</v>
      </c>
      <c r="B223" s="5">
        <v>137</v>
      </c>
      <c r="C223" s="5">
        <v>89</v>
      </c>
      <c r="D223" s="5">
        <v>0.64963503649635002</v>
      </c>
      <c r="E223" s="5">
        <v>0.53284671532846695</v>
      </c>
      <c r="F223" s="5">
        <v>0.71910112359550504</v>
      </c>
      <c r="G223" s="5">
        <v>0.83276300165931705</v>
      </c>
      <c r="H223" s="5">
        <v>7.2992700729926996E-3</v>
      </c>
      <c r="I223" s="5">
        <v>0</v>
      </c>
      <c r="J223" s="5">
        <v>1</v>
      </c>
      <c r="K223" s="5">
        <v>0</v>
      </c>
      <c r="L223" s="5">
        <v>3</v>
      </c>
      <c r="M223" s="5">
        <v>0.61870503597122295</v>
      </c>
      <c r="N223" s="5">
        <v>86</v>
      </c>
      <c r="O223" s="5">
        <v>139</v>
      </c>
      <c r="P223" s="5">
        <v>9</v>
      </c>
      <c r="Q223" s="5">
        <v>15.2222222222222</v>
      </c>
      <c r="R223" s="5">
        <v>1.88888888888888</v>
      </c>
      <c r="S223" s="5">
        <v>17</v>
      </c>
      <c r="T223" s="5">
        <v>0</v>
      </c>
      <c r="U223" s="5">
        <v>0</v>
      </c>
    </row>
    <row r="224" spans="1:21" x14ac:dyDescent="0.25">
      <c r="A224" t="s">
        <v>2107</v>
      </c>
      <c r="B224" s="5">
        <v>197</v>
      </c>
      <c r="C224" s="5">
        <v>135</v>
      </c>
      <c r="D224" s="5">
        <v>0.68527918781725805</v>
      </c>
      <c r="E224" s="5">
        <v>0.44670050761421298</v>
      </c>
      <c r="F224" s="5">
        <v>0.80740740740740702</v>
      </c>
      <c r="G224" s="5">
        <v>0.87489484143389995</v>
      </c>
      <c r="H224" s="5">
        <v>5.0761421319796898E-3</v>
      </c>
      <c r="I224" s="5">
        <v>1.01522842639593E-2</v>
      </c>
      <c r="J224" s="5">
        <v>1</v>
      </c>
      <c r="K224" s="5">
        <v>2</v>
      </c>
      <c r="L224" s="5">
        <v>3</v>
      </c>
      <c r="M224" s="5">
        <v>0.53571428571428503</v>
      </c>
      <c r="N224" s="5">
        <v>105</v>
      </c>
      <c r="O224" s="5">
        <v>196</v>
      </c>
      <c r="P224" s="5">
        <v>11</v>
      </c>
      <c r="Q224" s="5">
        <v>17.909090909090899</v>
      </c>
      <c r="R224" s="5">
        <v>2.3636363636363602</v>
      </c>
      <c r="S224" s="5">
        <v>26</v>
      </c>
      <c r="T224" s="5">
        <v>0</v>
      </c>
      <c r="U224" s="5">
        <v>0</v>
      </c>
    </row>
    <row r="225" spans="1:21" x14ac:dyDescent="0.25">
      <c r="A225" t="s">
        <v>2118</v>
      </c>
      <c r="B225" s="5">
        <v>147</v>
      </c>
      <c r="C225" s="5">
        <v>105</v>
      </c>
      <c r="D225" s="5">
        <v>0.71428571428571397</v>
      </c>
      <c r="E225" s="5">
        <v>0.41496598639455701</v>
      </c>
      <c r="F225" s="5">
        <v>0.81904761904761902</v>
      </c>
      <c r="G225" s="5">
        <v>0.85931367640092204</v>
      </c>
      <c r="H225" s="5">
        <v>6.8027210884353704E-3</v>
      </c>
      <c r="I225" s="5">
        <v>0</v>
      </c>
      <c r="J225" s="5">
        <v>1</v>
      </c>
      <c r="K225" s="5">
        <v>0</v>
      </c>
      <c r="L225" s="5">
        <v>2</v>
      </c>
      <c r="M225" s="5">
        <v>0.49324324324324298</v>
      </c>
      <c r="N225" s="5">
        <v>73</v>
      </c>
      <c r="O225" s="5">
        <v>148</v>
      </c>
      <c r="P225" s="5">
        <v>12</v>
      </c>
      <c r="Q225" s="5">
        <v>12.25</v>
      </c>
      <c r="R225" s="5">
        <v>1.75</v>
      </c>
      <c r="S225" s="5">
        <v>21</v>
      </c>
      <c r="T225" s="5">
        <v>0</v>
      </c>
      <c r="U225" s="5">
        <v>0</v>
      </c>
    </row>
    <row r="226" spans="1:21" x14ac:dyDescent="0.25">
      <c r="A226" t="s">
        <v>2125</v>
      </c>
      <c r="B226" s="5">
        <v>149</v>
      </c>
      <c r="C226" s="5">
        <v>116</v>
      </c>
      <c r="D226" s="5">
        <v>0.778523489932885</v>
      </c>
      <c r="E226" s="5">
        <v>0.322147651006711</v>
      </c>
      <c r="F226" s="5">
        <v>0.87068965517241304</v>
      </c>
      <c r="G226" s="5">
        <v>0.89143819415493097</v>
      </c>
      <c r="H226" s="5">
        <v>1.34228187919463E-2</v>
      </c>
      <c r="I226" s="5">
        <v>0</v>
      </c>
      <c r="J226" s="5">
        <v>2</v>
      </c>
      <c r="K226" s="5">
        <v>0</v>
      </c>
      <c r="L226" s="5">
        <v>2</v>
      </c>
      <c r="M226" s="5">
        <v>0.63087248322147604</v>
      </c>
      <c r="N226" s="5">
        <v>94</v>
      </c>
      <c r="O226" s="5">
        <v>149</v>
      </c>
      <c r="P226" s="5">
        <v>13</v>
      </c>
      <c r="Q226" s="5">
        <v>11.4615384615384</v>
      </c>
      <c r="R226" s="5">
        <v>0.61538461538461497</v>
      </c>
      <c r="S226" s="5">
        <v>8</v>
      </c>
      <c r="T226" s="5">
        <v>0</v>
      </c>
      <c r="U226" s="5">
        <v>0</v>
      </c>
    </row>
    <row r="227" spans="1:21" x14ac:dyDescent="0.25">
      <c r="A227" t="s">
        <v>2133</v>
      </c>
      <c r="B227" s="5">
        <v>188</v>
      </c>
      <c r="C227" s="5">
        <v>126</v>
      </c>
      <c r="D227" s="5">
        <v>0.67021276595744605</v>
      </c>
      <c r="E227" s="5">
        <v>0.489361702127659</v>
      </c>
      <c r="F227" s="5">
        <v>0.76190476190476097</v>
      </c>
      <c r="G227" s="5">
        <v>0.86137127160659799</v>
      </c>
      <c r="H227" s="5">
        <v>5.31914893617021E-3</v>
      </c>
      <c r="I227" s="5">
        <v>5.31914893617021E-3</v>
      </c>
      <c r="J227" s="5">
        <v>1</v>
      </c>
      <c r="K227" s="5">
        <v>1</v>
      </c>
      <c r="L227" s="5">
        <v>3</v>
      </c>
      <c r="M227" s="5">
        <v>0.54255319148936099</v>
      </c>
      <c r="N227" s="5">
        <v>102</v>
      </c>
      <c r="O227" s="5">
        <v>188</v>
      </c>
      <c r="P227" s="5">
        <v>7</v>
      </c>
      <c r="Q227" s="5">
        <v>26.857142857142801</v>
      </c>
      <c r="R227" s="5">
        <v>3</v>
      </c>
      <c r="S227" s="5">
        <v>21</v>
      </c>
      <c r="T227" s="5">
        <v>0</v>
      </c>
      <c r="U227" s="5">
        <v>0</v>
      </c>
    </row>
    <row r="228" spans="1:21" x14ac:dyDescent="0.25">
      <c r="A228" t="s">
        <v>2142</v>
      </c>
      <c r="B228" s="5">
        <v>115</v>
      </c>
      <c r="C228" s="5">
        <v>87</v>
      </c>
      <c r="D228" s="5">
        <v>0.75652173913043397</v>
      </c>
      <c r="E228" s="5">
        <v>0.36521739130434699</v>
      </c>
      <c r="F228" s="5">
        <v>0.83908045977011403</v>
      </c>
      <c r="G228" s="5">
        <v>0.86583945870773704</v>
      </c>
      <c r="H228" s="5">
        <v>8.6956521739130401E-3</v>
      </c>
      <c r="I228" s="5">
        <v>8.6956521739130401E-3</v>
      </c>
      <c r="J228" s="5">
        <v>1</v>
      </c>
      <c r="K228" s="5">
        <v>1</v>
      </c>
      <c r="L228" s="5">
        <v>0</v>
      </c>
      <c r="M228" s="5">
        <v>0.63478260869565195</v>
      </c>
      <c r="N228" s="5">
        <v>73</v>
      </c>
      <c r="O228" s="5">
        <v>115</v>
      </c>
      <c r="P228" s="5">
        <v>6</v>
      </c>
      <c r="Q228" s="5">
        <v>19.1666666666666</v>
      </c>
      <c r="R228" s="5">
        <v>1.6666666666666601</v>
      </c>
      <c r="S228" s="5">
        <v>10</v>
      </c>
      <c r="T228" s="5">
        <v>0</v>
      </c>
      <c r="U228" s="5">
        <v>0</v>
      </c>
    </row>
    <row r="229" spans="1:21" x14ac:dyDescent="0.25">
      <c r="A229" t="s">
        <v>2149</v>
      </c>
      <c r="B229" s="5">
        <v>135</v>
      </c>
      <c r="C229" s="5">
        <v>99</v>
      </c>
      <c r="D229" s="5">
        <v>0.73333333333333295</v>
      </c>
      <c r="E229" s="5">
        <v>0.36296296296296299</v>
      </c>
      <c r="F229" s="5">
        <v>0.86868686868686795</v>
      </c>
      <c r="G229" s="5">
        <v>0.838534538102367</v>
      </c>
      <c r="H229" s="5">
        <v>7.4074074074073999E-3</v>
      </c>
      <c r="I229" s="5">
        <v>0</v>
      </c>
      <c r="J229" s="5">
        <v>1</v>
      </c>
      <c r="K229" s="5">
        <v>0</v>
      </c>
      <c r="L229" s="5">
        <v>4</v>
      </c>
      <c r="M229" s="5">
        <v>0.74074074074074003</v>
      </c>
      <c r="N229" s="5">
        <v>100</v>
      </c>
      <c r="O229" s="5">
        <v>135</v>
      </c>
      <c r="P229" s="5">
        <v>4</v>
      </c>
      <c r="Q229" s="5">
        <v>33.75</v>
      </c>
      <c r="R229" s="5">
        <v>2.75</v>
      </c>
      <c r="S229" s="5">
        <v>11</v>
      </c>
      <c r="T229" s="5">
        <v>0</v>
      </c>
      <c r="U229" s="5">
        <v>0</v>
      </c>
    </row>
    <row r="230" spans="1:21" x14ac:dyDescent="0.25">
      <c r="A230" t="s">
        <v>2157</v>
      </c>
      <c r="B230" s="5">
        <v>182</v>
      </c>
      <c r="C230" s="5">
        <v>116</v>
      </c>
      <c r="D230" s="5">
        <v>0.63736263736263699</v>
      </c>
      <c r="E230" s="5">
        <v>0.53296703296703296</v>
      </c>
      <c r="F230" s="5">
        <v>0.73275862068965503</v>
      </c>
      <c r="G230" s="5">
        <v>0.84709978232249805</v>
      </c>
      <c r="H230" s="5">
        <v>3.8461538461538401E-2</v>
      </c>
      <c r="I230" s="5">
        <v>3.2967032967032898E-2</v>
      </c>
      <c r="J230" s="5">
        <v>7</v>
      </c>
      <c r="K230" s="5">
        <v>6</v>
      </c>
      <c r="L230" s="5">
        <v>5</v>
      </c>
      <c r="M230" s="5">
        <v>0.475138121546961</v>
      </c>
      <c r="N230" s="5">
        <v>86</v>
      </c>
      <c r="O230" s="5">
        <v>181</v>
      </c>
      <c r="P230" s="5">
        <v>5</v>
      </c>
      <c r="Q230" s="5">
        <v>36.4</v>
      </c>
      <c r="R230" s="5">
        <v>4.5999999999999996</v>
      </c>
      <c r="S230" s="5">
        <v>23</v>
      </c>
      <c r="T230" s="5">
        <v>0</v>
      </c>
      <c r="U230" s="5">
        <v>0</v>
      </c>
    </row>
    <row r="231" spans="1:21" x14ac:dyDescent="0.25">
      <c r="A231" t="s">
        <v>2167</v>
      </c>
      <c r="B231" s="5">
        <v>163</v>
      </c>
      <c r="C231" s="5">
        <v>101</v>
      </c>
      <c r="D231" s="5">
        <v>0.61963190184049</v>
      </c>
      <c r="E231" s="5">
        <v>0.53987730061349604</v>
      </c>
      <c r="F231" s="5">
        <v>0.74257425742574201</v>
      </c>
      <c r="G231" s="5">
        <v>0.81079087281768802</v>
      </c>
      <c r="H231" s="5">
        <v>6.13496932515337E-3</v>
      </c>
      <c r="I231" s="5">
        <v>1.22699386503067E-2</v>
      </c>
      <c r="J231" s="5">
        <v>1</v>
      </c>
      <c r="K231" s="5">
        <v>2</v>
      </c>
      <c r="L231" s="5">
        <v>3</v>
      </c>
      <c r="M231" s="5">
        <v>0.57668711656441696</v>
      </c>
      <c r="N231" s="5">
        <v>94</v>
      </c>
      <c r="O231" s="5">
        <v>163</v>
      </c>
      <c r="P231" s="5">
        <v>6</v>
      </c>
      <c r="Q231" s="5">
        <v>27.1666666666666</v>
      </c>
      <c r="R231" s="5">
        <v>4.1666666666666599</v>
      </c>
      <c r="S231" s="5">
        <v>25</v>
      </c>
      <c r="T231" s="5">
        <v>0</v>
      </c>
      <c r="U231" s="5">
        <v>0</v>
      </c>
    </row>
    <row r="232" spans="1:21" x14ac:dyDescent="0.25">
      <c r="A232" t="s">
        <v>2175</v>
      </c>
      <c r="B232" s="5">
        <v>110</v>
      </c>
      <c r="C232" s="5">
        <v>93</v>
      </c>
      <c r="D232" s="5">
        <v>0.84545454545454501</v>
      </c>
      <c r="E232" s="5">
        <v>0.27272727272727199</v>
      </c>
      <c r="F232" s="5">
        <v>0.86021505376343999</v>
      </c>
      <c r="G232" s="5">
        <v>0.93325610848546703</v>
      </c>
      <c r="H232" s="5">
        <v>9.0909090909090905E-3</v>
      </c>
      <c r="I232" s="5">
        <v>1.8181818181818101E-2</v>
      </c>
      <c r="J232" s="5">
        <v>1</v>
      </c>
      <c r="K232" s="5">
        <v>2</v>
      </c>
      <c r="L232" s="5">
        <v>2</v>
      </c>
      <c r="M232" s="5">
        <v>0.60909090909090902</v>
      </c>
      <c r="N232" s="5">
        <v>67</v>
      </c>
      <c r="O232" s="5">
        <v>110</v>
      </c>
      <c r="P232" s="5">
        <v>8</v>
      </c>
      <c r="Q232" s="5">
        <v>13.75</v>
      </c>
      <c r="R232" s="5">
        <v>1.25</v>
      </c>
      <c r="S232" s="5">
        <v>10</v>
      </c>
      <c r="T232" s="5">
        <v>0</v>
      </c>
      <c r="U232" s="5">
        <v>0</v>
      </c>
    </row>
    <row r="233" spans="1:21" x14ac:dyDescent="0.25">
      <c r="A233" t="s">
        <v>2185</v>
      </c>
      <c r="B233" s="5">
        <v>166</v>
      </c>
      <c r="C233" s="5">
        <v>126</v>
      </c>
      <c r="D233" s="5">
        <v>0.75903614457831303</v>
      </c>
      <c r="E233" s="5">
        <v>0.38554216867469798</v>
      </c>
      <c r="F233" s="5">
        <v>0.80952380952380898</v>
      </c>
      <c r="G233" s="5">
        <v>0.91475057238725599</v>
      </c>
      <c r="H233" s="5">
        <v>2.40963855421686E-2</v>
      </c>
      <c r="I233" s="5">
        <v>2.40963855421686E-2</v>
      </c>
      <c r="J233" s="5">
        <v>4</v>
      </c>
      <c r="K233" s="5">
        <v>4</v>
      </c>
      <c r="L233" s="5">
        <v>1</v>
      </c>
      <c r="M233" s="5">
        <v>0.57831325301204795</v>
      </c>
      <c r="N233" s="5">
        <v>96</v>
      </c>
      <c r="O233" s="5">
        <v>166</v>
      </c>
      <c r="P233" s="5">
        <v>17</v>
      </c>
      <c r="Q233" s="5">
        <v>9.7647058823529402</v>
      </c>
      <c r="R233" s="5">
        <v>0.76470588235294101</v>
      </c>
      <c r="S233" s="5">
        <v>13</v>
      </c>
      <c r="T233" s="5">
        <v>0</v>
      </c>
      <c r="U233" s="5">
        <v>0</v>
      </c>
    </row>
    <row r="234" spans="1:21" x14ac:dyDescent="0.25">
      <c r="A234" t="s">
        <v>2192</v>
      </c>
      <c r="B234" s="5">
        <v>158</v>
      </c>
      <c r="C234" s="5">
        <v>111</v>
      </c>
      <c r="D234" s="5">
        <v>0.70253164556962</v>
      </c>
      <c r="E234" s="5">
        <v>0.398734177215189</v>
      </c>
      <c r="F234" s="5">
        <v>0.855855855855855</v>
      </c>
      <c r="G234" s="5">
        <v>0.84757636635317901</v>
      </c>
      <c r="H234" s="5">
        <v>1.8987341772151899E-2</v>
      </c>
      <c r="I234" s="5">
        <v>6.3291139240506306E-2</v>
      </c>
      <c r="J234" s="5">
        <v>3</v>
      </c>
      <c r="K234" s="5">
        <v>10</v>
      </c>
      <c r="L234" s="5">
        <v>4</v>
      </c>
      <c r="M234" s="5">
        <v>0.5</v>
      </c>
      <c r="N234" s="5">
        <v>79</v>
      </c>
      <c r="O234" s="5">
        <v>158</v>
      </c>
      <c r="P234" s="5">
        <v>22</v>
      </c>
      <c r="Q234" s="5">
        <v>7.1818181818181799</v>
      </c>
      <c r="R234" s="5">
        <v>0.81818181818181801</v>
      </c>
      <c r="S234" s="5">
        <v>18</v>
      </c>
      <c r="T234" s="5">
        <v>0</v>
      </c>
      <c r="U234" s="5">
        <v>0</v>
      </c>
    </row>
    <row r="235" spans="1:21" x14ac:dyDescent="0.25">
      <c r="A235" t="s">
        <v>2201</v>
      </c>
      <c r="B235" s="5">
        <v>153</v>
      </c>
      <c r="C235" s="5">
        <v>113</v>
      </c>
      <c r="D235" s="5">
        <v>0.73856209150326801</v>
      </c>
      <c r="E235" s="5">
        <v>0.37908496732026098</v>
      </c>
      <c r="F235" s="5">
        <v>0.840707964601769</v>
      </c>
      <c r="G235" s="5">
        <v>0.88141327328619701</v>
      </c>
      <c r="H235" s="5">
        <v>3.2679738562091498E-2</v>
      </c>
      <c r="I235" s="5">
        <v>2.61437908496732E-2</v>
      </c>
      <c r="J235" s="5">
        <v>5</v>
      </c>
      <c r="K235" s="5">
        <v>4</v>
      </c>
      <c r="L235" s="5">
        <v>5</v>
      </c>
      <c r="M235" s="5">
        <v>0.57792207792207795</v>
      </c>
      <c r="N235" s="5">
        <v>89</v>
      </c>
      <c r="O235" s="5">
        <v>154</v>
      </c>
      <c r="P235" s="5">
        <v>13</v>
      </c>
      <c r="Q235" s="5">
        <v>11.769230769230701</v>
      </c>
      <c r="R235" s="5">
        <v>0.92307692307692302</v>
      </c>
      <c r="S235" s="5">
        <v>12</v>
      </c>
      <c r="T235" s="5">
        <v>0</v>
      </c>
      <c r="U235" s="5">
        <v>0</v>
      </c>
    </row>
    <row r="236" spans="1:21" x14ac:dyDescent="0.25">
      <c r="A236" t="s">
        <v>2210</v>
      </c>
      <c r="B236" s="5">
        <v>176</v>
      </c>
      <c r="C236" s="5">
        <v>118</v>
      </c>
      <c r="D236" s="5">
        <v>0.67045454545454497</v>
      </c>
      <c r="E236" s="5">
        <v>0.48863636363636298</v>
      </c>
      <c r="F236" s="5">
        <v>0.76271186440677896</v>
      </c>
      <c r="G236" s="5">
        <v>0.86332919286052101</v>
      </c>
      <c r="H236" s="5">
        <v>5.6818181818181802E-3</v>
      </c>
      <c r="I236" s="5">
        <v>0</v>
      </c>
      <c r="J236" s="5">
        <v>1</v>
      </c>
      <c r="K236" s="5">
        <v>0</v>
      </c>
      <c r="L236" s="5">
        <v>2</v>
      </c>
      <c r="M236" s="5">
        <v>0.52840909090909005</v>
      </c>
      <c r="N236" s="5">
        <v>93</v>
      </c>
      <c r="O236" s="5">
        <v>176</v>
      </c>
      <c r="P236" s="5">
        <v>11</v>
      </c>
      <c r="Q236" s="5" t="s">
        <v>1686</v>
      </c>
      <c r="R236" s="5">
        <v>1.72727272727272</v>
      </c>
      <c r="S236" s="5">
        <v>19</v>
      </c>
      <c r="T236" s="5">
        <v>0</v>
      </c>
      <c r="U236" s="5">
        <v>0</v>
      </c>
    </row>
    <row r="237" spans="1:21" x14ac:dyDescent="0.25">
      <c r="A237" t="s">
        <v>2218</v>
      </c>
      <c r="B237" s="5">
        <v>89</v>
      </c>
      <c r="C237" s="5">
        <v>67</v>
      </c>
      <c r="D237" s="5">
        <v>0.75280898876404401</v>
      </c>
      <c r="E237" s="5">
        <v>0.39325842696629199</v>
      </c>
      <c r="F237" s="5">
        <v>0.80597014925373101</v>
      </c>
      <c r="G237" s="5">
        <v>0.85252726875370799</v>
      </c>
      <c r="H237" s="5">
        <v>1.12359550561797E-2</v>
      </c>
      <c r="I237" s="5">
        <v>5.6179775280898799E-2</v>
      </c>
      <c r="J237" s="5">
        <v>1</v>
      </c>
      <c r="K237" s="5">
        <v>5</v>
      </c>
      <c r="L237" s="5">
        <v>2</v>
      </c>
      <c r="M237" s="5">
        <v>0.58426966292134797</v>
      </c>
      <c r="N237" s="5">
        <v>52</v>
      </c>
      <c r="O237" s="5">
        <v>89</v>
      </c>
      <c r="P237" s="5">
        <v>9</v>
      </c>
      <c r="Q237" s="5">
        <v>9.8888888888888893</v>
      </c>
      <c r="R237" s="5">
        <v>1.3333333333333299</v>
      </c>
      <c r="S237" s="5">
        <v>12</v>
      </c>
      <c r="T237" s="5">
        <v>0</v>
      </c>
      <c r="U237" s="5">
        <v>0</v>
      </c>
    </row>
    <row r="238" spans="1:21" x14ac:dyDescent="0.25">
      <c r="A238" t="s">
        <v>2227</v>
      </c>
      <c r="B238" s="5">
        <v>142</v>
      </c>
      <c r="C238" s="5">
        <v>102</v>
      </c>
      <c r="D238" s="5">
        <v>0.71830985915492895</v>
      </c>
      <c r="E238" s="5">
        <v>0.40140845070422498</v>
      </c>
      <c r="F238" s="5">
        <v>0.83333333333333304</v>
      </c>
      <c r="G238" s="5">
        <v>0.856911845585411</v>
      </c>
      <c r="H238" s="5">
        <v>5.6338028169014003E-2</v>
      </c>
      <c r="I238" s="5">
        <v>1.4084507042253501E-2</v>
      </c>
      <c r="J238" s="5">
        <v>8</v>
      </c>
      <c r="K238" s="5">
        <v>2</v>
      </c>
      <c r="L238" s="5">
        <v>3</v>
      </c>
      <c r="M238" s="5">
        <v>0.52112676056338003</v>
      </c>
      <c r="N238" s="5">
        <v>74</v>
      </c>
      <c r="O238" s="5">
        <v>142</v>
      </c>
      <c r="P238" s="5">
        <v>7</v>
      </c>
      <c r="Q238" s="5">
        <v>20.285714285714199</v>
      </c>
      <c r="R238" s="5">
        <v>3.5714285714285698</v>
      </c>
      <c r="S238" s="5">
        <v>25</v>
      </c>
      <c r="T238" s="5">
        <v>0</v>
      </c>
      <c r="U238" s="5">
        <v>0</v>
      </c>
    </row>
    <row r="239" spans="1:21" x14ac:dyDescent="0.25">
      <c r="A239" t="s">
        <v>2233</v>
      </c>
      <c r="B239" s="5">
        <v>186</v>
      </c>
      <c r="C239" s="5">
        <v>122</v>
      </c>
      <c r="D239" s="5">
        <v>0.65591397849462296</v>
      </c>
      <c r="E239" s="5">
        <v>0.483870967741935</v>
      </c>
      <c r="F239" s="5">
        <v>0.786885245901639</v>
      </c>
      <c r="G239" s="5">
        <v>0.853534349478414</v>
      </c>
      <c r="H239" s="5">
        <v>5.3763440860214997E-3</v>
      </c>
      <c r="I239" s="5">
        <v>5.3763440860214997E-3</v>
      </c>
      <c r="J239" s="5">
        <v>1</v>
      </c>
      <c r="K239" s="5">
        <v>1</v>
      </c>
      <c r="L239" s="5">
        <v>3</v>
      </c>
      <c r="M239" s="5">
        <v>0.55913978494623595</v>
      </c>
      <c r="N239" s="5">
        <v>104</v>
      </c>
      <c r="O239" s="5">
        <v>186</v>
      </c>
      <c r="P239" s="5">
        <v>12</v>
      </c>
      <c r="Q239" s="5">
        <v>15.5</v>
      </c>
      <c r="R239" s="5">
        <v>2.5</v>
      </c>
      <c r="S239" s="5">
        <v>30</v>
      </c>
      <c r="T239" s="5">
        <v>1</v>
      </c>
      <c r="U239" s="5">
        <v>0.63362279774826302</v>
      </c>
    </row>
    <row r="240" spans="1:21" x14ac:dyDescent="0.25">
      <c r="A240" t="s">
        <v>2242</v>
      </c>
      <c r="B240" s="5">
        <v>183</v>
      </c>
      <c r="C240" s="5">
        <v>124</v>
      </c>
      <c r="D240" s="5">
        <v>0.67759562841529997</v>
      </c>
      <c r="E240" s="5">
        <v>0.48087431693989002</v>
      </c>
      <c r="F240" s="5">
        <v>0.76612903225806395</v>
      </c>
      <c r="G240" s="5">
        <v>0.88106302108624301</v>
      </c>
      <c r="H240" s="5">
        <v>2.7322404371584699E-2</v>
      </c>
      <c r="I240" s="5">
        <v>5.4644808743169399E-3</v>
      </c>
      <c r="J240" s="5">
        <v>5</v>
      </c>
      <c r="K240" s="5">
        <v>1</v>
      </c>
      <c r="L240" s="5">
        <v>4</v>
      </c>
      <c r="M240" s="5">
        <v>0.56521739130434701</v>
      </c>
      <c r="N240" s="5">
        <v>104</v>
      </c>
      <c r="O240" s="5">
        <v>184</v>
      </c>
      <c r="P240" s="5">
        <v>6</v>
      </c>
      <c r="Q240" s="5">
        <v>30.5</v>
      </c>
      <c r="R240" s="5">
        <v>4</v>
      </c>
      <c r="S240" s="5">
        <v>24</v>
      </c>
      <c r="T240" s="5">
        <v>0</v>
      </c>
      <c r="U240" s="5">
        <v>0</v>
      </c>
    </row>
    <row r="241" spans="1:21" x14ac:dyDescent="0.25">
      <c r="A241" t="s">
        <v>2252</v>
      </c>
      <c r="B241" s="5">
        <v>244</v>
      </c>
      <c r="C241" s="5">
        <v>158</v>
      </c>
      <c r="D241" s="5">
        <v>0.64754098360655699</v>
      </c>
      <c r="E241" s="5">
        <v>0.52868852459016302</v>
      </c>
      <c r="F241" s="5">
        <v>0.727848101265822</v>
      </c>
      <c r="G241" s="5">
        <v>0.887263816167011</v>
      </c>
      <c r="H241" s="5">
        <v>2.86885245901639E-2</v>
      </c>
      <c r="I241" s="5">
        <v>1.63934426229508E-2</v>
      </c>
      <c r="J241" s="5">
        <v>7</v>
      </c>
      <c r="K241" s="5">
        <v>4</v>
      </c>
      <c r="L241" s="5">
        <v>3</v>
      </c>
      <c r="M241" s="5">
        <v>0.52226720647773195</v>
      </c>
      <c r="N241" s="5">
        <v>129</v>
      </c>
      <c r="O241" s="5">
        <v>247</v>
      </c>
      <c r="P241" s="5">
        <v>14</v>
      </c>
      <c r="Q241" s="5">
        <v>17.428571428571399</v>
      </c>
      <c r="R241" s="5">
        <v>2.6428571428571401</v>
      </c>
      <c r="S241" s="5">
        <v>37</v>
      </c>
      <c r="T241" s="5">
        <v>0</v>
      </c>
      <c r="U241" s="5">
        <v>0</v>
      </c>
    </row>
    <row r="242" spans="1:21" x14ac:dyDescent="0.25">
      <c r="A242" t="s">
        <v>2262</v>
      </c>
      <c r="B242" s="5">
        <v>207</v>
      </c>
      <c r="C242" s="5">
        <v>127</v>
      </c>
      <c r="D242" s="5">
        <v>0.61352657004830902</v>
      </c>
      <c r="E242" s="5">
        <v>0.56521739130434701</v>
      </c>
      <c r="F242" s="5">
        <v>0.70866141732283405</v>
      </c>
      <c r="G242" s="5">
        <v>0.84711055099767096</v>
      </c>
      <c r="H242" s="5">
        <v>1.4492753623188401E-2</v>
      </c>
      <c r="I242" s="5">
        <v>1.4492753623188401E-2</v>
      </c>
      <c r="J242" s="5">
        <v>3</v>
      </c>
      <c r="K242" s="5">
        <v>3</v>
      </c>
      <c r="L242" s="5">
        <v>4</v>
      </c>
      <c r="M242" s="5">
        <v>0.541062801932367</v>
      </c>
      <c r="N242" s="5">
        <v>112</v>
      </c>
      <c r="O242" s="5">
        <v>207</v>
      </c>
      <c r="P242" s="5">
        <v>21</v>
      </c>
      <c r="Q242" s="5">
        <v>9.8571428571428505</v>
      </c>
      <c r="R242" s="5">
        <v>1.1428571428571399</v>
      </c>
      <c r="S242" s="5">
        <v>24</v>
      </c>
      <c r="T242" s="5">
        <v>0</v>
      </c>
      <c r="U242" s="5">
        <v>0</v>
      </c>
    </row>
    <row r="243" spans="1:21" x14ac:dyDescent="0.25">
      <c r="A243" t="s">
        <v>2268</v>
      </c>
      <c r="B243" s="5">
        <v>181</v>
      </c>
      <c r="C243" s="5">
        <v>113</v>
      </c>
      <c r="D243" s="5">
        <v>0.624309392265193</v>
      </c>
      <c r="E243" s="5">
        <v>0.524861878453038</v>
      </c>
      <c r="F243" s="5">
        <v>0.76106194690265405</v>
      </c>
      <c r="G243" s="5">
        <v>0.81322755554048398</v>
      </c>
      <c r="H243" s="5">
        <v>2.7624309392265099E-2</v>
      </c>
      <c r="I243" s="5">
        <v>1.6574585635359101E-2</v>
      </c>
      <c r="J243" s="5">
        <v>5</v>
      </c>
      <c r="K243" s="5">
        <v>3</v>
      </c>
      <c r="L243" s="5">
        <v>3</v>
      </c>
      <c r="M243" s="5">
        <v>0.50828729281767904</v>
      </c>
      <c r="N243" s="5">
        <v>92</v>
      </c>
      <c r="O243" s="5">
        <v>181</v>
      </c>
      <c r="P243" s="5">
        <v>9</v>
      </c>
      <c r="Q243" s="5">
        <v>20.1111111111111</v>
      </c>
      <c r="R243" s="5">
        <v>2.4444444444444402</v>
      </c>
      <c r="S243" s="5">
        <v>22</v>
      </c>
      <c r="T243" s="5">
        <v>0</v>
      </c>
      <c r="U243" s="5">
        <v>0</v>
      </c>
    </row>
    <row r="244" spans="1:21" x14ac:dyDescent="0.25">
      <c r="A244" t="s">
        <v>2276</v>
      </c>
      <c r="B244" s="5">
        <v>142</v>
      </c>
      <c r="C244" s="5">
        <v>104</v>
      </c>
      <c r="D244" s="5">
        <v>0.73239436619718301</v>
      </c>
      <c r="E244" s="5">
        <v>0.39436619718309801</v>
      </c>
      <c r="F244" s="5">
        <v>0.82692307692307598</v>
      </c>
      <c r="G244" s="5">
        <v>0.86135312918156504</v>
      </c>
      <c r="H244" s="5">
        <v>0</v>
      </c>
      <c r="I244" s="5">
        <v>7.0422535211267599E-3</v>
      </c>
      <c r="J244" s="5">
        <v>0</v>
      </c>
      <c r="K244" s="5">
        <v>1</v>
      </c>
      <c r="L244" s="5">
        <v>2</v>
      </c>
      <c r="M244" s="5">
        <v>0.65492957746478797</v>
      </c>
      <c r="N244" s="5">
        <v>93</v>
      </c>
      <c r="O244" s="5">
        <v>142</v>
      </c>
      <c r="P244" s="5">
        <v>9</v>
      </c>
      <c r="Q244" s="5">
        <v>15.7777777777777</v>
      </c>
      <c r="R244" s="5">
        <v>1.7777777777777699</v>
      </c>
      <c r="S244" s="5">
        <v>16</v>
      </c>
      <c r="T244" s="5">
        <v>0</v>
      </c>
      <c r="U244" s="5">
        <v>0</v>
      </c>
    </row>
    <row r="245" spans="1:21" x14ac:dyDescent="0.25">
      <c r="A245" t="s">
        <v>2284</v>
      </c>
      <c r="B245" s="5">
        <v>147</v>
      </c>
      <c r="C245" s="5">
        <v>115</v>
      </c>
      <c r="D245" s="5">
        <v>0.78231292517006801</v>
      </c>
      <c r="E245" s="5">
        <v>0.33333333333333298</v>
      </c>
      <c r="F245" s="5">
        <v>0.852173913043478</v>
      </c>
      <c r="G245" s="5">
        <v>0.90772924121955301</v>
      </c>
      <c r="H245" s="5">
        <v>6.8027210884353704E-3</v>
      </c>
      <c r="I245" s="5">
        <v>2.7210884353741398E-2</v>
      </c>
      <c r="J245" s="5">
        <v>1</v>
      </c>
      <c r="K245" s="5">
        <v>4</v>
      </c>
      <c r="L245" s="5">
        <v>3</v>
      </c>
      <c r="M245" s="5">
        <v>0.58783783783783705</v>
      </c>
      <c r="N245" s="5">
        <v>87</v>
      </c>
      <c r="O245" s="5">
        <v>148</v>
      </c>
      <c r="P245" s="5">
        <v>6</v>
      </c>
      <c r="Q245" s="5">
        <v>24.5</v>
      </c>
      <c r="R245" s="5">
        <v>2.1666666666666599</v>
      </c>
      <c r="S245" s="5">
        <v>13</v>
      </c>
      <c r="T245" s="5">
        <v>1</v>
      </c>
      <c r="U245" s="5">
        <v>0.632672388397579</v>
      </c>
    </row>
    <row r="246" spans="1:21" x14ac:dyDescent="0.25">
      <c r="A246" t="s">
        <v>2293</v>
      </c>
      <c r="B246" s="5">
        <v>166</v>
      </c>
      <c r="C246" s="5">
        <v>110</v>
      </c>
      <c r="D246" s="5">
        <v>0.66265060240963802</v>
      </c>
      <c r="E246" s="5">
        <v>0.469879518072289</v>
      </c>
      <c r="F246" s="5">
        <v>0.8</v>
      </c>
      <c r="G246" s="5">
        <v>0.84383629103046498</v>
      </c>
      <c r="H246" s="5">
        <v>6.0240963855421603E-3</v>
      </c>
      <c r="I246" s="5">
        <v>0</v>
      </c>
      <c r="J246" s="5">
        <v>1</v>
      </c>
      <c r="K246" s="5">
        <v>0</v>
      </c>
      <c r="L246" s="5">
        <v>4</v>
      </c>
      <c r="M246" s="5">
        <v>0.59036144578313199</v>
      </c>
      <c r="N246" s="5">
        <v>98</v>
      </c>
      <c r="O246" s="5">
        <v>166</v>
      </c>
      <c r="P246" s="5">
        <v>1</v>
      </c>
      <c r="Q246" s="5" t="s">
        <v>2299</v>
      </c>
      <c r="R246" s="5">
        <v>19</v>
      </c>
      <c r="S246" s="5">
        <v>19</v>
      </c>
      <c r="T246" s="5">
        <v>0</v>
      </c>
      <c r="U246" s="5">
        <v>0</v>
      </c>
    </row>
    <row r="247" spans="1:21" x14ac:dyDescent="0.25">
      <c r="A247" t="s">
        <v>2301</v>
      </c>
      <c r="B247" s="5">
        <v>144</v>
      </c>
      <c r="C247" s="5">
        <v>90</v>
      </c>
      <c r="D247" s="5">
        <v>0.625</v>
      </c>
      <c r="E247" s="5">
        <v>0.53472222222222199</v>
      </c>
      <c r="F247" s="5">
        <v>0.74444444444444402</v>
      </c>
      <c r="G247" s="5">
        <v>0.80496658964093204</v>
      </c>
      <c r="H247" s="5">
        <v>2.77777777777777E-2</v>
      </c>
      <c r="I247" s="5">
        <v>1.38888888888888E-2</v>
      </c>
      <c r="J247" s="5">
        <v>4</v>
      </c>
      <c r="K247" s="5">
        <v>2</v>
      </c>
      <c r="L247" s="5">
        <v>4</v>
      </c>
      <c r="M247" s="5">
        <v>0.54861111111111105</v>
      </c>
      <c r="N247" s="5">
        <v>79</v>
      </c>
      <c r="O247" s="5">
        <v>144</v>
      </c>
      <c r="P247" s="5">
        <v>7</v>
      </c>
      <c r="Q247" s="5">
        <v>20.571428571428498</v>
      </c>
      <c r="R247" s="5">
        <v>3.2857142857142798</v>
      </c>
      <c r="S247" s="5">
        <v>23</v>
      </c>
      <c r="T247" s="5">
        <v>0</v>
      </c>
      <c r="U247" s="5">
        <v>0</v>
      </c>
    </row>
    <row r="248" spans="1:21" x14ac:dyDescent="0.25">
      <c r="A248" t="s">
        <v>2307</v>
      </c>
      <c r="B248" s="5">
        <v>191</v>
      </c>
      <c r="C248" s="5">
        <v>134</v>
      </c>
      <c r="D248" s="5">
        <v>0.70157068062827199</v>
      </c>
      <c r="E248" s="5">
        <v>0.46596858638743399</v>
      </c>
      <c r="F248" s="5">
        <v>0.76119402985074602</v>
      </c>
      <c r="G248" s="5">
        <v>0.89838848935172799</v>
      </c>
      <c r="H248" s="5">
        <v>1.04712041884816E-2</v>
      </c>
      <c r="I248" s="5">
        <v>5.2356020942408302E-3</v>
      </c>
      <c r="J248" s="5">
        <v>2</v>
      </c>
      <c r="K248" s="5">
        <v>1</v>
      </c>
      <c r="L248" s="5">
        <v>4</v>
      </c>
      <c r="M248" s="5">
        <v>0.590673575129533</v>
      </c>
      <c r="N248" s="5">
        <v>114</v>
      </c>
      <c r="O248" s="5">
        <v>193</v>
      </c>
      <c r="P248" s="5">
        <v>11</v>
      </c>
      <c r="Q248" s="5">
        <v>17.363636363636299</v>
      </c>
      <c r="R248" s="5">
        <v>2.1818181818181799</v>
      </c>
      <c r="S248" s="5">
        <v>24</v>
      </c>
      <c r="T248" s="5">
        <v>0</v>
      </c>
      <c r="U248" s="5">
        <v>0</v>
      </c>
    </row>
    <row r="249" spans="1:21" x14ac:dyDescent="0.25">
      <c r="A249" t="s">
        <v>2314</v>
      </c>
      <c r="B249" s="5">
        <v>174</v>
      </c>
      <c r="C249" s="5">
        <v>126</v>
      </c>
      <c r="D249" s="5">
        <v>0.72413793103448199</v>
      </c>
      <c r="E249" s="5">
        <v>0.41379310344827502</v>
      </c>
      <c r="F249" s="5">
        <v>0.80952380952380898</v>
      </c>
      <c r="G249" s="5">
        <v>0.89700937460653196</v>
      </c>
      <c r="H249" s="5">
        <v>5.7471264367815996E-3</v>
      </c>
      <c r="I249" s="5">
        <v>1.72413793103448E-2</v>
      </c>
      <c r="J249" s="5">
        <v>1</v>
      </c>
      <c r="K249" s="5">
        <v>3</v>
      </c>
      <c r="L249" s="5">
        <v>3</v>
      </c>
      <c r="M249" s="5">
        <v>0.60451977401129897</v>
      </c>
      <c r="N249" s="5">
        <v>107</v>
      </c>
      <c r="O249" s="5">
        <v>177</v>
      </c>
      <c r="P249" s="5">
        <v>5</v>
      </c>
      <c r="Q249" s="5">
        <v>34.799999999999997</v>
      </c>
      <c r="R249" s="5">
        <v>3.2</v>
      </c>
      <c r="S249" s="5">
        <v>16</v>
      </c>
      <c r="T249" s="5">
        <v>0</v>
      </c>
      <c r="U249" s="5">
        <v>0</v>
      </c>
    </row>
    <row r="250" spans="1:21" x14ac:dyDescent="0.25">
      <c r="A250" t="s">
        <v>2324</v>
      </c>
      <c r="B250" s="5">
        <v>123</v>
      </c>
      <c r="C250" s="5">
        <v>98</v>
      </c>
      <c r="D250" s="5">
        <v>0.79674796747967402</v>
      </c>
      <c r="E250" s="5">
        <v>0.30894308943089399</v>
      </c>
      <c r="F250" s="5">
        <v>0.86734693877550995</v>
      </c>
      <c r="G250" s="5">
        <v>0.887720646420459</v>
      </c>
      <c r="H250" s="5">
        <v>0</v>
      </c>
      <c r="I250" s="5">
        <v>1.6260162601626001E-2</v>
      </c>
      <c r="J250" s="5">
        <v>0</v>
      </c>
      <c r="K250" s="5">
        <v>2</v>
      </c>
      <c r="L250" s="5">
        <v>2</v>
      </c>
      <c r="M250" s="5">
        <v>0.6</v>
      </c>
      <c r="N250" s="5">
        <v>75</v>
      </c>
      <c r="O250" s="5">
        <v>125</v>
      </c>
      <c r="P250" s="5">
        <v>9</v>
      </c>
      <c r="Q250" s="5">
        <v>13.6666666666666</v>
      </c>
      <c r="R250" s="5">
        <v>2.55555555555555</v>
      </c>
      <c r="S250" s="5">
        <v>23</v>
      </c>
      <c r="T250" s="5">
        <v>0</v>
      </c>
      <c r="U250" s="5">
        <v>0</v>
      </c>
    </row>
    <row r="251" spans="1:21" x14ac:dyDescent="0.25">
      <c r="A251" t="s">
        <v>2330</v>
      </c>
      <c r="B251" s="5">
        <v>193</v>
      </c>
      <c r="C251" s="5">
        <v>147</v>
      </c>
      <c r="D251" s="5">
        <v>0.76165803108808205</v>
      </c>
      <c r="E251" s="5">
        <v>0.33678756476683902</v>
      </c>
      <c r="F251" s="5">
        <v>0.87074829931972697</v>
      </c>
      <c r="G251" s="5">
        <v>0.89284446255252703</v>
      </c>
      <c r="H251" s="5">
        <v>1.55440414507772E-2</v>
      </c>
      <c r="I251" s="5">
        <v>1.03626943005181E-2</v>
      </c>
      <c r="J251" s="5">
        <v>3</v>
      </c>
      <c r="K251" s="5">
        <v>2</v>
      </c>
      <c r="L251" s="5">
        <v>4</v>
      </c>
      <c r="M251" s="5">
        <v>0.57216494845360799</v>
      </c>
      <c r="N251" s="5">
        <v>111</v>
      </c>
      <c r="O251" s="5">
        <v>194</v>
      </c>
      <c r="P251" s="5">
        <v>17</v>
      </c>
      <c r="Q251" s="5">
        <v>11.3529411764705</v>
      </c>
      <c r="R251" s="5">
        <v>1.23529411764705</v>
      </c>
      <c r="S251" s="5">
        <v>21</v>
      </c>
      <c r="T251" s="5">
        <v>0</v>
      </c>
      <c r="U251" s="5">
        <v>0</v>
      </c>
    </row>
    <row r="252" spans="1:21" x14ac:dyDescent="0.25">
      <c r="A252" t="s">
        <v>2340</v>
      </c>
      <c r="B252" s="5">
        <v>189</v>
      </c>
      <c r="C252" s="5">
        <v>149</v>
      </c>
      <c r="D252" s="5">
        <v>0.78835978835978804</v>
      </c>
      <c r="E252" s="5">
        <v>0.317460317460317</v>
      </c>
      <c r="F252" s="5">
        <v>0.865771812080536</v>
      </c>
      <c r="G252" s="5">
        <v>0.91552052241245396</v>
      </c>
      <c r="H252" s="5">
        <v>0</v>
      </c>
      <c r="I252" s="5">
        <v>2.6455026455026402E-2</v>
      </c>
      <c r="J252" s="5">
        <v>0</v>
      </c>
      <c r="K252" s="5">
        <v>5</v>
      </c>
      <c r="L252" s="5">
        <v>2</v>
      </c>
      <c r="M252" s="5">
        <v>0.58421052631578896</v>
      </c>
      <c r="N252" s="5">
        <v>111</v>
      </c>
      <c r="O252" s="5">
        <v>190</v>
      </c>
      <c r="P252" s="5">
        <v>11</v>
      </c>
      <c r="Q252" s="5">
        <v>17.181818181818102</v>
      </c>
      <c r="R252" s="5">
        <v>2.63636363636363</v>
      </c>
      <c r="S252" s="5">
        <v>29</v>
      </c>
      <c r="T252" s="5">
        <v>0</v>
      </c>
      <c r="U252" s="5">
        <v>0</v>
      </c>
    </row>
    <row r="253" spans="1:21" x14ac:dyDescent="0.25">
      <c r="A253" t="s">
        <v>2350</v>
      </c>
      <c r="B253" s="5">
        <v>164</v>
      </c>
      <c r="C253" s="5">
        <v>119</v>
      </c>
      <c r="D253" s="5">
        <v>0.72560975609756095</v>
      </c>
      <c r="E253" s="5">
        <v>0.41463414634146301</v>
      </c>
      <c r="F253" s="5">
        <v>0.80672268907563005</v>
      </c>
      <c r="G253" s="5">
        <v>0.89244313275061304</v>
      </c>
      <c r="H253" s="5">
        <v>2.4390243902439001E-2</v>
      </c>
      <c r="I253" s="5">
        <v>1.21951219512195E-2</v>
      </c>
      <c r="J253" s="5">
        <v>4</v>
      </c>
      <c r="K253" s="5">
        <v>2</v>
      </c>
      <c r="L253" s="5">
        <v>0</v>
      </c>
      <c r="M253" s="5">
        <v>0.49700598802395202</v>
      </c>
      <c r="N253" s="5">
        <v>83</v>
      </c>
      <c r="O253" s="5">
        <v>167</v>
      </c>
      <c r="P253" s="5">
        <v>9</v>
      </c>
      <c r="Q253" s="5">
        <v>18.2222222222222</v>
      </c>
      <c r="R253" s="5">
        <v>2.55555555555555</v>
      </c>
      <c r="S253" s="5">
        <v>23</v>
      </c>
      <c r="T253" s="5">
        <v>0</v>
      </c>
      <c r="U253" s="5">
        <v>0</v>
      </c>
    </row>
    <row r="254" spans="1:21" x14ac:dyDescent="0.25">
      <c r="A254" t="s">
        <v>2358</v>
      </c>
      <c r="B254" s="5">
        <v>62</v>
      </c>
      <c r="C254" s="5">
        <v>47</v>
      </c>
      <c r="D254" s="5">
        <v>0.75806451612903203</v>
      </c>
      <c r="E254" s="5">
        <v>0.40322580645161199</v>
      </c>
      <c r="F254" s="5">
        <v>0.78723404255319096</v>
      </c>
      <c r="G254" s="5">
        <v>0.81815587962008496</v>
      </c>
      <c r="H254" s="5">
        <v>0</v>
      </c>
      <c r="I254" s="5">
        <v>3.2258064516128997E-2</v>
      </c>
      <c r="J254" s="5">
        <v>0</v>
      </c>
      <c r="K254" s="5">
        <v>2</v>
      </c>
      <c r="L254" s="5">
        <v>1</v>
      </c>
      <c r="M254" s="5">
        <v>0.483870967741935</v>
      </c>
      <c r="N254" s="5">
        <v>30</v>
      </c>
      <c r="O254" s="5">
        <v>62</v>
      </c>
      <c r="P254" s="5">
        <v>17</v>
      </c>
      <c r="Q254" s="5">
        <v>3.6470588235294099</v>
      </c>
      <c r="R254" s="5">
        <v>0.29411764705882298</v>
      </c>
      <c r="S254" s="5">
        <v>5</v>
      </c>
      <c r="T254" s="5">
        <v>6</v>
      </c>
      <c r="U254" s="5">
        <v>3.6651899853774101</v>
      </c>
    </row>
    <row r="255" spans="1:21" x14ac:dyDescent="0.25">
      <c r="A255" t="s">
        <v>2367</v>
      </c>
      <c r="B255" s="5">
        <v>167</v>
      </c>
      <c r="C255" s="5">
        <v>119</v>
      </c>
      <c r="D255" s="5">
        <v>0.71257485029940104</v>
      </c>
      <c r="E255" s="5">
        <v>0.43113772455089799</v>
      </c>
      <c r="F255" s="5">
        <v>0.79831932773109204</v>
      </c>
      <c r="G255" s="5">
        <v>0.88433979520857398</v>
      </c>
      <c r="H255" s="5">
        <v>1.19760479041916E-2</v>
      </c>
      <c r="I255" s="5">
        <v>1.19760479041916E-2</v>
      </c>
      <c r="J255" s="5">
        <v>2</v>
      </c>
      <c r="K255" s="5">
        <v>2</v>
      </c>
      <c r="L255" s="5">
        <v>3</v>
      </c>
      <c r="M255" s="5">
        <v>0.50887573964497002</v>
      </c>
      <c r="N255" s="5">
        <v>86</v>
      </c>
      <c r="O255" s="5">
        <v>169</v>
      </c>
      <c r="P255" s="5">
        <v>3</v>
      </c>
      <c r="Q255" s="5">
        <v>55.6666666666666</v>
      </c>
      <c r="R255" s="5">
        <v>9</v>
      </c>
      <c r="S255" s="5">
        <v>27</v>
      </c>
      <c r="T255" s="5">
        <v>0</v>
      </c>
      <c r="U255" s="5">
        <v>0</v>
      </c>
    </row>
    <row r="256" spans="1:21" x14ac:dyDescent="0.25">
      <c r="A256" t="s">
        <v>2376</v>
      </c>
      <c r="B256" s="5">
        <v>129</v>
      </c>
      <c r="C256" s="5">
        <v>103</v>
      </c>
      <c r="D256" s="5">
        <v>0.79844961240309997</v>
      </c>
      <c r="E256" s="5">
        <v>0.32558139534883701</v>
      </c>
      <c r="F256" s="5">
        <v>0.84466019417475702</v>
      </c>
      <c r="G256" s="5">
        <v>0.91167337446824104</v>
      </c>
      <c r="H256" s="5">
        <v>7.7519379844961196E-3</v>
      </c>
      <c r="I256" s="5">
        <v>2.3255813953488299E-2</v>
      </c>
      <c r="J256" s="5">
        <v>1</v>
      </c>
      <c r="K256" s="5">
        <v>3</v>
      </c>
      <c r="L256" s="5">
        <v>3</v>
      </c>
      <c r="M256" s="5">
        <v>0.55813953488372003</v>
      </c>
      <c r="N256" s="5">
        <v>72</v>
      </c>
      <c r="O256" s="5">
        <v>129</v>
      </c>
      <c r="P256" s="5">
        <v>7</v>
      </c>
      <c r="Q256" s="5">
        <v>18.428571428571399</v>
      </c>
      <c r="R256" s="5">
        <v>1.8571428571428501</v>
      </c>
      <c r="S256" s="5">
        <v>13</v>
      </c>
      <c r="T256" s="5">
        <v>0</v>
      </c>
      <c r="U256" s="5">
        <v>0</v>
      </c>
    </row>
    <row r="257" spans="1:21" x14ac:dyDescent="0.25">
      <c r="A257" t="s">
        <v>2384</v>
      </c>
      <c r="B257" s="5">
        <v>136</v>
      </c>
      <c r="C257" s="5">
        <v>91</v>
      </c>
      <c r="D257" s="5">
        <v>0.66911764705882304</v>
      </c>
      <c r="E257" s="5">
        <v>0.5</v>
      </c>
      <c r="F257" s="5">
        <v>0.74725274725274704</v>
      </c>
      <c r="G257" s="5">
        <v>0.84136043472556798</v>
      </c>
      <c r="H257" s="5">
        <v>5.8823529411764698E-2</v>
      </c>
      <c r="I257" s="5">
        <v>7.3529411764705803E-3</v>
      </c>
      <c r="J257" s="5">
        <v>8</v>
      </c>
      <c r="K257" s="5">
        <v>1</v>
      </c>
      <c r="L257" s="5">
        <v>4</v>
      </c>
      <c r="M257" s="5">
        <v>0.52205882352941102</v>
      </c>
      <c r="N257" s="5">
        <v>71</v>
      </c>
      <c r="O257" s="5">
        <v>136</v>
      </c>
      <c r="P257" s="5">
        <v>12</v>
      </c>
      <c r="Q257" s="5">
        <v>11.3333333333333</v>
      </c>
      <c r="R257" s="5">
        <v>1.6666666666666601</v>
      </c>
      <c r="S257" s="5">
        <v>20</v>
      </c>
      <c r="T257" s="5">
        <v>0</v>
      </c>
      <c r="U257" s="5">
        <v>0</v>
      </c>
    </row>
    <row r="258" spans="1:21" x14ac:dyDescent="0.25">
      <c r="A258" t="s">
        <v>2391</v>
      </c>
      <c r="B258" s="5">
        <v>119</v>
      </c>
      <c r="C258" s="5">
        <v>97</v>
      </c>
      <c r="D258" s="5">
        <v>0.81512605042016795</v>
      </c>
      <c r="E258" s="5">
        <v>0.30252100840336099</v>
      </c>
      <c r="F258" s="5">
        <v>0.85567010309278302</v>
      </c>
      <c r="G258" s="5">
        <v>0.91579347369398301</v>
      </c>
      <c r="H258" s="5">
        <v>1.6806722689075598E-2</v>
      </c>
      <c r="I258" s="5">
        <v>3.3613445378151197E-2</v>
      </c>
      <c r="J258" s="5">
        <v>2</v>
      </c>
      <c r="K258" s="5">
        <v>4</v>
      </c>
      <c r="L258" s="5">
        <v>3</v>
      </c>
      <c r="M258" s="5">
        <v>0.55000000000000004</v>
      </c>
      <c r="N258" s="5">
        <v>66</v>
      </c>
      <c r="O258" s="5">
        <v>120</v>
      </c>
      <c r="P258" s="5">
        <v>19</v>
      </c>
      <c r="Q258" s="5">
        <v>6.2631578947368398</v>
      </c>
      <c r="R258" s="5">
        <v>0.89473684210526305</v>
      </c>
      <c r="S258" s="5">
        <v>17</v>
      </c>
      <c r="T258" s="5">
        <v>0</v>
      </c>
      <c r="U258" s="5">
        <v>0</v>
      </c>
    </row>
    <row r="259" spans="1:21" x14ac:dyDescent="0.25">
      <c r="A259" t="s">
        <v>2401</v>
      </c>
      <c r="B259" s="5">
        <v>159</v>
      </c>
      <c r="C259" s="5">
        <v>97</v>
      </c>
      <c r="D259" s="5">
        <v>0.61006289308176098</v>
      </c>
      <c r="E259" s="5">
        <v>0.58490566037735803</v>
      </c>
      <c r="F259" s="5">
        <v>0.68041237113401998</v>
      </c>
      <c r="G259" s="5">
        <v>0.834863931069044</v>
      </c>
      <c r="H259" s="5">
        <v>6.9182389937106903E-2</v>
      </c>
      <c r="I259" s="5">
        <v>0</v>
      </c>
      <c r="J259" s="5">
        <v>11</v>
      </c>
      <c r="K259" s="5">
        <v>0</v>
      </c>
      <c r="L259" s="5">
        <v>2</v>
      </c>
      <c r="M259" s="5">
        <v>0.46250000000000002</v>
      </c>
      <c r="N259" s="5">
        <v>74</v>
      </c>
      <c r="O259" s="5">
        <v>160</v>
      </c>
      <c r="P259" s="5">
        <v>9</v>
      </c>
      <c r="Q259" s="5">
        <v>17.6666666666666</v>
      </c>
      <c r="R259" s="5">
        <v>2.6666666666666599</v>
      </c>
      <c r="S259" s="5">
        <v>24</v>
      </c>
      <c r="T259" s="5">
        <v>0</v>
      </c>
      <c r="U259" s="5">
        <v>0</v>
      </c>
    </row>
    <row r="260" spans="1:21" x14ac:dyDescent="0.25">
      <c r="A260" t="s">
        <v>2409</v>
      </c>
      <c r="B260" s="5">
        <v>140</v>
      </c>
      <c r="C260" s="5">
        <v>104</v>
      </c>
      <c r="D260" s="5">
        <v>0.74285714285714199</v>
      </c>
      <c r="E260" s="5">
        <v>0.42142857142857099</v>
      </c>
      <c r="F260" s="5">
        <v>0.77884615384615297</v>
      </c>
      <c r="G260" s="5">
        <v>0.89865705796827</v>
      </c>
      <c r="H260" s="5">
        <v>2.1428571428571401E-2</v>
      </c>
      <c r="I260" s="5">
        <v>7.14285714285714E-3</v>
      </c>
      <c r="J260" s="5">
        <v>3</v>
      </c>
      <c r="K260" s="5">
        <v>1</v>
      </c>
      <c r="L260" s="5">
        <v>3</v>
      </c>
      <c r="M260" s="5">
        <v>0.52857142857142803</v>
      </c>
      <c r="N260" s="5">
        <v>74</v>
      </c>
      <c r="O260" s="5">
        <v>140</v>
      </c>
      <c r="P260" s="5">
        <v>10</v>
      </c>
      <c r="Q260" s="5" t="s">
        <v>261</v>
      </c>
      <c r="R260" s="5">
        <v>1.8</v>
      </c>
      <c r="S260" s="5">
        <v>18</v>
      </c>
      <c r="T260" s="5">
        <v>0</v>
      </c>
      <c r="U260" s="5">
        <v>0</v>
      </c>
    </row>
    <row r="261" spans="1:21" x14ac:dyDescent="0.25">
      <c r="A261" t="s">
        <v>2417</v>
      </c>
      <c r="B261" s="5">
        <v>116</v>
      </c>
      <c r="C261" s="5">
        <v>88</v>
      </c>
      <c r="D261" s="5">
        <v>0.75862068965517204</v>
      </c>
      <c r="E261" s="5">
        <v>0.36206896551724099</v>
      </c>
      <c r="F261" s="5">
        <v>0.84090909090909005</v>
      </c>
      <c r="G261" s="5">
        <v>0.87185740003110401</v>
      </c>
      <c r="H261" s="5">
        <v>1.72413793103448E-2</v>
      </c>
      <c r="I261" s="5">
        <v>8.6206896551724102E-3</v>
      </c>
      <c r="J261" s="5">
        <v>2</v>
      </c>
      <c r="K261" s="5">
        <v>1</v>
      </c>
      <c r="L261" s="5">
        <v>2</v>
      </c>
      <c r="M261" s="5">
        <v>0.50847457627118597</v>
      </c>
      <c r="N261" s="5">
        <v>60</v>
      </c>
      <c r="O261" s="5">
        <v>118</v>
      </c>
      <c r="P261" s="5">
        <v>16</v>
      </c>
      <c r="Q261" s="5">
        <v>7.25</v>
      </c>
      <c r="R261" s="5">
        <v>0.8125</v>
      </c>
      <c r="S261" s="5">
        <v>13</v>
      </c>
      <c r="T261" s="5">
        <v>0</v>
      </c>
      <c r="U261" s="5">
        <v>0</v>
      </c>
    </row>
    <row r="262" spans="1:21" x14ac:dyDescent="0.25">
      <c r="A262" t="s">
        <v>2425</v>
      </c>
      <c r="B262" s="5">
        <v>159</v>
      </c>
      <c r="C262" s="5">
        <v>115</v>
      </c>
      <c r="D262" s="5">
        <v>0.72327044025157206</v>
      </c>
      <c r="E262" s="5">
        <v>0.39622641509433898</v>
      </c>
      <c r="F262" s="5">
        <v>0.83478260869565202</v>
      </c>
      <c r="G262" s="5">
        <v>0.87502441984495405</v>
      </c>
      <c r="H262" s="5">
        <v>1.25786163522012E-2</v>
      </c>
      <c r="I262" s="5">
        <v>0</v>
      </c>
      <c r="J262" s="5">
        <v>2</v>
      </c>
      <c r="K262" s="5">
        <v>0</v>
      </c>
      <c r="L262" s="5">
        <v>4</v>
      </c>
      <c r="M262" s="5">
        <v>0.61635220125786105</v>
      </c>
      <c r="N262" s="5">
        <v>98</v>
      </c>
      <c r="O262" s="5">
        <v>159</v>
      </c>
      <c r="P262" s="5">
        <v>11</v>
      </c>
      <c r="Q262" s="5">
        <v>14.4545454545454</v>
      </c>
      <c r="R262" s="5">
        <v>1.36363636363636</v>
      </c>
      <c r="S262" s="5">
        <v>15</v>
      </c>
      <c r="T262" s="5">
        <v>0</v>
      </c>
      <c r="U262" s="5">
        <v>0</v>
      </c>
    </row>
    <row r="263" spans="1:21" x14ac:dyDescent="0.25">
      <c r="A263" t="s">
        <v>2433</v>
      </c>
      <c r="B263" s="5">
        <v>105</v>
      </c>
      <c r="C263" s="5">
        <v>81</v>
      </c>
      <c r="D263" s="5">
        <v>0.77142857142857102</v>
      </c>
      <c r="E263" s="5">
        <v>0.36190476190476101</v>
      </c>
      <c r="F263" s="5">
        <v>0.82716049382715995</v>
      </c>
      <c r="G263" s="5">
        <v>0.87965544472434298</v>
      </c>
      <c r="H263" s="5">
        <v>4.7619047619047603E-2</v>
      </c>
      <c r="I263" s="5">
        <v>3.8095238095238099E-2</v>
      </c>
      <c r="J263" s="5">
        <v>5</v>
      </c>
      <c r="K263" s="5">
        <v>4</v>
      </c>
      <c r="L263" s="5">
        <v>2</v>
      </c>
      <c r="M263" s="5">
        <v>0.48571428571428499</v>
      </c>
      <c r="N263" s="5">
        <v>51</v>
      </c>
      <c r="O263" s="5">
        <v>105</v>
      </c>
      <c r="P263" s="5">
        <v>9</v>
      </c>
      <c r="Q263" s="5">
        <v>11.6666666666666</v>
      </c>
      <c r="R263" s="5">
        <v>1.6666666666666601</v>
      </c>
      <c r="S263" s="5">
        <v>15</v>
      </c>
      <c r="T263" s="5">
        <v>0</v>
      </c>
      <c r="U263" s="5">
        <v>0</v>
      </c>
    </row>
    <row r="264" spans="1:21" x14ac:dyDescent="0.25">
      <c r="A264" t="s">
        <v>2440</v>
      </c>
      <c r="B264" s="5">
        <v>127</v>
      </c>
      <c r="C264" s="5">
        <v>90</v>
      </c>
      <c r="D264" s="5">
        <v>0.70866141732283405</v>
      </c>
      <c r="E264" s="5">
        <v>0.45669291338582602</v>
      </c>
      <c r="F264" s="5">
        <v>0.76666666666666605</v>
      </c>
      <c r="G264" s="5">
        <v>0.86075410203899605</v>
      </c>
      <c r="H264" s="5">
        <v>1.5748031496062902E-2</v>
      </c>
      <c r="I264" s="5">
        <v>3.1496062992125901E-2</v>
      </c>
      <c r="J264" s="5">
        <v>2</v>
      </c>
      <c r="K264" s="5">
        <v>4</v>
      </c>
      <c r="L264" s="5">
        <v>4</v>
      </c>
      <c r="M264" s="5">
        <v>0.511811023622047</v>
      </c>
      <c r="N264" s="5">
        <v>65</v>
      </c>
      <c r="O264" s="5">
        <v>127</v>
      </c>
      <c r="P264" s="5">
        <v>7</v>
      </c>
      <c r="Q264" s="5">
        <v>18.1428571428571</v>
      </c>
      <c r="R264" s="5">
        <v>1.71428571428571</v>
      </c>
      <c r="S264" s="5">
        <v>12</v>
      </c>
      <c r="T264" s="5">
        <v>0</v>
      </c>
      <c r="U264" s="5">
        <v>0</v>
      </c>
    </row>
    <row r="265" spans="1:21" x14ac:dyDescent="0.25">
      <c r="A265" t="s">
        <v>2449</v>
      </c>
      <c r="B265" s="5">
        <v>207</v>
      </c>
      <c r="C265" s="5">
        <v>129</v>
      </c>
      <c r="D265" s="5">
        <v>0.623188405797101</v>
      </c>
      <c r="E265" s="5">
        <v>0.57487922705313999</v>
      </c>
      <c r="F265" s="5">
        <v>0.68217054263565802</v>
      </c>
      <c r="G265" s="5">
        <v>0.87038226378043004</v>
      </c>
      <c r="H265" s="5">
        <v>3.3816425120772903E-2</v>
      </c>
      <c r="I265" s="5">
        <v>1.4492753623188401E-2</v>
      </c>
      <c r="J265" s="5">
        <v>7</v>
      </c>
      <c r="K265" s="5">
        <v>3</v>
      </c>
      <c r="L265" s="5">
        <v>3</v>
      </c>
      <c r="M265" s="5">
        <v>0.57487922705313999</v>
      </c>
      <c r="N265" s="5">
        <v>119</v>
      </c>
      <c r="O265" s="5">
        <v>207</v>
      </c>
      <c r="P265" s="5">
        <v>19</v>
      </c>
      <c r="Q265" s="5">
        <v>10.8947368421052</v>
      </c>
      <c r="R265" s="5">
        <v>1.4736842105263099</v>
      </c>
      <c r="S265" s="5">
        <v>28</v>
      </c>
      <c r="T265" s="5">
        <v>0</v>
      </c>
      <c r="U265" s="5">
        <v>0</v>
      </c>
    </row>
    <row r="266" spans="1:21" x14ac:dyDescent="0.25">
      <c r="A266" t="s">
        <v>2458</v>
      </c>
      <c r="B266" s="5">
        <v>164</v>
      </c>
      <c r="C266" s="5">
        <v>126</v>
      </c>
      <c r="D266" s="5">
        <v>0.76829268292682895</v>
      </c>
      <c r="E266" s="5">
        <v>0.36585365853658502</v>
      </c>
      <c r="F266" s="5">
        <v>0.82539682539682502</v>
      </c>
      <c r="G266" s="5">
        <v>0.91358186792420204</v>
      </c>
      <c r="H266" s="5">
        <v>1.21951219512195E-2</v>
      </c>
      <c r="I266" s="5">
        <v>0</v>
      </c>
      <c r="J266" s="5">
        <v>2</v>
      </c>
      <c r="K266" s="5">
        <v>0</v>
      </c>
      <c r="L266" s="5">
        <v>1</v>
      </c>
      <c r="M266" s="5">
        <v>0.585365853658536</v>
      </c>
      <c r="N266" s="5">
        <v>96</v>
      </c>
      <c r="O266" s="5">
        <v>164</v>
      </c>
      <c r="P266" s="5">
        <v>15</v>
      </c>
      <c r="Q266" s="5">
        <v>10.9333333333333</v>
      </c>
      <c r="R266" s="5">
        <v>1.06666666666666</v>
      </c>
      <c r="S266" s="5">
        <v>16</v>
      </c>
      <c r="T266" s="5">
        <v>0</v>
      </c>
      <c r="U266" s="5">
        <v>0</v>
      </c>
    </row>
    <row r="267" spans="1:21" x14ac:dyDescent="0.25">
      <c r="A267" t="s">
        <v>2464</v>
      </c>
      <c r="B267" s="5">
        <v>99</v>
      </c>
      <c r="C267" s="5">
        <v>80</v>
      </c>
      <c r="D267" s="5">
        <v>0.80808080808080796</v>
      </c>
      <c r="E267" s="5">
        <v>0.29292929292929198</v>
      </c>
      <c r="F267" s="5">
        <v>0.875</v>
      </c>
      <c r="G267" s="5">
        <v>0.88434811201395302</v>
      </c>
      <c r="H267" s="5">
        <v>0</v>
      </c>
      <c r="I267" s="5">
        <v>1.01010101010101E-2</v>
      </c>
      <c r="J267" s="5">
        <v>0</v>
      </c>
      <c r="K267" s="5">
        <v>1</v>
      </c>
      <c r="L267" s="5">
        <v>1</v>
      </c>
      <c r="M267" s="5">
        <v>0.58823529411764697</v>
      </c>
      <c r="N267" s="5">
        <v>60</v>
      </c>
      <c r="O267" s="5">
        <v>102</v>
      </c>
      <c r="P267" s="5">
        <v>8</v>
      </c>
      <c r="Q267" s="5">
        <v>12.375</v>
      </c>
      <c r="R267" s="5">
        <v>1</v>
      </c>
      <c r="S267" s="5">
        <v>8</v>
      </c>
      <c r="T267" s="5">
        <v>0</v>
      </c>
      <c r="U267" s="5">
        <v>0</v>
      </c>
    </row>
    <row r="268" spans="1:21" x14ac:dyDescent="0.25">
      <c r="A268" t="s">
        <v>2470</v>
      </c>
      <c r="B268" s="5">
        <v>87</v>
      </c>
      <c r="C268" s="5">
        <v>75</v>
      </c>
      <c r="D268" s="5">
        <v>0.86206896551724099</v>
      </c>
      <c r="E268" s="5">
        <v>0.229885057471264</v>
      </c>
      <c r="F268" s="5">
        <v>0.89333333333333298</v>
      </c>
      <c r="G268" s="5">
        <v>0.91881136373545402</v>
      </c>
      <c r="H268" s="5">
        <v>3.4482758620689599E-2</v>
      </c>
      <c r="I268" s="5">
        <v>0</v>
      </c>
      <c r="J268" s="5">
        <v>3</v>
      </c>
      <c r="K268" s="5">
        <v>0</v>
      </c>
      <c r="L268" s="5">
        <v>1</v>
      </c>
      <c r="M268" s="5">
        <v>0.59770114942528696</v>
      </c>
      <c r="N268" s="5">
        <v>52</v>
      </c>
      <c r="O268" s="5">
        <v>87</v>
      </c>
      <c r="P268" s="5">
        <v>6</v>
      </c>
      <c r="Q268" s="5">
        <v>14.5</v>
      </c>
      <c r="R268" s="5">
        <v>2.1666666666666599</v>
      </c>
      <c r="S268" s="5">
        <v>13</v>
      </c>
      <c r="T268" s="5">
        <v>0</v>
      </c>
      <c r="U268" s="5">
        <v>0</v>
      </c>
    </row>
    <row r="269" spans="1:21" x14ac:dyDescent="0.25">
      <c r="A269" t="s">
        <v>2479</v>
      </c>
      <c r="B269" s="5">
        <v>161</v>
      </c>
      <c r="C269" s="5">
        <v>110</v>
      </c>
      <c r="D269" s="5">
        <v>0.68322981366459601</v>
      </c>
      <c r="E269" s="5">
        <v>0.453416149068323</v>
      </c>
      <c r="F269" s="5">
        <v>0.8</v>
      </c>
      <c r="G269" s="5">
        <v>0.85869602337331097</v>
      </c>
      <c r="H269" s="5">
        <v>1.2422360248447201E-2</v>
      </c>
      <c r="I269" s="5">
        <v>2.4844720496894401E-2</v>
      </c>
      <c r="J269" s="5">
        <v>2</v>
      </c>
      <c r="K269" s="5">
        <v>4</v>
      </c>
      <c r="L269" s="5">
        <v>3</v>
      </c>
      <c r="M269" s="5">
        <v>0.59375</v>
      </c>
      <c r="N269" s="5">
        <v>95</v>
      </c>
      <c r="O269" s="5">
        <v>160</v>
      </c>
      <c r="P269" s="5">
        <v>15</v>
      </c>
      <c r="Q269" s="5">
        <v>10.733333333333301</v>
      </c>
      <c r="R269" s="5">
        <v>1</v>
      </c>
      <c r="S269" s="5">
        <v>15</v>
      </c>
      <c r="T269" s="5">
        <v>0</v>
      </c>
      <c r="U269" s="5">
        <v>0</v>
      </c>
    </row>
    <row r="270" spans="1:21" x14ac:dyDescent="0.25">
      <c r="A270" t="s">
        <v>2485</v>
      </c>
      <c r="B270" s="5">
        <v>184</v>
      </c>
      <c r="C270" s="5">
        <v>134</v>
      </c>
      <c r="D270" s="5">
        <v>0.72826086956521696</v>
      </c>
      <c r="E270" s="5">
        <v>0.41847826086956502</v>
      </c>
      <c r="F270" s="5">
        <v>0.79850746268656703</v>
      </c>
      <c r="G270" s="5">
        <v>0.90029313739012196</v>
      </c>
      <c r="H270" s="5">
        <v>2.1739130434782601E-2</v>
      </c>
      <c r="I270" s="5">
        <v>1.0869565217391301E-2</v>
      </c>
      <c r="J270" s="5">
        <v>4</v>
      </c>
      <c r="K270" s="5">
        <v>2</v>
      </c>
      <c r="L270" s="5">
        <v>3</v>
      </c>
      <c r="M270" s="5">
        <v>0.61413043478260798</v>
      </c>
      <c r="N270" s="5">
        <v>113</v>
      </c>
      <c r="O270" s="5">
        <v>184</v>
      </c>
      <c r="P270" s="5">
        <v>10</v>
      </c>
      <c r="Q270" s="5">
        <v>18.399999999999999</v>
      </c>
      <c r="R270" s="5">
        <v>1.2</v>
      </c>
      <c r="S270" s="5">
        <v>12</v>
      </c>
      <c r="T270" s="5">
        <v>0</v>
      </c>
      <c r="U270" s="5">
        <v>0</v>
      </c>
    </row>
    <row r="271" spans="1:21" x14ac:dyDescent="0.25">
      <c r="A271" t="s">
        <v>2494</v>
      </c>
      <c r="B271" s="5">
        <v>150</v>
      </c>
      <c r="C271" s="5">
        <v>114</v>
      </c>
      <c r="D271" s="5">
        <v>0.76</v>
      </c>
      <c r="E271" s="5">
        <v>0.353333333333333</v>
      </c>
      <c r="F271" s="5">
        <v>0.85087719298245601</v>
      </c>
      <c r="G271" s="5">
        <v>0.89148115540887696</v>
      </c>
      <c r="H271" s="5">
        <v>1.3333333333333299E-2</v>
      </c>
      <c r="I271" s="5">
        <v>1.3333333333333299E-2</v>
      </c>
      <c r="J271" s="5">
        <v>2</v>
      </c>
      <c r="K271" s="5">
        <v>2</v>
      </c>
      <c r="L271" s="5">
        <v>3</v>
      </c>
      <c r="M271" s="5">
        <v>0.63333333333333297</v>
      </c>
      <c r="N271" s="5">
        <v>95</v>
      </c>
      <c r="O271" s="5">
        <v>150</v>
      </c>
      <c r="P271" s="5">
        <v>11</v>
      </c>
      <c r="Q271" s="5">
        <v>13.636363636363599</v>
      </c>
      <c r="R271" s="5">
        <v>0.90909090909090895</v>
      </c>
      <c r="S271" s="5">
        <v>10</v>
      </c>
      <c r="T271" s="5">
        <v>0</v>
      </c>
      <c r="U271" s="5">
        <v>0</v>
      </c>
    </row>
    <row r="272" spans="1:21" x14ac:dyDescent="0.25">
      <c r="A272" t="s">
        <v>2501</v>
      </c>
      <c r="B272" s="5">
        <v>156</v>
      </c>
      <c r="C272" s="5">
        <v>103</v>
      </c>
      <c r="D272" s="5">
        <v>0.66025641025641002</v>
      </c>
      <c r="E272" s="5">
        <v>0.5</v>
      </c>
      <c r="F272" s="5">
        <v>0.75728155339805803</v>
      </c>
      <c r="G272" s="5">
        <v>0.85167516004083299</v>
      </c>
      <c r="H272" s="5">
        <v>3.2051282051282E-2</v>
      </c>
      <c r="I272" s="5">
        <v>1.2820512820512799E-2</v>
      </c>
      <c r="J272" s="5">
        <v>5</v>
      </c>
      <c r="K272" s="5">
        <v>2</v>
      </c>
      <c r="L272" s="5">
        <v>2</v>
      </c>
      <c r="M272" s="5">
        <v>0.537974683544303</v>
      </c>
      <c r="N272" s="5">
        <v>85</v>
      </c>
      <c r="O272" s="5">
        <v>158</v>
      </c>
      <c r="P272" s="5">
        <v>5</v>
      </c>
      <c r="Q272" s="5">
        <v>31.2</v>
      </c>
      <c r="R272" s="5">
        <v>5</v>
      </c>
      <c r="S272" s="5">
        <v>25</v>
      </c>
      <c r="T272" s="5">
        <v>1</v>
      </c>
      <c r="U272" s="5">
        <v>0.66705717305339096</v>
      </c>
    </row>
    <row r="273" spans="1:21" x14ac:dyDescent="0.25">
      <c r="A273" t="s">
        <v>2510</v>
      </c>
      <c r="B273" s="5">
        <v>136</v>
      </c>
      <c r="C273" s="5">
        <v>96</v>
      </c>
      <c r="D273" s="5">
        <v>0.70588235294117596</v>
      </c>
      <c r="E273" s="5">
        <v>0.45588235294117602</v>
      </c>
      <c r="F273" s="5">
        <v>0.77083333333333304</v>
      </c>
      <c r="G273" s="5">
        <v>0.86197584299976904</v>
      </c>
      <c r="H273" s="5">
        <v>7.3529411764705803E-3</v>
      </c>
      <c r="I273" s="5">
        <v>1.47058823529411E-2</v>
      </c>
      <c r="J273" s="5">
        <v>1</v>
      </c>
      <c r="K273" s="5">
        <v>2</v>
      </c>
      <c r="L273" s="5">
        <v>3</v>
      </c>
      <c r="M273" s="5">
        <v>0.55147058823529405</v>
      </c>
      <c r="N273" s="5">
        <v>75</v>
      </c>
      <c r="O273" s="5">
        <v>136</v>
      </c>
      <c r="P273" s="5">
        <v>8</v>
      </c>
      <c r="Q273" s="5" t="s">
        <v>992</v>
      </c>
      <c r="R273" s="5">
        <v>2.25</v>
      </c>
      <c r="S273" s="5">
        <v>18</v>
      </c>
      <c r="T273" s="5">
        <v>1</v>
      </c>
      <c r="U273" s="5">
        <v>0.64851368769202</v>
      </c>
    </row>
    <row r="274" spans="1:21" x14ac:dyDescent="0.25">
      <c r="A274" t="s">
        <v>2517</v>
      </c>
      <c r="B274" s="5">
        <v>171</v>
      </c>
      <c r="C274" s="5">
        <v>134</v>
      </c>
      <c r="D274" s="5">
        <v>0.783625730994152</v>
      </c>
      <c r="E274" s="5">
        <v>0.33333333333333298</v>
      </c>
      <c r="F274" s="5">
        <v>0.85074626865671599</v>
      </c>
      <c r="G274" s="5">
        <v>0.92224768578983096</v>
      </c>
      <c r="H274" s="5">
        <v>2.3391812865496998E-2</v>
      </c>
      <c r="I274" s="5">
        <v>1.1695906432748499E-2</v>
      </c>
      <c r="J274" s="5">
        <v>4</v>
      </c>
      <c r="K274" s="5">
        <v>2</v>
      </c>
      <c r="L274" s="5">
        <v>4</v>
      </c>
      <c r="M274" s="5">
        <v>0.56976744186046502</v>
      </c>
      <c r="N274" s="5">
        <v>98</v>
      </c>
      <c r="O274" s="5">
        <v>172</v>
      </c>
      <c r="P274" s="5">
        <v>10</v>
      </c>
      <c r="Q274" s="5">
        <v>17.100000000000001</v>
      </c>
      <c r="R274" s="5">
        <v>2.2999999999999998</v>
      </c>
      <c r="S274" s="5">
        <v>23</v>
      </c>
      <c r="T274" s="5">
        <v>0</v>
      </c>
      <c r="U274" s="5">
        <v>0</v>
      </c>
    </row>
    <row r="275" spans="1:21" x14ac:dyDescent="0.25">
      <c r="A275" t="s">
        <v>2526</v>
      </c>
      <c r="B275" s="5">
        <v>117</v>
      </c>
      <c r="C275" s="5">
        <v>88</v>
      </c>
      <c r="D275" s="5">
        <v>0.75213675213675202</v>
      </c>
      <c r="E275" s="5">
        <v>0.35042735042735002</v>
      </c>
      <c r="F275" s="5">
        <v>0.86363636363636298</v>
      </c>
      <c r="G275" s="5">
        <v>0.85496654681542705</v>
      </c>
      <c r="H275" s="5">
        <v>0</v>
      </c>
      <c r="I275" s="5">
        <v>0</v>
      </c>
      <c r="J275" s="5">
        <v>0</v>
      </c>
      <c r="K275" s="5">
        <v>0</v>
      </c>
      <c r="L275" s="5">
        <v>2</v>
      </c>
      <c r="M275" s="5">
        <v>0.58119658119658102</v>
      </c>
      <c r="N275" s="5">
        <v>68</v>
      </c>
      <c r="O275" s="5">
        <v>117</v>
      </c>
      <c r="P275" s="5">
        <v>12</v>
      </c>
      <c r="Q275" s="5">
        <v>9.75</v>
      </c>
      <c r="R275" s="5">
        <v>0.75</v>
      </c>
      <c r="S275" s="5">
        <v>9</v>
      </c>
      <c r="T275" s="5">
        <v>0</v>
      </c>
      <c r="U275" s="5">
        <v>0</v>
      </c>
    </row>
    <row r="276" spans="1:21" x14ac:dyDescent="0.25">
      <c r="A276" t="s">
        <v>2534</v>
      </c>
      <c r="B276" s="5">
        <v>245</v>
      </c>
      <c r="C276" s="5">
        <v>158</v>
      </c>
      <c r="D276" s="5">
        <v>0.64489795918367299</v>
      </c>
      <c r="E276" s="5">
        <v>0.50204081632652997</v>
      </c>
      <c r="F276" s="5">
        <v>0.772151898734177</v>
      </c>
      <c r="G276" s="5">
        <v>0.86501375522338297</v>
      </c>
      <c r="H276" s="5">
        <v>2.8571428571428501E-2</v>
      </c>
      <c r="I276" s="5">
        <v>5.3061224489795902E-2</v>
      </c>
      <c r="J276" s="5">
        <v>7</v>
      </c>
      <c r="K276" s="5">
        <v>13</v>
      </c>
      <c r="L276" s="5">
        <v>3</v>
      </c>
      <c r="M276" s="5">
        <v>0.491869918699187</v>
      </c>
      <c r="N276" s="5">
        <v>121</v>
      </c>
      <c r="O276" s="5">
        <v>246</v>
      </c>
      <c r="P276" s="5">
        <v>18</v>
      </c>
      <c r="Q276" s="5">
        <v>13.6111111111111</v>
      </c>
      <c r="R276" s="5">
        <v>1.5</v>
      </c>
      <c r="S276" s="5">
        <v>27</v>
      </c>
      <c r="T276" s="5">
        <v>0</v>
      </c>
      <c r="U276" s="5">
        <v>0</v>
      </c>
    </row>
    <row r="277" spans="1:21" x14ac:dyDescent="0.25">
      <c r="A277" t="s">
        <v>2543</v>
      </c>
      <c r="B277" s="5">
        <v>201</v>
      </c>
      <c r="C277" s="5">
        <v>139</v>
      </c>
      <c r="D277" s="5">
        <v>0.691542288557213</v>
      </c>
      <c r="E277" s="5">
        <v>0.462686567164179</v>
      </c>
      <c r="F277" s="5">
        <v>0.77697841726618699</v>
      </c>
      <c r="G277" s="5">
        <v>0.89096839553423501</v>
      </c>
      <c r="H277" s="5">
        <v>9.9502487562189001E-3</v>
      </c>
      <c r="I277" s="5">
        <v>3.4825870646766101E-2</v>
      </c>
      <c r="J277" s="5">
        <v>2</v>
      </c>
      <c r="K277" s="5">
        <v>7</v>
      </c>
      <c r="L277" s="5">
        <v>4</v>
      </c>
      <c r="M277" s="5">
        <v>0.57142857142857095</v>
      </c>
      <c r="N277" s="5">
        <v>116</v>
      </c>
      <c r="O277" s="5">
        <v>203</v>
      </c>
      <c r="P277" s="5">
        <v>14</v>
      </c>
      <c r="Q277" s="5">
        <v>14.357142857142801</v>
      </c>
      <c r="R277" s="5">
        <v>2.1428571428571401</v>
      </c>
      <c r="S277" s="5">
        <v>30</v>
      </c>
      <c r="T277" s="5">
        <v>0</v>
      </c>
      <c r="U277" s="5">
        <v>0</v>
      </c>
    </row>
    <row r="278" spans="1:21" x14ac:dyDescent="0.25">
      <c r="A278" t="s">
        <v>2552</v>
      </c>
      <c r="B278" s="5">
        <v>141</v>
      </c>
      <c r="C278" s="5">
        <v>100</v>
      </c>
      <c r="D278" s="5">
        <v>0.70921985815602795</v>
      </c>
      <c r="E278" s="5">
        <v>0.43262411347517699</v>
      </c>
      <c r="F278" s="5">
        <v>0.8</v>
      </c>
      <c r="G278" s="5">
        <v>0.85951897870933103</v>
      </c>
      <c r="H278" s="5">
        <v>7.09219858156028E-3</v>
      </c>
      <c r="I278" s="5">
        <v>0</v>
      </c>
      <c r="J278" s="5">
        <v>1</v>
      </c>
      <c r="K278" s="5">
        <v>0</v>
      </c>
      <c r="L278" s="5">
        <v>2</v>
      </c>
      <c r="M278" s="5">
        <v>0.59859154929577396</v>
      </c>
      <c r="N278" s="5">
        <v>85</v>
      </c>
      <c r="O278" s="5">
        <v>142</v>
      </c>
      <c r="P278" s="5">
        <v>14</v>
      </c>
      <c r="Q278" s="5">
        <v>10.0714285714285</v>
      </c>
      <c r="R278" s="5">
        <v>0.57142857142857095</v>
      </c>
      <c r="S278" s="5">
        <v>8</v>
      </c>
      <c r="T278" s="5">
        <v>1</v>
      </c>
      <c r="U278" s="5">
        <v>0.66133556717791497</v>
      </c>
    </row>
    <row r="279" spans="1:21" x14ac:dyDescent="0.25">
      <c r="A279" t="s">
        <v>2561</v>
      </c>
      <c r="B279" s="5">
        <v>123</v>
      </c>
      <c r="C279" s="5">
        <v>92</v>
      </c>
      <c r="D279" s="5">
        <v>0.74796747967479604</v>
      </c>
      <c r="E279" s="5">
        <v>0.422764227642276</v>
      </c>
      <c r="F279" s="5">
        <v>0.77173913043478204</v>
      </c>
      <c r="G279" s="5">
        <v>0.88875956050661298</v>
      </c>
      <c r="H279" s="5">
        <v>0</v>
      </c>
      <c r="I279" s="5">
        <v>0</v>
      </c>
      <c r="J279" s="5">
        <v>0</v>
      </c>
      <c r="K279" s="5">
        <v>0</v>
      </c>
      <c r="L279" s="5">
        <v>2</v>
      </c>
      <c r="M279" s="5">
        <v>0.68292682926829196</v>
      </c>
      <c r="N279" s="5">
        <v>84</v>
      </c>
      <c r="O279" s="5">
        <v>123</v>
      </c>
      <c r="P279" s="5">
        <v>13</v>
      </c>
      <c r="Q279" s="5">
        <v>9.4615384615384599</v>
      </c>
      <c r="R279" s="5">
        <v>0.69230769230769196</v>
      </c>
      <c r="S279" s="5">
        <v>9</v>
      </c>
      <c r="T279" s="5">
        <v>0</v>
      </c>
      <c r="U279" s="5">
        <v>0</v>
      </c>
    </row>
    <row r="280" spans="1:21" x14ac:dyDescent="0.25">
      <c r="A280" t="s">
        <v>2569</v>
      </c>
      <c r="B280" s="5">
        <v>152</v>
      </c>
      <c r="C280" s="5">
        <v>92</v>
      </c>
      <c r="D280" s="5">
        <v>0.60526315789473595</v>
      </c>
      <c r="E280" s="5">
        <v>0.51973684210526305</v>
      </c>
      <c r="F280" s="5">
        <v>0.79347826086956497</v>
      </c>
      <c r="G280" s="5">
        <v>0.76759196683125497</v>
      </c>
      <c r="H280" s="5">
        <v>6.5789473684210497E-3</v>
      </c>
      <c r="I280" s="5">
        <v>0</v>
      </c>
      <c r="J280" s="5">
        <v>1</v>
      </c>
      <c r="K280" s="5">
        <v>0</v>
      </c>
      <c r="L280" s="5">
        <v>4</v>
      </c>
      <c r="M280" s="5">
        <v>0.54545454545454497</v>
      </c>
      <c r="N280" s="5">
        <v>84</v>
      </c>
      <c r="O280" s="5">
        <v>154</v>
      </c>
      <c r="P280" s="5">
        <v>12</v>
      </c>
      <c r="Q280" s="5">
        <v>12.6666666666666</v>
      </c>
      <c r="R280" s="5">
        <v>1.9166666666666601</v>
      </c>
      <c r="S280" s="5">
        <v>23</v>
      </c>
      <c r="T280" s="5">
        <v>0</v>
      </c>
      <c r="U280" s="5">
        <v>0</v>
      </c>
    </row>
    <row r="281" spans="1:21" x14ac:dyDescent="0.25">
      <c r="A281" t="s">
        <v>2577</v>
      </c>
      <c r="B281" s="5">
        <v>183</v>
      </c>
      <c r="C281" s="5">
        <v>116</v>
      </c>
      <c r="D281" s="5">
        <v>0.63387978142076495</v>
      </c>
      <c r="E281" s="5">
        <v>0.53005464480874298</v>
      </c>
      <c r="F281" s="5">
        <v>0.74137931034482696</v>
      </c>
      <c r="G281" s="5">
        <v>0.84956789946223099</v>
      </c>
      <c r="H281" s="5">
        <v>3.8251366120218497E-2</v>
      </c>
      <c r="I281" s="5">
        <v>2.1857923497267701E-2</v>
      </c>
      <c r="J281" s="5">
        <v>7</v>
      </c>
      <c r="K281" s="5">
        <v>4</v>
      </c>
      <c r="L281" s="5">
        <v>3</v>
      </c>
      <c r="M281" s="5">
        <v>0.54098360655737698</v>
      </c>
      <c r="N281" s="5">
        <v>99</v>
      </c>
      <c r="O281" s="5">
        <v>183</v>
      </c>
      <c r="P281" s="5">
        <v>16</v>
      </c>
      <c r="Q281" s="5">
        <v>11.4375</v>
      </c>
      <c r="R281" s="5">
        <v>1.9375</v>
      </c>
      <c r="S281" s="5">
        <v>31</v>
      </c>
      <c r="T281" s="5">
        <v>0</v>
      </c>
      <c r="U281" s="5">
        <v>0</v>
      </c>
    </row>
    <row r="282" spans="1:21" x14ac:dyDescent="0.25">
      <c r="A282" t="s">
        <v>2586</v>
      </c>
      <c r="B282" s="5">
        <v>155</v>
      </c>
      <c r="C282" s="5">
        <v>118</v>
      </c>
      <c r="D282" s="5">
        <v>0.761290322580645</v>
      </c>
      <c r="E282" s="5">
        <v>0.36774193548387002</v>
      </c>
      <c r="F282" s="5">
        <v>0.83050847457627097</v>
      </c>
      <c r="G282" s="5">
        <v>0.90789880764688302</v>
      </c>
      <c r="H282" s="5">
        <v>0</v>
      </c>
      <c r="I282" s="5">
        <v>1.2903225806451601E-2</v>
      </c>
      <c r="J282" s="5">
        <v>0</v>
      </c>
      <c r="K282" s="5">
        <v>2</v>
      </c>
      <c r="L282" s="5">
        <v>2</v>
      </c>
      <c r="M282" s="5">
        <v>0.56129032258064504</v>
      </c>
      <c r="N282" s="5">
        <v>87</v>
      </c>
      <c r="O282" s="5">
        <v>155</v>
      </c>
      <c r="P282" s="5">
        <v>7</v>
      </c>
      <c r="Q282" s="5">
        <v>22.1428571428571</v>
      </c>
      <c r="R282" s="5">
        <v>2.71428571428571</v>
      </c>
      <c r="S282" s="5">
        <v>19</v>
      </c>
      <c r="T282" s="5">
        <v>0</v>
      </c>
      <c r="U282" s="5">
        <v>0</v>
      </c>
    </row>
    <row r="283" spans="1:21" x14ac:dyDescent="0.25">
      <c r="A283" t="s">
        <v>2593</v>
      </c>
      <c r="B283" s="5">
        <v>223</v>
      </c>
      <c r="C283" s="5">
        <v>142</v>
      </c>
      <c r="D283" s="5">
        <v>0.63677130044843</v>
      </c>
      <c r="E283" s="5">
        <v>0.497757847533632</v>
      </c>
      <c r="F283" s="5">
        <v>0.78873239436619702</v>
      </c>
      <c r="G283" s="5">
        <v>0.84872435909673305</v>
      </c>
      <c r="H283" s="5">
        <v>4.4843049327354199E-3</v>
      </c>
      <c r="I283" s="5">
        <v>2.6905829596412498E-2</v>
      </c>
      <c r="J283" s="5">
        <v>1</v>
      </c>
      <c r="K283" s="5">
        <v>6</v>
      </c>
      <c r="L283" s="5">
        <v>4</v>
      </c>
      <c r="M283" s="5">
        <v>0.51569506726457404</v>
      </c>
      <c r="N283" s="5">
        <v>115</v>
      </c>
      <c r="O283" s="5">
        <v>223</v>
      </c>
      <c r="P283" s="5">
        <v>11</v>
      </c>
      <c r="Q283" s="5">
        <v>20.272727272727199</v>
      </c>
      <c r="R283" s="5">
        <v>3.0909090909090899</v>
      </c>
      <c r="S283" s="5">
        <v>34</v>
      </c>
      <c r="T283" s="5">
        <v>0</v>
      </c>
      <c r="U283" s="5">
        <v>0</v>
      </c>
    </row>
    <row r="284" spans="1:21" x14ac:dyDescent="0.25">
      <c r="A284" t="s">
        <v>2604</v>
      </c>
      <c r="B284" s="5">
        <v>123</v>
      </c>
      <c r="C284" s="5">
        <v>88</v>
      </c>
      <c r="D284" s="5">
        <v>0.71544715447154394</v>
      </c>
      <c r="E284" s="5">
        <v>0.439024390243902</v>
      </c>
      <c r="F284" s="5">
        <v>0.78409090909090895</v>
      </c>
      <c r="G284" s="5">
        <v>0.85450418877664103</v>
      </c>
      <c r="H284" s="5">
        <v>1.6260162601626001E-2</v>
      </c>
      <c r="I284" s="5">
        <v>8.1300813008130003E-3</v>
      </c>
      <c r="J284" s="5">
        <v>2</v>
      </c>
      <c r="K284" s="5">
        <v>1</v>
      </c>
      <c r="L284" s="5">
        <v>2</v>
      </c>
      <c r="M284" s="5">
        <v>0.55284552845528401</v>
      </c>
      <c r="N284" s="5">
        <v>68</v>
      </c>
      <c r="O284" s="5">
        <v>123</v>
      </c>
      <c r="P284" s="5">
        <v>7</v>
      </c>
      <c r="Q284" s="5">
        <v>17.571428571428498</v>
      </c>
      <c r="R284" s="5">
        <v>2.2857142857142798</v>
      </c>
      <c r="S284" s="5">
        <v>16</v>
      </c>
      <c r="T284" s="5">
        <v>0</v>
      </c>
      <c r="U284" s="5">
        <v>0</v>
      </c>
    </row>
    <row r="285" spans="1:21" x14ac:dyDescent="0.25">
      <c r="A285" t="s">
        <v>2612</v>
      </c>
      <c r="B285" s="5">
        <v>199</v>
      </c>
      <c r="C285" s="5">
        <v>142</v>
      </c>
      <c r="D285" s="5">
        <v>0.71356783919597899</v>
      </c>
      <c r="E285" s="5">
        <v>0.41708542713567798</v>
      </c>
      <c r="F285" s="5">
        <v>0.81690140845070403</v>
      </c>
      <c r="G285" s="5">
        <v>0.89415963350615202</v>
      </c>
      <c r="H285" s="5">
        <v>3.0150753768844199E-2</v>
      </c>
      <c r="I285" s="5">
        <v>2.5125628140703501E-2</v>
      </c>
      <c r="J285" s="5">
        <v>6</v>
      </c>
      <c r="K285" s="5">
        <v>5</v>
      </c>
      <c r="L285" s="5">
        <v>4</v>
      </c>
      <c r="M285" s="5">
        <v>0.56783919597989896</v>
      </c>
      <c r="N285" s="5">
        <v>113</v>
      </c>
      <c r="O285" s="5">
        <v>199</v>
      </c>
      <c r="P285" s="5">
        <v>12</v>
      </c>
      <c r="Q285" s="5">
        <v>16.5833333333333</v>
      </c>
      <c r="R285" s="5">
        <v>2.25</v>
      </c>
      <c r="S285" s="5">
        <v>27</v>
      </c>
      <c r="T285" s="5">
        <v>0</v>
      </c>
      <c r="U285" s="5">
        <v>0</v>
      </c>
    </row>
    <row r="286" spans="1:21" x14ac:dyDescent="0.25">
      <c r="A286" t="s">
        <v>2621</v>
      </c>
      <c r="B286" s="5">
        <v>173</v>
      </c>
      <c r="C286" s="5">
        <v>118</v>
      </c>
      <c r="D286" s="5">
        <v>0.68208092485549099</v>
      </c>
      <c r="E286" s="5">
        <v>0.46242774566473899</v>
      </c>
      <c r="F286" s="5">
        <v>0.78813559322033899</v>
      </c>
      <c r="G286" s="5">
        <v>0.86646816461878495</v>
      </c>
      <c r="H286" s="5">
        <v>3.4682080924855398E-2</v>
      </c>
      <c r="I286" s="5">
        <v>1.7341040462427699E-2</v>
      </c>
      <c r="J286" s="5">
        <v>6</v>
      </c>
      <c r="K286" s="5">
        <v>3</v>
      </c>
      <c r="L286" s="5">
        <v>4</v>
      </c>
      <c r="M286" s="5">
        <v>0.53179190751445005</v>
      </c>
      <c r="N286" s="5">
        <v>92</v>
      </c>
      <c r="O286" s="5">
        <v>173</v>
      </c>
      <c r="P286" s="5">
        <v>5</v>
      </c>
      <c r="Q286" s="5">
        <v>34.6</v>
      </c>
      <c r="R286" s="5">
        <v>6</v>
      </c>
      <c r="S286" s="5">
        <v>30</v>
      </c>
      <c r="T286" s="5">
        <v>0</v>
      </c>
      <c r="U286" s="5">
        <v>0</v>
      </c>
    </row>
    <row r="287" spans="1:21" x14ac:dyDescent="0.25">
      <c r="A287" t="s">
        <v>2630</v>
      </c>
      <c r="B287" s="5">
        <v>186</v>
      </c>
      <c r="C287" s="5">
        <v>122</v>
      </c>
      <c r="D287" s="5">
        <v>0.65591397849462296</v>
      </c>
      <c r="E287" s="5">
        <v>0.483870967741935</v>
      </c>
      <c r="F287" s="5">
        <v>0.786885245901639</v>
      </c>
      <c r="G287" s="5">
        <v>0.85386612661532801</v>
      </c>
      <c r="H287" s="5">
        <v>2.1505376344085999E-2</v>
      </c>
      <c r="I287" s="5">
        <v>0</v>
      </c>
      <c r="J287" s="5">
        <v>4</v>
      </c>
      <c r="K287" s="5">
        <v>0</v>
      </c>
      <c r="L287" s="5">
        <v>4</v>
      </c>
      <c r="M287" s="5">
        <v>0.55913978494623595</v>
      </c>
      <c r="N287" s="5">
        <v>104</v>
      </c>
      <c r="O287" s="5">
        <v>186</v>
      </c>
      <c r="P287" s="5">
        <v>12</v>
      </c>
      <c r="Q287" s="5">
        <v>15.5</v>
      </c>
      <c r="R287" s="5">
        <v>1.8333333333333299</v>
      </c>
      <c r="S287" s="5">
        <v>22</v>
      </c>
      <c r="T287" s="5">
        <v>0</v>
      </c>
      <c r="U287" s="5">
        <v>0</v>
      </c>
    </row>
    <row r="288" spans="1:21" x14ac:dyDescent="0.25">
      <c r="A288" t="s">
        <v>2635</v>
      </c>
      <c r="B288" s="5">
        <v>97</v>
      </c>
      <c r="C288" s="5">
        <v>60</v>
      </c>
      <c r="D288" s="5">
        <v>0.61855670103092697</v>
      </c>
      <c r="E288" s="5">
        <v>0.536082474226804</v>
      </c>
      <c r="F288" s="5">
        <v>0.75</v>
      </c>
      <c r="G288" s="5">
        <v>0.76485817603837203</v>
      </c>
      <c r="H288" s="5">
        <v>0</v>
      </c>
      <c r="I288" s="5">
        <v>0</v>
      </c>
      <c r="J288" s="5">
        <v>0</v>
      </c>
      <c r="K288" s="5">
        <v>0</v>
      </c>
      <c r="L288" s="5">
        <v>1</v>
      </c>
      <c r="M288" s="5">
        <v>0.69072164948453596</v>
      </c>
      <c r="N288" s="5">
        <v>67</v>
      </c>
      <c r="O288" s="5">
        <v>97</v>
      </c>
      <c r="P288" s="5">
        <v>5</v>
      </c>
      <c r="Q288" s="5">
        <v>19.399999999999999</v>
      </c>
      <c r="R288" s="5">
        <v>2.4</v>
      </c>
      <c r="S288" s="5">
        <v>12</v>
      </c>
      <c r="T288" s="5">
        <v>0</v>
      </c>
      <c r="U288" s="5">
        <v>0</v>
      </c>
    </row>
    <row r="289" spans="1:21" x14ac:dyDescent="0.25">
      <c r="A289" t="s">
        <v>2642</v>
      </c>
      <c r="B289" s="5">
        <v>148</v>
      </c>
      <c r="C289" s="5">
        <v>96</v>
      </c>
      <c r="D289" s="5">
        <v>0.64864864864864802</v>
      </c>
      <c r="E289" s="5">
        <v>0.51351351351351304</v>
      </c>
      <c r="F289" s="5">
        <v>0.75</v>
      </c>
      <c r="G289" s="5">
        <v>0.82899829406644898</v>
      </c>
      <c r="H289" s="5">
        <v>0</v>
      </c>
      <c r="I289" s="5">
        <v>0</v>
      </c>
      <c r="J289" s="5">
        <v>0</v>
      </c>
      <c r="K289" s="5">
        <v>0</v>
      </c>
      <c r="L289" s="5">
        <v>1</v>
      </c>
      <c r="M289" s="5">
        <v>0.62666666666666604</v>
      </c>
      <c r="N289" s="5">
        <v>94</v>
      </c>
      <c r="O289" s="5">
        <v>150</v>
      </c>
      <c r="P289" s="5">
        <v>15</v>
      </c>
      <c r="Q289" s="5">
        <v>9.86666666666666</v>
      </c>
      <c r="R289" s="5">
        <v>1</v>
      </c>
      <c r="S289" s="5">
        <v>15</v>
      </c>
      <c r="T289" s="5">
        <v>0</v>
      </c>
      <c r="U289" s="5">
        <v>0</v>
      </c>
    </row>
    <row r="290" spans="1:21" x14ac:dyDescent="0.25">
      <c r="A290" t="s">
        <v>2649</v>
      </c>
      <c r="B290" s="5">
        <v>216</v>
      </c>
      <c r="C290" s="5">
        <v>132</v>
      </c>
      <c r="D290" s="5">
        <v>0.61111111111111105</v>
      </c>
      <c r="E290" s="5">
        <v>0.56018518518518501</v>
      </c>
      <c r="F290" s="5">
        <v>0.71969696969696895</v>
      </c>
      <c r="G290" s="5">
        <v>0.85658326416727903</v>
      </c>
      <c r="H290" s="5">
        <v>3.2407407407407399E-2</v>
      </c>
      <c r="I290" s="5">
        <v>3.2407407407407399E-2</v>
      </c>
      <c r="J290" s="5">
        <v>7</v>
      </c>
      <c r="K290" s="5">
        <v>7</v>
      </c>
      <c r="L290" s="5">
        <v>3</v>
      </c>
      <c r="M290" s="5">
        <v>0.50925925925925897</v>
      </c>
      <c r="N290" s="5">
        <v>110</v>
      </c>
      <c r="O290" s="5">
        <v>216</v>
      </c>
      <c r="P290" s="5">
        <v>6</v>
      </c>
      <c r="Q290" s="5" t="s">
        <v>982</v>
      </c>
      <c r="R290" s="5">
        <v>6.3333333333333304</v>
      </c>
      <c r="S290" s="5">
        <v>38</v>
      </c>
      <c r="T290" s="5">
        <v>0</v>
      </c>
      <c r="U290" s="5">
        <v>0</v>
      </c>
    </row>
    <row r="291" spans="1:21" x14ac:dyDescent="0.25">
      <c r="A291" t="s">
        <v>2658</v>
      </c>
      <c r="B291" s="5">
        <v>157</v>
      </c>
      <c r="C291" s="5">
        <v>104</v>
      </c>
      <c r="D291" s="5">
        <v>0.66242038216560495</v>
      </c>
      <c r="E291" s="5">
        <v>0.50955414012738798</v>
      </c>
      <c r="F291" s="5">
        <v>0.74038461538461497</v>
      </c>
      <c r="G291" s="5">
        <v>0.84209798949745795</v>
      </c>
      <c r="H291" s="5">
        <v>1.9108280254777E-2</v>
      </c>
      <c r="I291" s="5">
        <v>2.54777070063694E-2</v>
      </c>
      <c r="J291" s="5">
        <v>3</v>
      </c>
      <c r="K291" s="5">
        <v>4</v>
      </c>
      <c r="L291" s="5">
        <v>2</v>
      </c>
      <c r="M291" s="5">
        <v>0.50955414012738798</v>
      </c>
      <c r="N291" s="5">
        <v>80</v>
      </c>
      <c r="O291" s="5">
        <v>157</v>
      </c>
      <c r="P291" s="5">
        <v>9</v>
      </c>
      <c r="Q291" s="5">
        <v>17.4444444444444</v>
      </c>
      <c r="R291" s="5">
        <v>3</v>
      </c>
      <c r="S291" s="5">
        <v>27</v>
      </c>
      <c r="T291" s="5">
        <v>0</v>
      </c>
      <c r="U291" s="5">
        <v>0</v>
      </c>
    </row>
    <row r="292" spans="1:21" x14ac:dyDescent="0.25">
      <c r="A292" t="s">
        <v>2666</v>
      </c>
      <c r="B292" s="5">
        <v>211</v>
      </c>
      <c r="C292" s="5">
        <v>144</v>
      </c>
      <c r="D292" s="5">
        <v>0.68246445497630304</v>
      </c>
      <c r="E292" s="5">
        <v>0.47867298578199002</v>
      </c>
      <c r="F292" s="5">
        <v>0.76388888888888795</v>
      </c>
      <c r="G292" s="5">
        <v>0.89273862460710895</v>
      </c>
      <c r="H292" s="5">
        <v>1.8957345971563899E-2</v>
      </c>
      <c r="I292" s="5">
        <v>6.1611374407582901E-2</v>
      </c>
      <c r="J292" s="5">
        <v>4</v>
      </c>
      <c r="K292" s="5">
        <v>13</v>
      </c>
      <c r="L292" s="5">
        <v>2</v>
      </c>
      <c r="M292" s="5">
        <v>0.54028436018957304</v>
      </c>
      <c r="N292" s="5">
        <v>114</v>
      </c>
      <c r="O292" s="5">
        <v>211</v>
      </c>
      <c r="P292" s="5">
        <v>12</v>
      </c>
      <c r="Q292" s="5">
        <v>17.5833333333333</v>
      </c>
      <c r="R292" s="5">
        <v>1.75</v>
      </c>
      <c r="S292" s="5">
        <v>21</v>
      </c>
      <c r="T292" s="5">
        <v>0</v>
      </c>
      <c r="U292" s="5">
        <v>0</v>
      </c>
    </row>
    <row r="293" spans="1:21" x14ac:dyDescent="0.25">
      <c r="A293" t="s">
        <v>2676</v>
      </c>
      <c r="B293" s="5">
        <v>213</v>
      </c>
      <c r="C293" s="5">
        <v>140</v>
      </c>
      <c r="D293" s="5">
        <v>0.65727699530516404</v>
      </c>
      <c r="E293" s="5">
        <v>0.51173708920187699</v>
      </c>
      <c r="F293" s="5">
        <v>0.74285714285714199</v>
      </c>
      <c r="G293" s="5">
        <v>0.88527776813721804</v>
      </c>
      <c r="H293" s="5">
        <v>4.6948356807511703E-3</v>
      </c>
      <c r="I293" s="5">
        <v>1.4084507042253501E-2</v>
      </c>
      <c r="J293" s="5">
        <v>1</v>
      </c>
      <c r="K293" s="5">
        <v>3</v>
      </c>
      <c r="L293" s="5">
        <v>3</v>
      </c>
      <c r="M293" s="5">
        <v>0.49532710280373798</v>
      </c>
      <c r="N293" s="5">
        <v>106</v>
      </c>
      <c r="O293" s="5">
        <v>214</v>
      </c>
      <c r="P293" s="5">
        <v>6</v>
      </c>
      <c r="Q293" s="5">
        <v>35.5</v>
      </c>
      <c r="R293" s="5">
        <v>6</v>
      </c>
      <c r="S293" s="5">
        <v>36</v>
      </c>
      <c r="T293" s="5">
        <v>0</v>
      </c>
      <c r="U293" s="5">
        <v>0</v>
      </c>
    </row>
    <row r="294" spans="1:21" x14ac:dyDescent="0.25">
      <c r="A294" t="s">
        <v>2683</v>
      </c>
      <c r="B294" s="5">
        <v>157</v>
      </c>
      <c r="C294" s="5">
        <v>94</v>
      </c>
      <c r="D294" s="5">
        <v>0.59872611464968095</v>
      </c>
      <c r="E294" s="5">
        <v>0.56050955414012704</v>
      </c>
      <c r="F294" s="5">
        <v>0.73404255319148903</v>
      </c>
      <c r="G294" s="5">
        <v>0.80569285780727795</v>
      </c>
      <c r="H294" s="5">
        <v>3.18471337579617E-2</v>
      </c>
      <c r="I294" s="5">
        <v>1.27388535031847E-2</v>
      </c>
      <c r="J294" s="5">
        <v>5</v>
      </c>
      <c r="K294" s="5">
        <v>2</v>
      </c>
      <c r="L294" s="5">
        <v>1</v>
      </c>
      <c r="M294" s="5">
        <v>0.55414012738853502</v>
      </c>
      <c r="N294" s="5">
        <v>87</v>
      </c>
      <c r="O294" s="5">
        <v>157</v>
      </c>
      <c r="P294" s="5">
        <v>10</v>
      </c>
      <c r="Q294" s="5">
        <v>15.7</v>
      </c>
      <c r="R294" s="5">
        <v>2.5</v>
      </c>
      <c r="S294" s="5">
        <v>25</v>
      </c>
      <c r="T294" s="5">
        <v>0</v>
      </c>
      <c r="U294" s="5">
        <v>0</v>
      </c>
    </row>
    <row r="295" spans="1:21" x14ac:dyDescent="0.25">
      <c r="A295" t="s">
        <v>2689</v>
      </c>
      <c r="B295" s="5">
        <v>95</v>
      </c>
      <c r="C295" s="5">
        <v>76</v>
      </c>
      <c r="D295" s="5">
        <v>0.8</v>
      </c>
      <c r="E295" s="5">
        <v>0.326315789473684</v>
      </c>
      <c r="F295" s="5">
        <v>0.84210526315789402</v>
      </c>
      <c r="G295" s="5">
        <v>0.89297135740188904</v>
      </c>
      <c r="H295" s="5">
        <v>0</v>
      </c>
      <c r="I295" s="5">
        <v>1.0526315789473601E-2</v>
      </c>
      <c r="J295" s="5">
        <v>0</v>
      </c>
      <c r="K295" s="5">
        <v>1</v>
      </c>
      <c r="L295" s="5">
        <v>2</v>
      </c>
      <c r="M295" s="5">
        <v>0.59375</v>
      </c>
      <c r="N295" s="5">
        <v>57</v>
      </c>
      <c r="O295" s="5">
        <v>96</v>
      </c>
      <c r="P295" s="5">
        <v>4</v>
      </c>
      <c r="Q295" s="5">
        <v>23.75</v>
      </c>
      <c r="R295" s="5">
        <v>2</v>
      </c>
      <c r="S295" s="5">
        <v>8</v>
      </c>
      <c r="T295" s="5">
        <v>0</v>
      </c>
      <c r="U295" s="5">
        <v>0</v>
      </c>
    </row>
    <row r="296" spans="1:21" x14ac:dyDescent="0.25">
      <c r="A296" t="s">
        <v>2694</v>
      </c>
      <c r="B296" s="5">
        <v>160</v>
      </c>
      <c r="C296" s="5">
        <v>112</v>
      </c>
      <c r="D296" s="5">
        <v>0.7</v>
      </c>
      <c r="E296" s="5">
        <v>0.41875000000000001</v>
      </c>
      <c r="F296" s="5">
        <v>0.83035714285714202</v>
      </c>
      <c r="G296" s="5">
        <v>0.84411312413406303</v>
      </c>
      <c r="H296" s="5">
        <v>2.5000000000000001E-2</v>
      </c>
      <c r="I296" s="5">
        <v>6.2500000000000003E-3</v>
      </c>
      <c r="J296" s="5">
        <v>4</v>
      </c>
      <c r="K296" s="5">
        <v>1</v>
      </c>
      <c r="L296" s="5">
        <v>3</v>
      </c>
      <c r="M296" s="5">
        <v>0.53416149068322905</v>
      </c>
      <c r="N296" s="5">
        <v>86</v>
      </c>
      <c r="O296" s="5">
        <v>161</v>
      </c>
      <c r="P296" s="5">
        <v>14</v>
      </c>
      <c r="Q296" s="5">
        <v>11.4285714285714</v>
      </c>
      <c r="R296" s="5">
        <v>1.28571428571428</v>
      </c>
      <c r="S296" s="5">
        <v>18</v>
      </c>
      <c r="T296" s="5">
        <v>0</v>
      </c>
      <c r="U296" s="5">
        <v>0</v>
      </c>
    </row>
    <row r="297" spans="1:21" x14ac:dyDescent="0.25">
      <c r="A297" t="s">
        <v>2703</v>
      </c>
      <c r="B297" s="5">
        <v>140</v>
      </c>
      <c r="C297" s="5">
        <v>97</v>
      </c>
      <c r="D297" s="5">
        <v>0.69285714285714195</v>
      </c>
      <c r="E297" s="5">
        <v>0.44285714285714201</v>
      </c>
      <c r="F297" s="5">
        <v>0.80412371134020599</v>
      </c>
      <c r="G297" s="5">
        <v>0.841046341838108</v>
      </c>
      <c r="H297" s="5">
        <v>7.14285714285714E-3</v>
      </c>
      <c r="I297" s="5">
        <v>7.14285714285714E-3</v>
      </c>
      <c r="J297" s="5">
        <v>1</v>
      </c>
      <c r="K297" s="5">
        <v>1</v>
      </c>
      <c r="L297" s="5">
        <v>2</v>
      </c>
      <c r="M297" s="5">
        <v>0.52857142857142803</v>
      </c>
      <c r="N297" s="5">
        <v>74</v>
      </c>
      <c r="O297" s="5">
        <v>140</v>
      </c>
      <c r="P297" s="5">
        <v>8</v>
      </c>
      <c r="Q297" s="5">
        <v>17.5</v>
      </c>
      <c r="R297" s="5">
        <v>1.625</v>
      </c>
      <c r="S297" s="5">
        <v>13</v>
      </c>
      <c r="T297" s="5">
        <v>1</v>
      </c>
      <c r="U297" s="5">
        <v>0.66513270436721905</v>
      </c>
    </row>
    <row r="298" spans="1:21" x14ac:dyDescent="0.25">
      <c r="A298" t="s">
        <v>2712</v>
      </c>
      <c r="B298" s="5">
        <v>140</v>
      </c>
      <c r="C298" s="5">
        <v>102</v>
      </c>
      <c r="D298" s="5">
        <v>0.72857142857142798</v>
      </c>
      <c r="E298" s="5">
        <v>0.42857142857142799</v>
      </c>
      <c r="F298" s="5">
        <v>0.78431372549019596</v>
      </c>
      <c r="G298" s="5">
        <v>0.87586393306904398</v>
      </c>
      <c r="H298" s="5">
        <v>0</v>
      </c>
      <c r="I298" s="5">
        <v>1.42857142857142E-2</v>
      </c>
      <c r="J298" s="5">
        <v>0</v>
      </c>
      <c r="K298" s="5">
        <v>2</v>
      </c>
      <c r="L298" s="5">
        <v>4</v>
      </c>
      <c r="M298" s="5">
        <v>0.560283687943262</v>
      </c>
      <c r="N298" s="5">
        <v>79</v>
      </c>
      <c r="O298" s="5">
        <v>141</v>
      </c>
      <c r="P298" s="5">
        <v>4</v>
      </c>
      <c r="Q298" s="5" t="s">
        <v>2718</v>
      </c>
      <c r="R298" s="5">
        <v>5</v>
      </c>
      <c r="S298" s="5">
        <v>20</v>
      </c>
      <c r="T298" s="5">
        <v>0</v>
      </c>
      <c r="U298" s="5">
        <v>0</v>
      </c>
    </row>
    <row r="299" spans="1:21" x14ac:dyDescent="0.25">
      <c r="A299" t="s">
        <v>2720</v>
      </c>
      <c r="B299" s="5">
        <v>223</v>
      </c>
      <c r="C299" s="5">
        <v>147</v>
      </c>
      <c r="D299" s="5">
        <v>0.65919282511210697</v>
      </c>
      <c r="E299" s="5">
        <v>0.47982062780269003</v>
      </c>
      <c r="F299" s="5">
        <v>0.78911564625850295</v>
      </c>
      <c r="G299" s="5">
        <v>0.870880019877047</v>
      </c>
      <c r="H299" s="5">
        <v>1.79372197309417E-2</v>
      </c>
      <c r="I299" s="5">
        <v>8.9686098654708502E-3</v>
      </c>
      <c r="J299" s="5">
        <v>4</v>
      </c>
      <c r="K299" s="5">
        <v>2</v>
      </c>
      <c r="L299" s="5">
        <v>2</v>
      </c>
      <c r="M299" s="5">
        <v>0.50446428571428503</v>
      </c>
      <c r="N299" s="5">
        <v>113</v>
      </c>
      <c r="O299" s="5">
        <v>224</v>
      </c>
      <c r="P299" s="5">
        <v>29</v>
      </c>
      <c r="Q299" s="5">
        <v>7.68965517241379</v>
      </c>
      <c r="R299" s="5">
        <v>0.79310344827586199</v>
      </c>
      <c r="S299" s="5">
        <v>23</v>
      </c>
      <c r="T299" s="5">
        <v>0</v>
      </c>
      <c r="U299" s="5">
        <v>0</v>
      </c>
    </row>
    <row r="300" spans="1:21" x14ac:dyDescent="0.25">
      <c r="A300" t="s">
        <v>2731</v>
      </c>
      <c r="B300" s="5">
        <v>158</v>
      </c>
      <c r="C300" s="5">
        <v>94</v>
      </c>
      <c r="D300" s="5">
        <v>0.594936708860759</v>
      </c>
      <c r="E300" s="5">
        <v>0.594936708860759</v>
      </c>
      <c r="F300" s="5">
        <v>0.680851063829787</v>
      </c>
      <c r="G300" s="5">
        <v>0.81961077208080901</v>
      </c>
      <c r="H300" s="5">
        <v>6.3291139240506302E-3</v>
      </c>
      <c r="I300" s="5">
        <v>2.53164556962025E-2</v>
      </c>
      <c r="J300" s="5">
        <v>1</v>
      </c>
      <c r="K300" s="5">
        <v>4</v>
      </c>
      <c r="L300" s="5">
        <v>3</v>
      </c>
      <c r="M300" s="5">
        <v>0.474683544303797</v>
      </c>
      <c r="N300" s="5">
        <v>75</v>
      </c>
      <c r="O300" s="5">
        <v>158</v>
      </c>
      <c r="P300" s="5">
        <v>10</v>
      </c>
      <c r="Q300" s="5">
        <v>15.8</v>
      </c>
      <c r="R300" s="5">
        <v>2.6</v>
      </c>
      <c r="S300" s="5">
        <v>26</v>
      </c>
      <c r="T300" s="5">
        <v>0</v>
      </c>
      <c r="U300" s="5">
        <v>0</v>
      </c>
    </row>
    <row r="301" spans="1:21" x14ac:dyDescent="0.25">
      <c r="A301" t="s">
        <v>2739</v>
      </c>
      <c r="B301" s="5">
        <v>173</v>
      </c>
      <c r="C301" s="5">
        <v>107</v>
      </c>
      <c r="D301" s="5">
        <v>0.61849710982658901</v>
      </c>
      <c r="E301" s="5">
        <v>0.50867052023121295</v>
      </c>
      <c r="F301" s="5">
        <v>0.79439252336448596</v>
      </c>
      <c r="G301" s="5">
        <v>0.80273722185182805</v>
      </c>
      <c r="H301" s="5">
        <v>1.1560693641618399E-2</v>
      </c>
      <c r="I301" s="5">
        <v>1.7341040462427699E-2</v>
      </c>
      <c r="J301" s="5">
        <v>2</v>
      </c>
      <c r="K301" s="5">
        <v>3</v>
      </c>
      <c r="L301" s="5">
        <v>4</v>
      </c>
      <c r="M301" s="5">
        <v>0.51445086705202303</v>
      </c>
      <c r="N301" s="5">
        <v>89</v>
      </c>
      <c r="O301" s="5">
        <v>173</v>
      </c>
      <c r="P301" s="5">
        <v>1</v>
      </c>
      <c r="Q301" s="5" t="s">
        <v>2745</v>
      </c>
      <c r="R301" s="5">
        <v>30</v>
      </c>
      <c r="S301" s="5">
        <v>30</v>
      </c>
      <c r="T301" s="5">
        <v>0</v>
      </c>
      <c r="U301" s="5">
        <v>0</v>
      </c>
    </row>
    <row r="302" spans="1:21" x14ac:dyDescent="0.25">
      <c r="A302" t="s">
        <v>2748</v>
      </c>
      <c r="B302" s="5">
        <v>161</v>
      </c>
      <c r="C302" s="5">
        <v>121</v>
      </c>
      <c r="D302" s="5">
        <v>0.75155279503105499</v>
      </c>
      <c r="E302" s="5">
        <v>0.39130434782608697</v>
      </c>
      <c r="F302" s="5">
        <v>0.80991735537190002</v>
      </c>
      <c r="G302" s="5">
        <v>0.90919442123111605</v>
      </c>
      <c r="H302" s="5">
        <v>6.2111801242236003E-3</v>
      </c>
      <c r="I302" s="5">
        <v>3.7267080745341602E-2</v>
      </c>
      <c r="J302" s="5">
        <v>1</v>
      </c>
      <c r="K302" s="5">
        <v>6</v>
      </c>
      <c r="L302" s="5">
        <v>2</v>
      </c>
      <c r="M302" s="5">
        <v>0.59627329192546497</v>
      </c>
      <c r="N302" s="5">
        <v>96</v>
      </c>
      <c r="O302" s="5">
        <v>161</v>
      </c>
      <c r="P302" s="5">
        <v>5</v>
      </c>
      <c r="Q302" s="5">
        <v>32.200000000000003</v>
      </c>
      <c r="R302" s="5">
        <v>3.6</v>
      </c>
      <c r="S302" s="5">
        <v>18</v>
      </c>
      <c r="T302" s="5">
        <v>0</v>
      </c>
      <c r="U302" s="5">
        <v>0</v>
      </c>
    </row>
    <row r="303" spans="1:21" x14ac:dyDescent="0.25">
      <c r="A303" t="s">
        <v>2757</v>
      </c>
      <c r="B303" s="5">
        <v>107</v>
      </c>
      <c r="C303" s="5">
        <v>73</v>
      </c>
      <c r="D303" s="5">
        <v>0.68224299065420502</v>
      </c>
      <c r="E303" s="5">
        <v>0.45794392523364402</v>
      </c>
      <c r="F303" s="5">
        <v>0.79452054794520499</v>
      </c>
      <c r="G303" s="5">
        <v>0.81610269115542999</v>
      </c>
      <c r="H303" s="5">
        <v>1.86915887850467E-2</v>
      </c>
      <c r="I303" s="5">
        <v>9.3457943925233603E-3</v>
      </c>
      <c r="J303" s="5">
        <v>2</v>
      </c>
      <c r="K303" s="5">
        <v>1</v>
      </c>
      <c r="L303" s="5">
        <v>3</v>
      </c>
      <c r="M303" s="5">
        <v>0.490566037735849</v>
      </c>
      <c r="N303" s="5">
        <v>52</v>
      </c>
      <c r="O303" s="5">
        <v>106</v>
      </c>
      <c r="P303" s="5">
        <v>7</v>
      </c>
      <c r="Q303" s="5">
        <v>15.285714285714199</v>
      </c>
      <c r="R303" s="5">
        <v>2.71428571428571</v>
      </c>
      <c r="S303" s="5">
        <v>19</v>
      </c>
      <c r="T303" s="5">
        <v>0</v>
      </c>
      <c r="U303" s="5">
        <v>0</v>
      </c>
    </row>
    <row r="304" spans="1:21" x14ac:dyDescent="0.25">
      <c r="A304" t="s">
        <v>2765</v>
      </c>
      <c r="B304" s="5">
        <v>123</v>
      </c>
      <c r="C304" s="5">
        <v>83</v>
      </c>
      <c r="D304" s="5">
        <v>0.67479674796747902</v>
      </c>
      <c r="E304" s="5">
        <v>0.51219512195121897</v>
      </c>
      <c r="F304" s="5">
        <v>0.72289156626506001</v>
      </c>
      <c r="G304" s="5">
        <v>0.84195384183125699</v>
      </c>
      <c r="H304" s="5">
        <v>3.2520325203252001E-2</v>
      </c>
      <c r="I304" s="5">
        <v>5.6910569105690999E-2</v>
      </c>
      <c r="J304" s="5">
        <v>4</v>
      </c>
      <c r="K304" s="5">
        <v>7</v>
      </c>
      <c r="L304" s="5">
        <v>3</v>
      </c>
      <c r="M304" s="5">
        <v>0.56910569105691</v>
      </c>
      <c r="N304" s="5">
        <v>70</v>
      </c>
      <c r="O304" s="5">
        <v>123</v>
      </c>
      <c r="P304" s="5">
        <v>23</v>
      </c>
      <c r="Q304" s="5">
        <v>5.3478260869565197</v>
      </c>
      <c r="R304" s="5">
        <v>0.56521739130434701</v>
      </c>
      <c r="S304" s="5">
        <v>13</v>
      </c>
      <c r="T304" s="5">
        <v>0</v>
      </c>
      <c r="U304" s="5">
        <v>0</v>
      </c>
    </row>
    <row r="305" spans="1:21" x14ac:dyDescent="0.25">
      <c r="A305" t="s">
        <v>2774</v>
      </c>
      <c r="B305" s="5">
        <v>264</v>
      </c>
      <c r="C305" s="5">
        <v>150</v>
      </c>
      <c r="D305" s="5">
        <v>0.56818181818181801</v>
      </c>
      <c r="E305" s="5">
        <v>0.60606060606060597</v>
      </c>
      <c r="F305" s="5">
        <v>0.69333333333333302</v>
      </c>
      <c r="G305" s="5">
        <v>0.84096554431909898</v>
      </c>
      <c r="H305" s="5">
        <v>3.4090909090908998E-2</v>
      </c>
      <c r="I305" s="5">
        <v>3.7878787878787802E-3</v>
      </c>
      <c r="J305" s="5">
        <v>9</v>
      </c>
      <c r="K305" s="5">
        <v>1</v>
      </c>
      <c r="L305" s="5">
        <v>4</v>
      </c>
      <c r="M305" s="5">
        <v>0.54166666666666596</v>
      </c>
      <c r="N305" s="5">
        <v>143</v>
      </c>
      <c r="O305" s="5">
        <v>264</v>
      </c>
      <c r="P305" s="5">
        <v>46</v>
      </c>
      <c r="Q305" s="5">
        <v>5.7391304347826004</v>
      </c>
      <c r="R305" s="5">
        <v>0.60869565217391297</v>
      </c>
      <c r="S305" s="5">
        <v>28</v>
      </c>
      <c r="T305" s="5">
        <v>0</v>
      </c>
      <c r="U305" s="5">
        <v>0</v>
      </c>
    </row>
    <row r="306" spans="1:21" x14ac:dyDescent="0.25">
      <c r="A306" t="s">
        <v>2780</v>
      </c>
      <c r="B306" s="5">
        <v>251</v>
      </c>
      <c r="C306" s="5">
        <v>160</v>
      </c>
      <c r="D306" s="5">
        <v>0.63745019920318702</v>
      </c>
      <c r="E306" s="5">
        <v>0.52191235059760899</v>
      </c>
      <c r="F306" s="5">
        <v>0.75</v>
      </c>
      <c r="G306" s="5">
        <v>0.87584850633110101</v>
      </c>
      <c r="H306" s="5">
        <v>1.19521912350597E-2</v>
      </c>
      <c r="I306" s="5">
        <v>7.9681274900398405E-3</v>
      </c>
      <c r="J306" s="5">
        <v>3</v>
      </c>
      <c r="K306" s="5">
        <v>2</v>
      </c>
      <c r="L306" s="5">
        <v>3</v>
      </c>
      <c r="M306" s="5">
        <v>0.50996015936254901</v>
      </c>
      <c r="N306" s="5">
        <v>128</v>
      </c>
      <c r="O306" s="5">
        <v>251</v>
      </c>
      <c r="P306" s="5">
        <v>12</v>
      </c>
      <c r="Q306" s="5">
        <v>20.9166666666666</v>
      </c>
      <c r="R306" s="5">
        <v>3.5</v>
      </c>
      <c r="S306" s="5">
        <v>42</v>
      </c>
      <c r="T306" s="5">
        <v>0</v>
      </c>
      <c r="U306" s="5">
        <v>0</v>
      </c>
    </row>
    <row r="307" spans="1:21" x14ac:dyDescent="0.25">
      <c r="A307" t="s">
        <v>2789</v>
      </c>
      <c r="B307" s="5">
        <v>134</v>
      </c>
      <c r="C307" s="5">
        <v>101</v>
      </c>
      <c r="D307" s="5">
        <v>0.75373134328358204</v>
      </c>
      <c r="E307" s="5">
        <v>0.38059701492537301</v>
      </c>
      <c r="F307" s="5">
        <v>0.82178217821782096</v>
      </c>
      <c r="G307" s="5">
        <v>0.88468759239207895</v>
      </c>
      <c r="H307" s="5">
        <v>1.4925373134328301E-2</v>
      </c>
      <c r="I307" s="5">
        <v>4.4776119402985003E-2</v>
      </c>
      <c r="J307" s="5">
        <v>2</v>
      </c>
      <c r="K307" s="5">
        <v>6</v>
      </c>
      <c r="L307" s="5">
        <v>2</v>
      </c>
      <c r="M307" s="5">
        <v>0.55223880597014896</v>
      </c>
      <c r="N307" s="5">
        <v>74</v>
      </c>
      <c r="O307" s="5">
        <v>134</v>
      </c>
      <c r="P307" s="5">
        <v>14</v>
      </c>
      <c r="Q307" s="5">
        <v>9.5714285714285694</v>
      </c>
      <c r="R307" s="5">
        <v>0.78571428571428503</v>
      </c>
      <c r="S307" s="5">
        <v>11</v>
      </c>
      <c r="T307" s="5">
        <v>0</v>
      </c>
      <c r="U307" s="5">
        <v>0</v>
      </c>
    </row>
    <row r="308" spans="1:21" x14ac:dyDescent="0.25">
      <c r="A308" t="s">
        <v>2798</v>
      </c>
      <c r="B308" s="5">
        <v>87</v>
      </c>
      <c r="C308" s="5">
        <v>65</v>
      </c>
      <c r="D308" s="5">
        <v>0.74712643678160895</v>
      </c>
      <c r="E308" s="5">
        <v>0.44827586206896503</v>
      </c>
      <c r="F308" s="5">
        <v>0.73846153846153795</v>
      </c>
      <c r="G308" s="5">
        <v>0.86493859773259696</v>
      </c>
      <c r="H308" s="5">
        <v>0</v>
      </c>
      <c r="I308" s="5">
        <v>3.4482758620689599E-2</v>
      </c>
      <c r="J308" s="5">
        <v>0</v>
      </c>
      <c r="K308" s="5">
        <v>3</v>
      </c>
      <c r="L308" s="5">
        <v>1</v>
      </c>
      <c r="M308" s="5">
        <v>0.62790697674418605</v>
      </c>
      <c r="N308" s="5">
        <v>54</v>
      </c>
      <c r="O308" s="5">
        <v>86</v>
      </c>
      <c r="P308" s="5">
        <v>13</v>
      </c>
      <c r="Q308" s="5">
        <v>6.6923076923076898</v>
      </c>
      <c r="R308" s="5">
        <v>1.07692307692307</v>
      </c>
      <c r="S308" s="5">
        <v>14</v>
      </c>
      <c r="T308" s="5">
        <v>2</v>
      </c>
      <c r="U308" s="5">
        <v>1.24959323136999</v>
      </c>
    </row>
    <row r="309" spans="1:21" x14ac:dyDescent="0.25">
      <c r="A309" t="s">
        <v>2808</v>
      </c>
      <c r="B309" s="5">
        <v>184</v>
      </c>
      <c r="C309" s="5">
        <v>129</v>
      </c>
      <c r="D309" s="5">
        <v>0.70108695652173902</v>
      </c>
      <c r="E309" s="5">
        <v>0.40217391304347799</v>
      </c>
      <c r="F309" s="5">
        <v>0.85271317829457305</v>
      </c>
      <c r="G309" s="5">
        <v>0.861298862694719</v>
      </c>
      <c r="H309" s="5">
        <v>5.9782608695652099E-2</v>
      </c>
      <c r="I309" s="5">
        <v>2.1739130434782601E-2</v>
      </c>
      <c r="J309" s="5">
        <v>11</v>
      </c>
      <c r="K309" s="5">
        <v>4</v>
      </c>
      <c r="L309" s="5">
        <v>4</v>
      </c>
      <c r="M309" s="5">
        <v>0.462365591397849</v>
      </c>
      <c r="N309" s="5">
        <v>86</v>
      </c>
      <c r="O309" s="5">
        <v>186</v>
      </c>
      <c r="P309" s="5">
        <v>20</v>
      </c>
      <c r="Q309" s="5">
        <v>9.1999999999999993</v>
      </c>
      <c r="R309" s="5">
        <v>1.35</v>
      </c>
      <c r="S309" s="5">
        <v>27</v>
      </c>
      <c r="T309" s="5">
        <v>0</v>
      </c>
      <c r="U309" s="5">
        <v>0</v>
      </c>
    </row>
    <row r="310" spans="1:21" x14ac:dyDescent="0.25">
      <c r="A310" t="s">
        <v>2818</v>
      </c>
      <c r="B310" s="5">
        <v>199</v>
      </c>
      <c r="C310" s="5">
        <v>146</v>
      </c>
      <c r="D310" s="5">
        <v>0.733668341708542</v>
      </c>
      <c r="E310" s="5">
        <v>0.40201005025125602</v>
      </c>
      <c r="F310" s="5">
        <v>0.81506849315068497</v>
      </c>
      <c r="G310" s="5">
        <v>0.90973788278541501</v>
      </c>
      <c r="H310" s="5">
        <v>3.0150753768844199E-2</v>
      </c>
      <c r="I310" s="5">
        <v>1.00502512562814E-2</v>
      </c>
      <c r="J310" s="5">
        <v>6</v>
      </c>
      <c r="K310" s="5">
        <v>2</v>
      </c>
      <c r="L310" s="5">
        <v>4</v>
      </c>
      <c r="M310" s="5">
        <v>0.57788944723617997</v>
      </c>
      <c r="N310" s="5">
        <v>115</v>
      </c>
      <c r="O310" s="5">
        <v>199</v>
      </c>
      <c r="P310" s="5">
        <v>11</v>
      </c>
      <c r="Q310" s="5">
        <v>18.090909090909001</v>
      </c>
      <c r="R310" s="5">
        <v>2.3636363636363602</v>
      </c>
      <c r="S310" s="5">
        <v>26</v>
      </c>
      <c r="T310" s="5">
        <v>0</v>
      </c>
      <c r="U310" s="5">
        <v>0</v>
      </c>
    </row>
    <row r="311" spans="1:21" x14ac:dyDescent="0.25">
      <c r="A311" t="s">
        <v>2826</v>
      </c>
      <c r="B311" s="5">
        <v>172</v>
      </c>
      <c r="C311" s="5">
        <v>116</v>
      </c>
      <c r="D311" s="5">
        <v>0.67441860465116199</v>
      </c>
      <c r="E311" s="5">
        <v>0.46511627906976699</v>
      </c>
      <c r="F311" s="5">
        <v>0.79310344827586199</v>
      </c>
      <c r="G311" s="5">
        <v>0.85972435614947795</v>
      </c>
      <c r="H311" s="5">
        <v>2.9069767441860399E-2</v>
      </c>
      <c r="I311" s="5">
        <v>2.3255813953488299E-2</v>
      </c>
      <c r="J311" s="5">
        <v>5</v>
      </c>
      <c r="K311" s="5">
        <v>4</v>
      </c>
      <c r="L311" s="5">
        <v>5</v>
      </c>
      <c r="M311" s="5">
        <v>0.51445086705202303</v>
      </c>
      <c r="N311" s="5">
        <v>89</v>
      </c>
      <c r="O311" s="5">
        <v>173</v>
      </c>
      <c r="P311" s="5">
        <v>15</v>
      </c>
      <c r="Q311" s="5">
        <v>11.466666666666599</v>
      </c>
      <c r="R311" s="5">
        <v>1.6</v>
      </c>
      <c r="S311" s="5">
        <v>24</v>
      </c>
      <c r="T311" s="5">
        <v>1</v>
      </c>
      <c r="U311" s="5">
        <v>0.59887187510526996</v>
      </c>
    </row>
    <row r="312" spans="1:21" x14ac:dyDescent="0.25">
      <c r="A312" t="s">
        <v>2834</v>
      </c>
      <c r="B312" s="5">
        <f>Median!B$3</f>
        <v>157.5</v>
      </c>
      <c r="C312" s="5">
        <f>Median!C$3</f>
        <v>110</v>
      </c>
      <c r="D312" s="5">
        <f>Median!D$3</f>
        <v>0.69680851063829696</v>
      </c>
      <c r="E312" s="5">
        <f>Median!E$3</f>
        <v>0.44512195121951198</v>
      </c>
      <c r="F312" s="5">
        <f>Median!F$3</f>
        <v>0.79347826086956497</v>
      </c>
      <c r="G312" s="5">
        <f>Median!G$3</f>
        <v>0.860642237587948</v>
      </c>
      <c r="H312" s="5">
        <f>Median!H$3</f>
        <v>1.35135135135135E-2</v>
      </c>
      <c r="I312" s="5">
        <f>Median!I$3</f>
        <v>1.4084507042253501E-2</v>
      </c>
      <c r="J312" s="5">
        <f>Median!J$3</f>
        <v>2</v>
      </c>
      <c r="K312" s="5">
        <f>Median!K$3</f>
        <v>2</v>
      </c>
      <c r="L312" s="5">
        <f>Median!L$3</f>
        <v>3</v>
      </c>
      <c r="M312" s="5">
        <f>Median!M$3</f>
        <v>0.54938271604938205</v>
      </c>
      <c r="N312" s="5">
        <f>Median!N$3</f>
        <v>88</v>
      </c>
      <c r="O312" s="5">
        <f>Median!O$3</f>
        <v>158.5</v>
      </c>
      <c r="P312" s="5">
        <f>Median!P$3</f>
        <v>10</v>
      </c>
      <c r="Q312" s="5">
        <f>Median!Q$3</f>
        <v>15.81666666666665</v>
      </c>
      <c r="R312" s="5">
        <f>Median!R$3</f>
        <v>2.1428571428571401</v>
      </c>
      <c r="S312" s="5">
        <f>Median!S$3</f>
        <v>20</v>
      </c>
      <c r="T312" s="5">
        <f>Median!T$3</f>
        <v>0</v>
      </c>
      <c r="U312" s="5">
        <f>Median!U$3</f>
        <v>0</v>
      </c>
    </row>
    <row r="313" spans="1:21" x14ac:dyDescent="0.25">
      <c r="A313" t="s">
        <v>2835</v>
      </c>
      <c r="B313" s="5">
        <v>149</v>
      </c>
      <c r="C313" s="5">
        <v>110</v>
      </c>
      <c r="D313" s="5">
        <v>0.73825503355704702</v>
      </c>
      <c r="E313" s="5">
        <v>0.38255033557046902</v>
      </c>
      <c r="F313" s="5">
        <v>0.83636363636363598</v>
      </c>
      <c r="G313" s="5">
        <v>0.87889046424111095</v>
      </c>
      <c r="H313" s="5">
        <v>0</v>
      </c>
      <c r="I313" s="5">
        <v>6.7114093959731499E-3</v>
      </c>
      <c r="J313" s="5">
        <v>0</v>
      </c>
      <c r="K313" s="5">
        <v>1</v>
      </c>
      <c r="L313" s="5">
        <v>2</v>
      </c>
      <c r="M313" s="5">
        <v>0.577181208053691</v>
      </c>
      <c r="N313" s="5">
        <v>86</v>
      </c>
      <c r="O313" s="5">
        <v>149</v>
      </c>
      <c r="P313" s="5">
        <v>12</v>
      </c>
      <c r="Q313" s="5">
        <v>12.4166666666666</v>
      </c>
      <c r="R313" s="5">
        <v>1.9166666666666601</v>
      </c>
      <c r="S313" s="5">
        <v>23</v>
      </c>
      <c r="T313" s="5">
        <v>0</v>
      </c>
      <c r="U313" s="5">
        <v>0</v>
      </c>
    </row>
    <row r="314" spans="1:21" x14ac:dyDescent="0.25">
      <c r="A314" t="s">
        <v>2842</v>
      </c>
      <c r="B314" s="5">
        <v>190</v>
      </c>
      <c r="C314" s="5">
        <v>123</v>
      </c>
      <c r="D314" s="5">
        <v>0.64736842105263104</v>
      </c>
      <c r="E314" s="5">
        <v>0.5</v>
      </c>
      <c r="F314" s="5">
        <v>0.77235772357723498</v>
      </c>
      <c r="G314" s="5">
        <v>0.83206591697663002</v>
      </c>
      <c r="H314" s="5">
        <v>2.1052631578947299E-2</v>
      </c>
      <c r="I314" s="5">
        <v>0</v>
      </c>
      <c r="J314" s="5">
        <v>4</v>
      </c>
      <c r="K314" s="5">
        <v>0</v>
      </c>
      <c r="L314" s="5">
        <v>4</v>
      </c>
      <c r="M314" s="5">
        <v>0.53926701570680602</v>
      </c>
      <c r="N314" s="5">
        <v>103</v>
      </c>
      <c r="O314" s="5">
        <v>191</v>
      </c>
      <c r="P314" s="5">
        <v>3</v>
      </c>
      <c r="Q314" s="5">
        <v>63.3333333333333</v>
      </c>
      <c r="R314" s="5">
        <v>5.3333333333333304</v>
      </c>
      <c r="S314" s="5">
        <v>16</v>
      </c>
      <c r="T314" s="5">
        <v>0</v>
      </c>
      <c r="U314" s="5">
        <v>0</v>
      </c>
    </row>
    <row r="315" spans="1:21" x14ac:dyDescent="0.25">
      <c r="A315" t="s">
        <v>2850</v>
      </c>
      <c r="B315" s="5">
        <v>229</v>
      </c>
      <c r="C315" s="5">
        <v>131</v>
      </c>
      <c r="D315" s="5">
        <v>0.572052401746724</v>
      </c>
      <c r="E315" s="5">
        <v>0.58515283842794696</v>
      </c>
      <c r="F315" s="5">
        <v>0.72519083969465603</v>
      </c>
      <c r="G315" s="5">
        <v>0.82023860306452601</v>
      </c>
      <c r="H315" s="5">
        <v>1.31004366812227E-2</v>
      </c>
      <c r="I315" s="5">
        <v>5.6768558951964997E-2</v>
      </c>
      <c r="J315" s="5">
        <v>3</v>
      </c>
      <c r="K315" s="5">
        <v>13</v>
      </c>
      <c r="L315" s="5">
        <v>5</v>
      </c>
      <c r="M315" s="5">
        <v>0.49145299145299098</v>
      </c>
      <c r="N315" s="5">
        <v>115</v>
      </c>
      <c r="O315" s="5">
        <v>234</v>
      </c>
      <c r="P315" s="5">
        <v>7</v>
      </c>
      <c r="Q315" s="5">
        <v>32.714285714285701</v>
      </c>
      <c r="R315" s="5">
        <v>5.4285714285714199</v>
      </c>
      <c r="S315" s="5">
        <v>38</v>
      </c>
      <c r="T315" s="5">
        <v>0</v>
      </c>
      <c r="U315" s="5">
        <v>0</v>
      </c>
    </row>
    <row r="316" spans="1:21" x14ac:dyDescent="0.25">
      <c r="A316" t="s">
        <v>2860</v>
      </c>
      <c r="B316" s="5">
        <v>221</v>
      </c>
      <c r="C316" s="5">
        <v>134</v>
      </c>
      <c r="D316" s="5">
        <v>0.60633484162895901</v>
      </c>
      <c r="E316" s="5">
        <v>0.53846153846153799</v>
      </c>
      <c r="F316" s="5">
        <v>0.76119402985074602</v>
      </c>
      <c r="G316" s="5">
        <v>0.835027668027711</v>
      </c>
      <c r="H316" s="5">
        <v>2.2624434389140202E-2</v>
      </c>
      <c r="I316" s="5">
        <v>3.6199095022624403E-2</v>
      </c>
      <c r="J316" s="5">
        <v>5</v>
      </c>
      <c r="K316" s="5">
        <v>8</v>
      </c>
      <c r="L316" s="5">
        <v>3</v>
      </c>
      <c r="M316" s="5">
        <v>0.52036199095022595</v>
      </c>
      <c r="N316" s="5">
        <v>115</v>
      </c>
      <c r="O316" s="5">
        <v>221</v>
      </c>
      <c r="P316" s="5">
        <v>8</v>
      </c>
      <c r="Q316" s="5">
        <v>27.625</v>
      </c>
      <c r="R316" s="5">
        <v>4</v>
      </c>
      <c r="S316" s="5">
        <v>32</v>
      </c>
      <c r="T316" s="5">
        <v>0</v>
      </c>
      <c r="U316" s="5">
        <v>0</v>
      </c>
    </row>
    <row r="317" spans="1:21" x14ac:dyDescent="0.25">
      <c r="A317" t="s">
        <v>2868</v>
      </c>
      <c r="B317" s="5">
        <v>135</v>
      </c>
      <c r="C317" s="5">
        <v>84</v>
      </c>
      <c r="D317" s="5">
        <v>0.62222222222222201</v>
      </c>
      <c r="E317" s="5">
        <v>0.54814814814814805</v>
      </c>
      <c r="F317" s="5">
        <v>0.72619047619047605</v>
      </c>
      <c r="G317" s="5">
        <v>0.80360098047200501</v>
      </c>
      <c r="H317" s="5">
        <v>2.96296296296296E-2</v>
      </c>
      <c r="I317" s="5">
        <v>1.48148148148148E-2</v>
      </c>
      <c r="J317" s="5">
        <v>4</v>
      </c>
      <c r="K317" s="5">
        <v>2</v>
      </c>
      <c r="L317" s="5">
        <v>3</v>
      </c>
      <c r="M317" s="5">
        <v>0.47407407407407398</v>
      </c>
      <c r="N317" s="5">
        <v>64</v>
      </c>
      <c r="O317" s="5">
        <v>135</v>
      </c>
      <c r="P317" s="5">
        <v>13</v>
      </c>
      <c r="Q317" s="5">
        <v>10.3846153846153</v>
      </c>
      <c r="R317" s="5">
        <v>1.2307692307692299</v>
      </c>
      <c r="S317" s="5">
        <v>16</v>
      </c>
      <c r="T317" s="5">
        <v>0</v>
      </c>
      <c r="U317" s="5">
        <v>0</v>
      </c>
    </row>
    <row r="318" spans="1:21" x14ac:dyDescent="0.25">
      <c r="A318" t="s">
        <v>2877</v>
      </c>
      <c r="B318" s="5">
        <v>136</v>
      </c>
      <c r="C318" s="5">
        <v>104</v>
      </c>
      <c r="D318" s="5">
        <v>0.76470588235294101</v>
      </c>
      <c r="E318" s="5">
        <v>0.375</v>
      </c>
      <c r="F318" s="5">
        <v>0.81730769230769196</v>
      </c>
      <c r="G318" s="5">
        <v>0.89692382623741596</v>
      </c>
      <c r="H318" s="5">
        <v>7.3529411764705803E-3</v>
      </c>
      <c r="I318" s="5">
        <v>0</v>
      </c>
      <c r="J318" s="5">
        <v>1</v>
      </c>
      <c r="K318" s="5">
        <v>0</v>
      </c>
      <c r="L318" s="5">
        <v>4</v>
      </c>
      <c r="M318" s="5">
        <v>0.55882352941176405</v>
      </c>
      <c r="N318" s="5">
        <v>76</v>
      </c>
      <c r="O318" s="5">
        <v>136</v>
      </c>
      <c r="P318" s="5">
        <v>5</v>
      </c>
      <c r="Q318" s="5">
        <v>27.2</v>
      </c>
      <c r="R318" s="5">
        <v>2.6</v>
      </c>
      <c r="S318" s="5">
        <v>13</v>
      </c>
      <c r="T318" s="5">
        <v>0</v>
      </c>
      <c r="U318" s="5">
        <v>0</v>
      </c>
    </row>
    <row r="319" spans="1:21" x14ac:dyDescent="0.25">
      <c r="A319" t="s">
        <v>2882</v>
      </c>
      <c r="B319" s="5">
        <v>38</v>
      </c>
      <c r="C319" s="5">
        <v>30</v>
      </c>
      <c r="D319" s="5">
        <v>0.78947368421052599</v>
      </c>
      <c r="E319" s="5">
        <v>0.36842105263157798</v>
      </c>
      <c r="F319" s="5">
        <v>0.8</v>
      </c>
      <c r="G319" s="5">
        <v>0.78947368421052599</v>
      </c>
      <c r="H319" s="5">
        <v>0</v>
      </c>
      <c r="I319" s="5">
        <v>0</v>
      </c>
      <c r="J319" s="5">
        <v>0</v>
      </c>
      <c r="K319" s="5">
        <v>0</v>
      </c>
      <c r="L319" s="5">
        <v>0</v>
      </c>
      <c r="M319" s="5">
        <v>0.42105263157894701</v>
      </c>
      <c r="N319" s="5">
        <v>16</v>
      </c>
      <c r="O319" s="5">
        <v>38</v>
      </c>
      <c r="P319" s="5">
        <v>3</v>
      </c>
      <c r="Q319" s="5">
        <v>12.6666666666666</v>
      </c>
      <c r="R319" s="5">
        <v>1.3333333333333299</v>
      </c>
      <c r="S319" s="5">
        <v>4</v>
      </c>
      <c r="T319" s="5">
        <v>0</v>
      </c>
      <c r="U319" s="5">
        <v>0</v>
      </c>
    </row>
    <row r="320" spans="1:21" x14ac:dyDescent="0.25">
      <c r="A320" t="s">
        <v>2886</v>
      </c>
      <c r="B320" s="5">
        <v>60</v>
      </c>
      <c r="C320" s="5">
        <v>46</v>
      </c>
      <c r="D320" s="5">
        <v>0.76666666666666605</v>
      </c>
      <c r="E320" s="5">
        <v>0.38333333333333303</v>
      </c>
      <c r="F320" s="5">
        <v>0.80434782608695599</v>
      </c>
      <c r="G320" s="5">
        <v>0.81773713945881599</v>
      </c>
      <c r="H320" s="5">
        <v>0</v>
      </c>
      <c r="I320" s="5">
        <v>1.6666666666666601E-2</v>
      </c>
      <c r="J320" s="5">
        <v>0</v>
      </c>
      <c r="K320" s="5">
        <v>1</v>
      </c>
      <c r="L320" s="5">
        <v>1</v>
      </c>
      <c r="M320" s="5">
        <v>0.56666666666666599</v>
      </c>
      <c r="N320" s="5">
        <v>34</v>
      </c>
      <c r="O320" s="5">
        <v>60</v>
      </c>
      <c r="P320" s="5">
        <v>6</v>
      </c>
      <c r="Q320" s="5" t="s">
        <v>638</v>
      </c>
      <c r="R320" s="5">
        <v>0.5</v>
      </c>
      <c r="S320" s="5">
        <v>3</v>
      </c>
      <c r="T320" s="5">
        <v>0</v>
      </c>
      <c r="U320" s="5">
        <v>0</v>
      </c>
    </row>
    <row r="321" spans="1:21" x14ac:dyDescent="0.25">
      <c r="A321" t="s">
        <v>2892</v>
      </c>
      <c r="B321" s="5">
        <v>156</v>
      </c>
      <c r="C321" s="5">
        <v>119</v>
      </c>
      <c r="D321" s="5">
        <v>0.762820512820512</v>
      </c>
      <c r="E321" s="5">
        <v>0.36538461538461497</v>
      </c>
      <c r="F321" s="5">
        <v>0.83193277310924296</v>
      </c>
      <c r="G321" s="5">
        <v>0.90688319678165896</v>
      </c>
      <c r="H321" s="5">
        <v>6.41025641025641E-3</v>
      </c>
      <c r="I321" s="5">
        <v>1.9230769230769201E-2</v>
      </c>
      <c r="J321" s="5">
        <v>1</v>
      </c>
      <c r="K321" s="5">
        <v>3</v>
      </c>
      <c r="L321" s="5">
        <v>4</v>
      </c>
      <c r="M321" s="5">
        <v>0.58598726114649602</v>
      </c>
      <c r="N321" s="5">
        <v>92</v>
      </c>
      <c r="O321" s="5">
        <v>157</v>
      </c>
      <c r="P321" s="5">
        <v>8</v>
      </c>
      <c r="Q321" s="5">
        <v>19.5</v>
      </c>
      <c r="R321" s="5">
        <v>2.875</v>
      </c>
      <c r="S321" s="5">
        <v>23</v>
      </c>
      <c r="T321" s="5">
        <v>0</v>
      </c>
      <c r="U321" s="5">
        <v>0</v>
      </c>
    </row>
    <row r="322" spans="1:21" x14ac:dyDescent="0.25">
      <c r="A322" t="s">
        <v>2899</v>
      </c>
      <c r="B322" s="5">
        <v>176</v>
      </c>
      <c r="C322" s="5">
        <v>109</v>
      </c>
      <c r="D322" s="5">
        <v>0.61931818181818099</v>
      </c>
      <c r="E322" s="5">
        <v>0.5</v>
      </c>
      <c r="F322" s="5">
        <v>0.807339449541284</v>
      </c>
      <c r="G322" s="5">
        <v>0.80564097321501305</v>
      </c>
      <c r="H322" s="5">
        <v>5.6818181818181802E-3</v>
      </c>
      <c r="I322" s="5">
        <v>1.7045454545454499E-2</v>
      </c>
      <c r="J322" s="5">
        <v>1</v>
      </c>
      <c r="K322" s="5">
        <v>3</v>
      </c>
      <c r="L322" s="5">
        <v>2</v>
      </c>
      <c r="M322" s="5">
        <v>0.60795454545454497</v>
      </c>
      <c r="N322" s="5">
        <v>107</v>
      </c>
      <c r="O322" s="5">
        <v>176</v>
      </c>
      <c r="P322" s="5">
        <v>10</v>
      </c>
      <c r="Q322" s="5">
        <v>17.600000000000001</v>
      </c>
      <c r="R322" s="5">
        <v>2</v>
      </c>
      <c r="S322" s="5">
        <v>20</v>
      </c>
      <c r="T322" s="5">
        <v>0</v>
      </c>
      <c r="U322" s="5">
        <v>0</v>
      </c>
    </row>
    <row r="323" spans="1:21" x14ac:dyDescent="0.25">
      <c r="A323" t="s">
        <v>2906</v>
      </c>
      <c r="B323" s="5">
        <v>168</v>
      </c>
      <c r="C323" s="5">
        <v>114</v>
      </c>
      <c r="D323" s="5">
        <v>0.67857142857142805</v>
      </c>
      <c r="E323" s="5">
        <v>0.476190476190476</v>
      </c>
      <c r="F323" s="5">
        <v>0.77192982456140302</v>
      </c>
      <c r="G323" s="5">
        <v>0.87692323321713095</v>
      </c>
      <c r="H323" s="5">
        <v>3.5714285714285698E-2</v>
      </c>
      <c r="I323" s="5">
        <v>3.5714285714285698E-2</v>
      </c>
      <c r="J323" s="5">
        <v>6</v>
      </c>
      <c r="K323" s="5">
        <v>6</v>
      </c>
      <c r="L323" s="5">
        <v>4</v>
      </c>
      <c r="M323" s="5">
        <v>0.57142857142857095</v>
      </c>
      <c r="N323" s="5">
        <v>96</v>
      </c>
      <c r="O323" s="5">
        <v>168</v>
      </c>
      <c r="P323" s="5">
        <v>10</v>
      </c>
      <c r="Q323" s="5">
        <v>16.8</v>
      </c>
      <c r="R323" s="5">
        <v>2.9</v>
      </c>
      <c r="S323" s="5">
        <v>29</v>
      </c>
      <c r="T323" s="5">
        <v>0</v>
      </c>
      <c r="U323" s="5">
        <v>0</v>
      </c>
    </row>
    <row r="324" spans="1:21" x14ac:dyDescent="0.25">
      <c r="A324" t="s">
        <v>2913</v>
      </c>
      <c r="B324" s="5">
        <v>115</v>
      </c>
      <c r="C324" s="5">
        <v>82</v>
      </c>
      <c r="D324" s="5">
        <v>0.713043478260869</v>
      </c>
      <c r="E324" s="5">
        <v>0.40869565217391302</v>
      </c>
      <c r="F324" s="5">
        <v>0.82926829268292601</v>
      </c>
      <c r="G324" s="5">
        <v>0.83944058910645303</v>
      </c>
      <c r="H324" s="5">
        <v>1.7391304347826E-2</v>
      </c>
      <c r="I324" s="5">
        <v>0</v>
      </c>
      <c r="J324" s="5">
        <v>2</v>
      </c>
      <c r="K324" s="5">
        <v>0</v>
      </c>
      <c r="L324" s="5">
        <v>3</v>
      </c>
      <c r="M324" s="5">
        <v>0.57758620689655105</v>
      </c>
      <c r="N324" s="5">
        <v>67</v>
      </c>
      <c r="O324" s="5">
        <v>116</v>
      </c>
      <c r="P324" s="5">
        <v>10</v>
      </c>
      <c r="Q324" s="5">
        <v>11.5</v>
      </c>
      <c r="R324" s="5">
        <v>0.9</v>
      </c>
      <c r="S324" s="5">
        <v>9</v>
      </c>
      <c r="T324" s="5">
        <v>0</v>
      </c>
      <c r="U324" s="5">
        <v>0</v>
      </c>
    </row>
    <row r="325" spans="1:21" x14ac:dyDescent="0.25">
      <c r="A325" t="s">
        <v>2920</v>
      </c>
      <c r="B325" s="5">
        <v>153</v>
      </c>
      <c r="C325" s="5">
        <v>116</v>
      </c>
      <c r="D325" s="5">
        <v>0.75816993464052196</v>
      </c>
      <c r="E325" s="5">
        <v>0.35947712418300598</v>
      </c>
      <c r="F325" s="5">
        <v>0.84482758620689602</v>
      </c>
      <c r="G325" s="5">
        <v>0.88485527998532798</v>
      </c>
      <c r="H325" s="5">
        <v>1.30718954248366E-2</v>
      </c>
      <c r="I325" s="5">
        <v>1.9607843137254902E-2</v>
      </c>
      <c r="J325" s="5">
        <v>2</v>
      </c>
      <c r="K325" s="5">
        <v>3</v>
      </c>
      <c r="L325" s="5">
        <v>4</v>
      </c>
      <c r="M325" s="5">
        <v>0.61437908496731997</v>
      </c>
      <c r="N325" s="5">
        <v>94</v>
      </c>
      <c r="O325" s="5">
        <v>153</v>
      </c>
      <c r="P325" s="5">
        <v>19</v>
      </c>
      <c r="Q325" s="5">
        <v>8.0526315789473593</v>
      </c>
      <c r="R325" s="5">
        <v>0.57894736842105199</v>
      </c>
      <c r="S325" s="5">
        <v>11</v>
      </c>
      <c r="T325" s="5">
        <v>4</v>
      </c>
      <c r="U325" s="5">
        <v>2.4267534399545898</v>
      </c>
    </row>
    <row r="326" spans="1:21" x14ac:dyDescent="0.25">
      <c r="A326" t="s">
        <v>2930</v>
      </c>
      <c r="B326" s="5">
        <v>194</v>
      </c>
      <c r="C326" s="5">
        <v>141</v>
      </c>
      <c r="D326" s="5">
        <v>0.72680412371133996</v>
      </c>
      <c r="E326" s="5">
        <v>0.37113402061855599</v>
      </c>
      <c r="F326" s="5">
        <v>0.86524822695035397</v>
      </c>
      <c r="G326" s="5">
        <v>0.87706376207967396</v>
      </c>
      <c r="H326" s="5">
        <v>1.5463917525773099E-2</v>
      </c>
      <c r="I326" s="5">
        <v>2.5773195876288599E-2</v>
      </c>
      <c r="J326" s="5">
        <v>3</v>
      </c>
      <c r="K326" s="5">
        <v>5</v>
      </c>
      <c r="L326" s="5">
        <v>1</v>
      </c>
      <c r="M326" s="5">
        <v>0.55897435897435899</v>
      </c>
      <c r="N326" s="5">
        <v>109</v>
      </c>
      <c r="O326" s="5">
        <v>195</v>
      </c>
      <c r="P326" s="5">
        <v>9</v>
      </c>
      <c r="Q326" s="5">
        <v>21.5555555555555</v>
      </c>
      <c r="R326" s="5">
        <v>2.1111111111111098</v>
      </c>
      <c r="S326" s="5">
        <v>19</v>
      </c>
      <c r="T326" s="5">
        <v>0</v>
      </c>
      <c r="U326" s="5">
        <v>0</v>
      </c>
    </row>
    <row r="327" spans="1:21" x14ac:dyDescent="0.25">
      <c r="A327" t="s">
        <v>2938</v>
      </c>
      <c r="B327" s="5">
        <v>152</v>
      </c>
      <c r="C327" s="5">
        <v>96</v>
      </c>
      <c r="D327" s="5">
        <v>0.63157894736842102</v>
      </c>
      <c r="E327" s="5">
        <v>0.5</v>
      </c>
      <c r="F327" s="5">
        <v>0.79166666666666596</v>
      </c>
      <c r="G327" s="5">
        <v>0.81184366979237399</v>
      </c>
      <c r="H327" s="5">
        <v>3.2894736842105199E-2</v>
      </c>
      <c r="I327" s="5">
        <v>3.2894736842105199E-2</v>
      </c>
      <c r="J327" s="5">
        <v>5</v>
      </c>
      <c r="K327" s="5">
        <v>5</v>
      </c>
      <c r="L327" s="5">
        <v>4</v>
      </c>
      <c r="M327" s="5">
        <v>0.58169934640522802</v>
      </c>
      <c r="N327" s="5">
        <v>89</v>
      </c>
      <c r="O327" s="5">
        <v>153</v>
      </c>
      <c r="P327" s="5">
        <v>42</v>
      </c>
      <c r="Q327" s="5">
        <v>3.6190476190476102</v>
      </c>
      <c r="R327" s="5">
        <v>0.42857142857142799</v>
      </c>
      <c r="S327" s="5">
        <v>18</v>
      </c>
      <c r="T327" s="5">
        <v>42</v>
      </c>
      <c r="U327" s="5">
        <v>26.9821544366973</v>
      </c>
    </row>
    <row r="328" spans="1:21" x14ac:dyDescent="0.25">
      <c r="A328" t="s">
        <v>2944</v>
      </c>
      <c r="B328" s="5">
        <v>208</v>
      </c>
      <c r="C328" s="5">
        <v>122</v>
      </c>
      <c r="D328" s="5">
        <v>0.58653846153846101</v>
      </c>
      <c r="E328" s="5">
        <v>0.57211538461538403</v>
      </c>
      <c r="F328" s="5">
        <v>0.72950819672131095</v>
      </c>
      <c r="G328" s="5">
        <v>0.82428814891922497</v>
      </c>
      <c r="H328" s="5">
        <v>3.8461538461538401E-2</v>
      </c>
      <c r="I328" s="5">
        <v>9.6153846153846107E-3</v>
      </c>
      <c r="J328" s="5">
        <v>8</v>
      </c>
      <c r="K328" s="5">
        <v>2</v>
      </c>
      <c r="L328" s="5">
        <v>4</v>
      </c>
      <c r="M328" s="5">
        <v>0.48076923076923</v>
      </c>
      <c r="N328" s="5">
        <v>100</v>
      </c>
      <c r="O328" s="5">
        <v>208</v>
      </c>
      <c r="P328" s="5">
        <v>18</v>
      </c>
      <c r="Q328" s="5">
        <v>11.5555555555555</v>
      </c>
      <c r="R328" s="5">
        <v>1.6111111111111101</v>
      </c>
      <c r="S328" s="5">
        <v>29</v>
      </c>
      <c r="T328" s="5">
        <v>0</v>
      </c>
      <c r="U328" s="5">
        <v>0</v>
      </c>
    </row>
    <row r="329" spans="1:21" x14ac:dyDescent="0.25">
      <c r="A329" t="s">
        <v>2950</v>
      </c>
      <c r="B329" s="5">
        <v>209</v>
      </c>
      <c r="C329" s="5">
        <v>141</v>
      </c>
      <c r="D329" s="5">
        <v>0.67464114832535804</v>
      </c>
      <c r="E329" s="5">
        <v>0.46411483253588498</v>
      </c>
      <c r="F329" s="5">
        <v>0.79432624113475103</v>
      </c>
      <c r="G329" s="5">
        <v>0.85943640902990404</v>
      </c>
      <c r="H329" s="5">
        <v>1.43540669856459E-2</v>
      </c>
      <c r="I329" s="5">
        <v>1.9138755980861202E-2</v>
      </c>
      <c r="J329" s="5">
        <v>3</v>
      </c>
      <c r="K329" s="5">
        <v>4</v>
      </c>
      <c r="L329" s="5">
        <v>5</v>
      </c>
      <c r="M329" s="5">
        <v>0.54716981132075404</v>
      </c>
      <c r="N329" s="5">
        <v>116</v>
      </c>
      <c r="O329" s="5">
        <v>212</v>
      </c>
      <c r="P329" s="5">
        <v>19</v>
      </c>
      <c r="Q329" s="5" t="s">
        <v>251</v>
      </c>
      <c r="R329" s="5">
        <v>1.0526315789473599</v>
      </c>
      <c r="S329" s="5">
        <v>20</v>
      </c>
      <c r="T329" s="5">
        <v>1</v>
      </c>
      <c r="U329" s="5">
        <v>0.65749776895939305</v>
      </c>
    </row>
    <row r="330" spans="1:21" x14ac:dyDescent="0.25">
      <c r="A330" t="s">
        <v>2961</v>
      </c>
      <c r="B330" s="5">
        <v>97</v>
      </c>
      <c r="C330" s="5">
        <v>68</v>
      </c>
      <c r="D330" s="5">
        <v>0.70103092783505105</v>
      </c>
      <c r="E330" s="5">
        <v>0.45360824742268002</v>
      </c>
      <c r="F330" s="5">
        <v>0.77941176470588203</v>
      </c>
      <c r="G330" s="5">
        <v>0.82094926060221696</v>
      </c>
      <c r="H330" s="5">
        <v>0</v>
      </c>
      <c r="I330" s="5">
        <v>1.03092783505154E-2</v>
      </c>
      <c r="J330" s="5">
        <v>0</v>
      </c>
      <c r="K330" s="5">
        <v>1</v>
      </c>
      <c r="L330" s="5">
        <v>0</v>
      </c>
      <c r="M330" s="5">
        <v>0.54639175257731898</v>
      </c>
      <c r="N330" s="5">
        <v>53</v>
      </c>
      <c r="O330" s="5">
        <v>97</v>
      </c>
      <c r="P330" s="5">
        <v>8</v>
      </c>
      <c r="Q330" s="5">
        <v>12.125</v>
      </c>
      <c r="R330" s="5">
        <v>1.25</v>
      </c>
      <c r="S330" s="5">
        <v>10</v>
      </c>
      <c r="T330" s="5">
        <v>0</v>
      </c>
      <c r="U330" s="5">
        <v>0</v>
      </c>
    </row>
    <row r="331" spans="1:21" x14ac:dyDescent="0.25">
      <c r="A331" t="s">
        <v>2969</v>
      </c>
      <c r="B331" s="5">
        <v>141</v>
      </c>
      <c r="C331" s="5">
        <v>100</v>
      </c>
      <c r="D331" s="5">
        <v>0.70921985815602795</v>
      </c>
      <c r="E331" s="5">
        <v>0.46099290780141799</v>
      </c>
      <c r="F331" s="5">
        <v>0.76</v>
      </c>
      <c r="G331" s="5">
        <v>0.87779042608995494</v>
      </c>
      <c r="H331" s="5">
        <v>1.4184397163120499E-2</v>
      </c>
      <c r="I331" s="5">
        <v>4.9645390070921898E-2</v>
      </c>
      <c r="J331" s="5">
        <v>2</v>
      </c>
      <c r="K331" s="5">
        <v>7</v>
      </c>
      <c r="L331" s="5">
        <v>1</v>
      </c>
      <c r="M331" s="5">
        <v>0.46478873239436602</v>
      </c>
      <c r="N331" s="5">
        <v>66</v>
      </c>
      <c r="O331" s="5">
        <v>142</v>
      </c>
      <c r="P331" s="5">
        <v>7</v>
      </c>
      <c r="Q331" s="5">
        <v>20.1428571428571</v>
      </c>
      <c r="R331" s="5">
        <v>3.2857142857142798</v>
      </c>
      <c r="S331" s="5">
        <v>23</v>
      </c>
      <c r="T331" s="5">
        <v>0</v>
      </c>
      <c r="U331" s="5">
        <v>0</v>
      </c>
    </row>
    <row r="332" spans="1:21" x14ac:dyDescent="0.25">
      <c r="A332" t="s">
        <v>2977</v>
      </c>
      <c r="B332" s="5">
        <v>185</v>
      </c>
      <c r="C332" s="5">
        <v>136</v>
      </c>
      <c r="D332" s="5">
        <v>0.73513513513513495</v>
      </c>
      <c r="E332" s="5">
        <v>0.41621621621621602</v>
      </c>
      <c r="F332" s="5">
        <v>0.79411764705882304</v>
      </c>
      <c r="G332" s="5">
        <v>0.91056753763384801</v>
      </c>
      <c r="H332" s="5">
        <v>0</v>
      </c>
      <c r="I332" s="5">
        <v>1.62162162162162E-2</v>
      </c>
      <c r="J332" s="5">
        <v>0</v>
      </c>
      <c r="K332" s="5">
        <v>3</v>
      </c>
      <c r="L332" s="5">
        <v>5</v>
      </c>
      <c r="M332" s="5">
        <v>0.55913978494623595</v>
      </c>
      <c r="N332" s="5">
        <v>104</v>
      </c>
      <c r="O332" s="5">
        <v>186</v>
      </c>
      <c r="P332" s="5">
        <v>15</v>
      </c>
      <c r="Q332" s="5">
        <v>12.3333333333333</v>
      </c>
      <c r="R332" s="5">
        <v>1.4</v>
      </c>
      <c r="S332" s="5">
        <v>21</v>
      </c>
      <c r="T332" s="5">
        <v>0</v>
      </c>
      <c r="U332" s="5">
        <v>0</v>
      </c>
    </row>
    <row r="333" spans="1:21" x14ac:dyDescent="0.25">
      <c r="A333" t="s">
        <v>2984</v>
      </c>
      <c r="B333" s="5">
        <v>99</v>
      </c>
      <c r="C333" s="5">
        <v>38</v>
      </c>
      <c r="D333" s="5">
        <v>0.38383838383838298</v>
      </c>
      <c r="E333" s="5">
        <v>0.76767676767676696</v>
      </c>
      <c r="F333" s="5">
        <v>0.60526315789473595</v>
      </c>
      <c r="G333" s="5">
        <v>0.52181689626226901</v>
      </c>
      <c r="H333" s="5">
        <v>0</v>
      </c>
      <c r="I333" s="5">
        <v>2.02020202020202E-2</v>
      </c>
      <c r="J333" s="5">
        <v>0</v>
      </c>
      <c r="K333" s="5">
        <v>2</v>
      </c>
      <c r="L333" s="5">
        <v>2</v>
      </c>
      <c r="M333" s="5">
        <v>0.67708333333333304</v>
      </c>
      <c r="N333" s="5">
        <v>65</v>
      </c>
      <c r="O333" s="5">
        <v>96</v>
      </c>
      <c r="P333" s="5">
        <v>2</v>
      </c>
      <c r="Q333" s="5">
        <v>49.5</v>
      </c>
      <c r="R333" s="5">
        <v>2.5</v>
      </c>
      <c r="S333" s="5">
        <v>5</v>
      </c>
      <c r="T333" s="5">
        <v>0</v>
      </c>
      <c r="U333" s="5">
        <v>0</v>
      </c>
    </row>
    <row r="334" spans="1:21" x14ac:dyDescent="0.25">
      <c r="A334" t="s">
        <v>2991</v>
      </c>
      <c r="B334" s="5">
        <v>173</v>
      </c>
      <c r="C334" s="5">
        <v>122</v>
      </c>
      <c r="D334" s="5">
        <v>0.70520231213872797</v>
      </c>
      <c r="E334" s="5">
        <v>0.42774566473988401</v>
      </c>
      <c r="F334" s="5">
        <v>0.81147540983606503</v>
      </c>
      <c r="G334" s="5">
        <v>0.87024457035338998</v>
      </c>
      <c r="H334" s="5">
        <v>1.1560693641618399E-2</v>
      </c>
      <c r="I334" s="5">
        <v>0</v>
      </c>
      <c r="J334" s="5">
        <v>2</v>
      </c>
      <c r="K334" s="5">
        <v>0</v>
      </c>
      <c r="L334" s="5">
        <v>3</v>
      </c>
      <c r="M334" s="5">
        <v>0.52</v>
      </c>
      <c r="N334" s="5">
        <v>91</v>
      </c>
      <c r="O334" s="5">
        <v>175</v>
      </c>
      <c r="P334" s="5">
        <v>11</v>
      </c>
      <c r="Q334" s="5">
        <v>15.7272727272727</v>
      </c>
      <c r="R334" s="5">
        <v>2.3636363636363602</v>
      </c>
      <c r="S334" s="5">
        <v>26</v>
      </c>
      <c r="T334" s="5">
        <v>0</v>
      </c>
      <c r="U334" s="5">
        <v>0</v>
      </c>
    </row>
    <row r="335" spans="1:21" x14ac:dyDescent="0.25">
      <c r="A335" t="s">
        <v>2998</v>
      </c>
      <c r="B335" s="5">
        <v>131</v>
      </c>
      <c r="C335" s="5">
        <v>96</v>
      </c>
      <c r="D335" s="5">
        <v>0.73282442748091603</v>
      </c>
      <c r="E335" s="5">
        <v>0.43511450381679301</v>
      </c>
      <c r="F335" s="5">
        <v>0.77083333333333304</v>
      </c>
      <c r="G335" s="5">
        <v>0.88044739842502495</v>
      </c>
      <c r="H335" s="5">
        <v>0</v>
      </c>
      <c r="I335" s="5">
        <v>2.2900763358778602E-2</v>
      </c>
      <c r="J335" s="5">
        <v>0</v>
      </c>
      <c r="K335" s="5">
        <v>3</v>
      </c>
      <c r="L335" s="5">
        <v>2</v>
      </c>
      <c r="M335" s="5">
        <v>0.58333333333333304</v>
      </c>
      <c r="N335" s="5">
        <v>77</v>
      </c>
      <c r="O335" s="5">
        <v>132</v>
      </c>
      <c r="P335" s="5">
        <v>16</v>
      </c>
      <c r="Q335" s="5">
        <v>8.1875</v>
      </c>
      <c r="R335" s="5">
        <v>0.5625</v>
      </c>
      <c r="S335" s="5">
        <v>9</v>
      </c>
      <c r="T335" s="5">
        <v>0</v>
      </c>
      <c r="U335" s="5">
        <v>0</v>
      </c>
    </row>
    <row r="336" spans="1:21" x14ac:dyDescent="0.25">
      <c r="A336" t="s">
        <v>3004</v>
      </c>
      <c r="B336" s="5">
        <v>224</v>
      </c>
      <c r="C336" s="5">
        <v>144</v>
      </c>
      <c r="D336" s="5">
        <v>0.64285714285714202</v>
      </c>
      <c r="E336" s="5">
        <v>0.51785714285714202</v>
      </c>
      <c r="F336" s="5">
        <v>0.75</v>
      </c>
      <c r="G336" s="5">
        <v>0.86554789624225803</v>
      </c>
      <c r="H336" s="5">
        <v>2.2321428571428499E-2</v>
      </c>
      <c r="I336" s="5">
        <v>4.4642857142857097E-3</v>
      </c>
      <c r="J336" s="5">
        <v>5</v>
      </c>
      <c r="K336" s="5">
        <v>1</v>
      </c>
      <c r="L336" s="5">
        <v>3</v>
      </c>
      <c r="M336" s="5">
        <v>0.49107142857142799</v>
      </c>
      <c r="N336" s="5">
        <v>110</v>
      </c>
      <c r="O336" s="5">
        <v>224</v>
      </c>
      <c r="P336" s="5">
        <v>12</v>
      </c>
      <c r="Q336" s="5">
        <v>18.6666666666666</v>
      </c>
      <c r="R336" s="5">
        <v>2.3333333333333299</v>
      </c>
      <c r="S336" s="5">
        <v>28</v>
      </c>
      <c r="T336" s="5">
        <v>1</v>
      </c>
      <c r="U336" s="5">
        <v>0.57979417306855996</v>
      </c>
    </row>
    <row r="337" spans="1:21" x14ac:dyDescent="0.25">
      <c r="A337" t="s">
        <v>3013</v>
      </c>
      <c r="B337" s="5">
        <v>191</v>
      </c>
      <c r="C337" s="5">
        <v>97</v>
      </c>
      <c r="D337" s="5">
        <v>0.50785340314136096</v>
      </c>
      <c r="E337" s="5">
        <v>0.65968586387434502</v>
      </c>
      <c r="F337" s="5">
        <v>0.67010309278350499</v>
      </c>
      <c r="G337" s="5">
        <v>0.76514286612746596</v>
      </c>
      <c r="H337" s="5">
        <v>1.5706806282722498E-2</v>
      </c>
      <c r="I337" s="5">
        <v>1.5706806282722498E-2</v>
      </c>
      <c r="J337" s="5">
        <v>3</v>
      </c>
      <c r="K337" s="5">
        <v>3</v>
      </c>
      <c r="L337" s="5">
        <v>2</v>
      </c>
      <c r="M337" s="5">
        <v>0.46354166666666602</v>
      </c>
      <c r="N337" s="5">
        <v>89</v>
      </c>
      <c r="O337" s="5">
        <v>192</v>
      </c>
      <c r="P337" s="5">
        <v>23</v>
      </c>
      <c r="Q337" s="5">
        <v>8.3043478260869499</v>
      </c>
      <c r="R337" s="5">
        <v>1.5652173913043399</v>
      </c>
      <c r="S337" s="5">
        <v>36</v>
      </c>
      <c r="T337" s="5">
        <v>0</v>
      </c>
      <c r="U337" s="5">
        <v>0</v>
      </c>
    </row>
    <row r="338" spans="1:21" x14ac:dyDescent="0.25">
      <c r="A338" t="s">
        <v>3021</v>
      </c>
      <c r="B338" s="5">
        <v>129</v>
      </c>
      <c r="C338" s="5">
        <v>95</v>
      </c>
      <c r="D338" s="5">
        <v>0.73643410852713098</v>
      </c>
      <c r="E338" s="5">
        <v>0.37984496124030998</v>
      </c>
      <c r="F338" s="5">
        <v>0.84210526315789402</v>
      </c>
      <c r="G338" s="5">
        <v>0.86742052296327699</v>
      </c>
      <c r="H338" s="5">
        <v>7.7519379844961196E-3</v>
      </c>
      <c r="I338" s="5">
        <v>1.5503875968992199E-2</v>
      </c>
      <c r="J338" s="5">
        <v>1</v>
      </c>
      <c r="K338" s="5">
        <v>2</v>
      </c>
      <c r="L338" s="5">
        <v>1</v>
      </c>
      <c r="M338" s="5">
        <v>0.59375</v>
      </c>
      <c r="N338" s="5">
        <v>76</v>
      </c>
      <c r="O338" s="5">
        <v>128</v>
      </c>
      <c r="P338" s="5">
        <v>7</v>
      </c>
      <c r="Q338" s="5">
        <v>18.428571428571399</v>
      </c>
      <c r="R338" s="5">
        <v>1.4285714285714199</v>
      </c>
      <c r="S338" s="5">
        <v>10</v>
      </c>
      <c r="T338" s="5">
        <v>0</v>
      </c>
      <c r="U338" s="5">
        <v>0</v>
      </c>
    </row>
    <row r="339" spans="1:21" x14ac:dyDescent="0.25">
      <c r="A339" t="s">
        <v>3027</v>
      </c>
      <c r="B339" s="5">
        <v>256</v>
      </c>
      <c r="C339" s="5">
        <v>152</v>
      </c>
      <c r="D339" s="5">
        <v>0.59375</v>
      </c>
      <c r="E339" s="5">
        <v>0.5546875</v>
      </c>
      <c r="F339" s="5">
        <v>0.75</v>
      </c>
      <c r="G339" s="5">
        <v>0.83590459287793395</v>
      </c>
      <c r="H339" s="5">
        <v>4.296875E-2</v>
      </c>
      <c r="I339" s="5">
        <v>0</v>
      </c>
      <c r="J339" s="5">
        <v>11</v>
      </c>
      <c r="K339" s="5">
        <v>0</v>
      </c>
      <c r="L339" s="5">
        <v>3</v>
      </c>
      <c r="M339" s="5">
        <v>0.571984435797665</v>
      </c>
      <c r="N339" s="5">
        <v>147</v>
      </c>
      <c r="O339" s="5">
        <v>257</v>
      </c>
      <c r="P339" s="5">
        <v>13</v>
      </c>
      <c r="Q339" s="5">
        <v>19.692307692307601</v>
      </c>
      <c r="R339" s="5">
        <v>3.2307692307692299</v>
      </c>
      <c r="S339" s="5">
        <v>42</v>
      </c>
      <c r="T339" s="5">
        <v>0</v>
      </c>
      <c r="U339" s="5">
        <v>0</v>
      </c>
    </row>
    <row r="340" spans="1:21" x14ac:dyDescent="0.25">
      <c r="A340" t="s">
        <v>3033</v>
      </c>
      <c r="B340" s="5">
        <v>162</v>
      </c>
      <c r="C340" s="5">
        <v>119</v>
      </c>
      <c r="D340" s="5">
        <v>0.73456790123456694</v>
      </c>
      <c r="E340" s="5">
        <v>0.37037037037037002</v>
      </c>
      <c r="F340" s="5">
        <v>0.85714285714285698</v>
      </c>
      <c r="G340" s="5">
        <v>0.87368988116582802</v>
      </c>
      <c r="H340" s="5">
        <v>1.23456790123456E-2</v>
      </c>
      <c r="I340" s="5">
        <v>6.1728395061728296E-3</v>
      </c>
      <c r="J340" s="5">
        <v>2</v>
      </c>
      <c r="K340" s="5">
        <v>1</v>
      </c>
      <c r="L340" s="5">
        <v>2</v>
      </c>
      <c r="M340" s="5">
        <v>0.50609756097560898</v>
      </c>
      <c r="N340" s="5">
        <v>83</v>
      </c>
      <c r="O340" s="5">
        <v>164</v>
      </c>
      <c r="P340" s="5">
        <v>6</v>
      </c>
      <c r="Q340" s="5" t="s">
        <v>3038</v>
      </c>
      <c r="R340" s="5">
        <v>3.5</v>
      </c>
      <c r="S340" s="5">
        <v>21</v>
      </c>
      <c r="T340" s="5">
        <v>0</v>
      </c>
      <c r="U340" s="5">
        <v>0</v>
      </c>
    </row>
    <row r="341" spans="1:21" x14ac:dyDescent="0.25">
      <c r="A341" t="s">
        <v>3040</v>
      </c>
      <c r="B341" s="5">
        <v>155</v>
      </c>
      <c r="C341" s="5">
        <v>113</v>
      </c>
      <c r="D341" s="5">
        <v>0.72903225806451599</v>
      </c>
      <c r="E341" s="5">
        <v>0.43870967741935402</v>
      </c>
      <c r="F341" s="5">
        <v>0.76991150442477796</v>
      </c>
      <c r="G341" s="5">
        <v>0.89845343358422602</v>
      </c>
      <c r="H341" s="5">
        <v>3.2258064516128997E-2</v>
      </c>
      <c r="I341" s="5">
        <v>2.5806451612903201E-2</v>
      </c>
      <c r="J341" s="5">
        <v>5</v>
      </c>
      <c r="K341" s="5">
        <v>4</v>
      </c>
      <c r="L341" s="5">
        <v>4</v>
      </c>
      <c r="M341" s="5">
        <v>0.56129032258064504</v>
      </c>
      <c r="N341" s="5">
        <v>87</v>
      </c>
      <c r="O341" s="5">
        <v>155</v>
      </c>
      <c r="P341" s="5">
        <v>10</v>
      </c>
      <c r="Q341" s="5">
        <v>15.5</v>
      </c>
      <c r="R341" s="5">
        <v>1</v>
      </c>
      <c r="S341" s="5">
        <v>10</v>
      </c>
      <c r="T341" s="5">
        <v>0</v>
      </c>
      <c r="U341" s="5">
        <v>0</v>
      </c>
    </row>
    <row r="342" spans="1:21" x14ac:dyDescent="0.25">
      <c r="A342" t="s">
        <v>3044</v>
      </c>
      <c r="B342" s="5">
        <v>169</v>
      </c>
      <c r="C342" s="5">
        <v>105</v>
      </c>
      <c r="D342" s="5">
        <v>0.62130177514792895</v>
      </c>
      <c r="E342" s="5">
        <v>0.54437869822485196</v>
      </c>
      <c r="F342" s="5">
        <v>0.73333333333333295</v>
      </c>
      <c r="G342" s="5">
        <v>0.82741802339077397</v>
      </c>
      <c r="H342" s="5">
        <v>0</v>
      </c>
      <c r="I342" s="5">
        <v>1.7751479289940801E-2</v>
      </c>
      <c r="J342" s="5">
        <v>0</v>
      </c>
      <c r="K342" s="5">
        <v>3</v>
      </c>
      <c r="L342" s="5">
        <v>1</v>
      </c>
      <c r="M342" s="5">
        <v>0.61849710982658901</v>
      </c>
      <c r="N342" s="5">
        <v>107</v>
      </c>
      <c r="O342" s="5">
        <v>173</v>
      </c>
      <c r="P342" s="5">
        <v>12</v>
      </c>
      <c r="Q342" s="5">
        <v>14.0833333333333</v>
      </c>
      <c r="R342" s="5">
        <v>1.5833333333333299</v>
      </c>
      <c r="S342" s="5">
        <v>19</v>
      </c>
      <c r="T342" s="5">
        <v>0</v>
      </c>
      <c r="U342" s="5">
        <v>0</v>
      </c>
    </row>
    <row r="343" spans="1:21" x14ac:dyDescent="0.25">
      <c r="A343" t="s">
        <v>3050</v>
      </c>
      <c r="B343" s="5">
        <v>214</v>
      </c>
      <c r="C343" s="5">
        <v>127</v>
      </c>
      <c r="D343" s="5">
        <v>0.59345794392523299</v>
      </c>
      <c r="E343" s="5">
        <v>0.57009345794392496</v>
      </c>
      <c r="F343" s="5">
        <v>0.72440944881889702</v>
      </c>
      <c r="G343" s="5">
        <v>0.82921449957652105</v>
      </c>
      <c r="H343" s="5">
        <v>4.6728971962616802E-3</v>
      </c>
      <c r="I343" s="5">
        <v>7.4766355140186896E-2</v>
      </c>
      <c r="J343" s="5">
        <v>1</v>
      </c>
      <c r="K343" s="5">
        <v>16</v>
      </c>
      <c r="L343" s="5">
        <v>3</v>
      </c>
      <c r="M343" s="5">
        <v>0.52803738317756999</v>
      </c>
      <c r="N343" s="5">
        <v>113</v>
      </c>
      <c r="O343" s="5">
        <v>214</v>
      </c>
      <c r="P343" s="5">
        <v>11</v>
      </c>
      <c r="Q343" s="5">
        <v>19.4545454545454</v>
      </c>
      <c r="R343" s="5">
        <v>3.4545454545454501</v>
      </c>
      <c r="S343" s="5">
        <v>38</v>
      </c>
      <c r="T343" s="5">
        <v>0</v>
      </c>
      <c r="U343" s="5">
        <v>0</v>
      </c>
    </row>
    <row r="344" spans="1:21" x14ac:dyDescent="0.25">
      <c r="A344" t="s">
        <v>3061</v>
      </c>
      <c r="B344" s="5">
        <v>210</v>
      </c>
      <c r="C344" s="5">
        <v>132</v>
      </c>
      <c r="D344" s="5">
        <v>0.628571428571428</v>
      </c>
      <c r="E344" s="5">
        <v>0.52857142857142803</v>
      </c>
      <c r="F344" s="5">
        <v>0.75</v>
      </c>
      <c r="G344" s="5">
        <v>0.85108742996035802</v>
      </c>
      <c r="H344" s="5">
        <v>6.19047619047619E-2</v>
      </c>
      <c r="I344" s="5">
        <v>2.8571428571428501E-2</v>
      </c>
      <c r="J344" s="5">
        <v>13</v>
      </c>
      <c r="K344" s="5">
        <v>6</v>
      </c>
      <c r="L344" s="5">
        <v>4</v>
      </c>
      <c r="M344" s="5">
        <v>0.48325358851674599</v>
      </c>
      <c r="N344" s="5">
        <v>101</v>
      </c>
      <c r="O344" s="5">
        <v>209</v>
      </c>
      <c r="P344" s="5">
        <v>13</v>
      </c>
      <c r="Q344" s="5">
        <v>16.1538461538461</v>
      </c>
      <c r="R344" s="5">
        <v>2.1538461538461502</v>
      </c>
      <c r="S344" s="5">
        <v>28</v>
      </c>
      <c r="T344" s="5">
        <v>0</v>
      </c>
      <c r="U344" s="5">
        <v>0</v>
      </c>
    </row>
    <row r="345" spans="1:21" x14ac:dyDescent="0.25">
      <c r="A345" t="s">
        <v>3069</v>
      </c>
      <c r="B345" s="5">
        <v>163</v>
      </c>
      <c r="C345" s="5">
        <v>105</v>
      </c>
      <c r="D345" s="5">
        <v>0.64417177914110402</v>
      </c>
      <c r="E345" s="5">
        <v>0.53987730061349604</v>
      </c>
      <c r="F345" s="5">
        <v>0.71428571428571397</v>
      </c>
      <c r="G345" s="5">
        <v>0.85529104816357904</v>
      </c>
      <c r="H345" s="5">
        <v>1.22699386503067E-2</v>
      </c>
      <c r="I345" s="5">
        <v>6.13496932515337E-3</v>
      </c>
      <c r="J345" s="5">
        <v>2</v>
      </c>
      <c r="K345" s="5">
        <v>1</v>
      </c>
      <c r="L345" s="5">
        <v>2</v>
      </c>
      <c r="M345" s="5">
        <v>0.503067484662576</v>
      </c>
      <c r="N345" s="5">
        <v>82</v>
      </c>
      <c r="O345" s="5">
        <v>163</v>
      </c>
      <c r="P345" s="5">
        <v>8</v>
      </c>
      <c r="Q345" s="5">
        <v>20.375</v>
      </c>
      <c r="R345" s="5">
        <v>2.875</v>
      </c>
      <c r="S345" s="5">
        <v>23</v>
      </c>
      <c r="T345" s="5">
        <v>0</v>
      </c>
      <c r="U345" s="5">
        <v>0</v>
      </c>
    </row>
    <row r="346" spans="1:21" x14ac:dyDescent="0.25">
      <c r="A346" t="s">
        <v>3073</v>
      </c>
      <c r="B346" s="5">
        <v>259</v>
      </c>
      <c r="C346" s="5">
        <v>152</v>
      </c>
      <c r="D346" s="5">
        <v>0.58687258687258603</v>
      </c>
      <c r="E346" s="5">
        <v>0.58687258687258603</v>
      </c>
      <c r="F346" s="5">
        <v>0.70394736842105199</v>
      </c>
      <c r="G346" s="5">
        <v>0.85398546002951303</v>
      </c>
      <c r="H346" s="5">
        <v>2.3166023166023099E-2</v>
      </c>
      <c r="I346" s="5">
        <v>1.5444015444015399E-2</v>
      </c>
      <c r="J346" s="5">
        <v>6</v>
      </c>
      <c r="K346" s="5">
        <v>4</v>
      </c>
      <c r="L346" s="5">
        <v>5</v>
      </c>
      <c r="M346" s="5">
        <v>0.51153846153846105</v>
      </c>
      <c r="N346" s="5">
        <v>133</v>
      </c>
      <c r="O346" s="5">
        <v>260</v>
      </c>
      <c r="P346" s="5">
        <v>13</v>
      </c>
      <c r="Q346" s="5">
        <v>19.923076923076898</v>
      </c>
      <c r="R346" s="5">
        <v>2.7692307692307598</v>
      </c>
      <c r="S346" s="5">
        <v>36</v>
      </c>
      <c r="T346" s="5">
        <v>0</v>
      </c>
      <c r="U346" s="5">
        <v>0</v>
      </c>
    </row>
    <row r="347" spans="1:21" x14ac:dyDescent="0.25">
      <c r="A347" t="s">
        <v>3083</v>
      </c>
      <c r="B347" s="5">
        <v>175</v>
      </c>
      <c r="C347" s="5">
        <v>120</v>
      </c>
      <c r="D347" s="5">
        <v>0.68571428571428505</v>
      </c>
      <c r="E347" s="5">
        <v>0.44571428571428501</v>
      </c>
      <c r="F347" s="5">
        <v>0.80833333333333302</v>
      </c>
      <c r="G347" s="5">
        <v>0.87017379294268105</v>
      </c>
      <c r="H347" s="5">
        <v>2.8571428571428501E-2</v>
      </c>
      <c r="I347" s="5">
        <v>0</v>
      </c>
      <c r="J347" s="5">
        <v>5</v>
      </c>
      <c r="K347" s="5">
        <v>0</v>
      </c>
      <c r="L347" s="5">
        <v>4</v>
      </c>
      <c r="M347" s="5">
        <v>0.50568181818181801</v>
      </c>
      <c r="N347" s="5">
        <v>89</v>
      </c>
      <c r="O347" s="5">
        <v>176</v>
      </c>
      <c r="P347" s="5">
        <v>4</v>
      </c>
      <c r="Q347" s="5">
        <v>43.75</v>
      </c>
      <c r="R347" s="5">
        <v>7.25</v>
      </c>
      <c r="S347" s="5">
        <v>29</v>
      </c>
      <c r="T347" s="5">
        <v>0</v>
      </c>
      <c r="U347" s="5">
        <v>0</v>
      </c>
    </row>
    <row r="348" spans="1:21" x14ac:dyDescent="0.25">
      <c r="A348" t="s">
        <v>3091</v>
      </c>
      <c r="B348" s="5">
        <v>181</v>
      </c>
      <c r="C348" s="5">
        <v>134</v>
      </c>
      <c r="D348" s="5">
        <v>0.74033149171270696</v>
      </c>
      <c r="E348" s="5">
        <v>0.37016574585635298</v>
      </c>
      <c r="F348" s="5">
        <v>0.85074626865671599</v>
      </c>
      <c r="G348" s="5">
        <v>0.88740662246851199</v>
      </c>
      <c r="H348" s="5">
        <v>5.5248618784530298E-3</v>
      </c>
      <c r="I348" s="5">
        <v>2.2099447513812098E-2</v>
      </c>
      <c r="J348" s="5">
        <v>1</v>
      </c>
      <c r="K348" s="5">
        <v>4</v>
      </c>
      <c r="L348" s="5">
        <v>2</v>
      </c>
      <c r="M348" s="5">
        <v>0.53591160220994405</v>
      </c>
      <c r="N348" s="5">
        <v>97</v>
      </c>
      <c r="O348" s="5">
        <v>181</v>
      </c>
      <c r="P348" s="5">
        <v>8</v>
      </c>
      <c r="Q348" s="5">
        <v>22.625</v>
      </c>
      <c r="R348" s="5">
        <v>3.125</v>
      </c>
      <c r="S348" s="5">
        <v>25</v>
      </c>
      <c r="T348" s="5">
        <v>0</v>
      </c>
      <c r="U348" s="5">
        <v>0</v>
      </c>
    </row>
    <row r="349" spans="1:21" x14ac:dyDescent="0.25">
      <c r="A349" t="s">
        <v>3099</v>
      </c>
      <c r="B349" s="5">
        <v>151</v>
      </c>
      <c r="C349" s="5">
        <v>104</v>
      </c>
      <c r="D349" s="5">
        <v>0.68874172185430405</v>
      </c>
      <c r="E349" s="5">
        <v>0.43046357615893999</v>
      </c>
      <c r="F349" s="5">
        <v>0.82692307692307598</v>
      </c>
      <c r="G349" s="5">
        <v>0.82472043243109505</v>
      </c>
      <c r="H349" s="5">
        <v>0</v>
      </c>
      <c r="I349" s="5">
        <v>0</v>
      </c>
      <c r="J349" s="5">
        <v>0</v>
      </c>
      <c r="K349" s="5">
        <v>0</v>
      </c>
      <c r="L349" s="5">
        <v>1</v>
      </c>
      <c r="M349" s="5">
        <v>0.59602649006622499</v>
      </c>
      <c r="N349" s="5">
        <v>90</v>
      </c>
      <c r="O349" s="5">
        <v>151</v>
      </c>
      <c r="P349" s="5">
        <v>10</v>
      </c>
      <c r="Q349" s="5">
        <v>15.1</v>
      </c>
      <c r="R349" s="5">
        <v>0.6</v>
      </c>
      <c r="S349" s="5">
        <v>6</v>
      </c>
      <c r="T349" s="5">
        <v>0</v>
      </c>
      <c r="U349" s="5">
        <v>0</v>
      </c>
    </row>
    <row r="350" spans="1:21" x14ac:dyDescent="0.25">
      <c r="A350" t="s">
        <v>3106</v>
      </c>
      <c r="B350" s="5">
        <v>115</v>
      </c>
      <c r="C350" s="5">
        <v>89</v>
      </c>
      <c r="D350" s="5">
        <v>0.77391304347825995</v>
      </c>
      <c r="E350" s="5">
        <v>0.38260869565217298</v>
      </c>
      <c r="F350" s="5">
        <v>0.797752808988764</v>
      </c>
      <c r="G350" s="5">
        <v>0.89909691634950395</v>
      </c>
      <c r="H350" s="5">
        <v>3.4782608695652098E-2</v>
      </c>
      <c r="I350" s="5">
        <v>4.3478260869565202E-2</v>
      </c>
      <c r="J350" s="5">
        <v>4</v>
      </c>
      <c r="K350" s="5">
        <v>5</v>
      </c>
      <c r="L350" s="5">
        <v>4</v>
      </c>
      <c r="M350" s="5">
        <v>0.58620689655172398</v>
      </c>
      <c r="N350" s="5">
        <v>68</v>
      </c>
      <c r="O350" s="5">
        <v>116</v>
      </c>
      <c r="P350" s="5">
        <v>15</v>
      </c>
      <c r="Q350" s="5">
        <v>7.6666666666666599</v>
      </c>
      <c r="R350" s="5">
        <v>0.93333333333333302</v>
      </c>
      <c r="S350" s="5">
        <v>14</v>
      </c>
      <c r="T350" s="5">
        <v>0</v>
      </c>
      <c r="U350" s="5">
        <v>0</v>
      </c>
    </row>
    <row r="351" spans="1:21" x14ac:dyDescent="0.25">
      <c r="A351" t="s">
        <v>3114</v>
      </c>
      <c r="B351" s="5">
        <v>136</v>
      </c>
      <c r="C351" s="5">
        <v>89</v>
      </c>
      <c r="D351" s="5">
        <v>0.65441176470588203</v>
      </c>
      <c r="E351" s="5">
        <v>0.52205882352941102</v>
      </c>
      <c r="F351" s="5">
        <v>0.73033707865168496</v>
      </c>
      <c r="G351" s="5">
        <v>0.83617771628109305</v>
      </c>
      <c r="H351" s="5">
        <v>1.47058823529411E-2</v>
      </c>
      <c r="I351" s="5">
        <v>2.94117647058823E-2</v>
      </c>
      <c r="J351" s="5">
        <v>2</v>
      </c>
      <c r="K351" s="5">
        <v>4</v>
      </c>
      <c r="L351" s="5">
        <v>4</v>
      </c>
      <c r="M351" s="5">
        <v>0.54411764705882304</v>
      </c>
      <c r="N351" s="5">
        <v>74</v>
      </c>
      <c r="O351" s="5">
        <v>136</v>
      </c>
      <c r="P351" s="5">
        <v>9</v>
      </c>
      <c r="Q351" s="5">
        <v>15.1111111111111</v>
      </c>
      <c r="R351" s="5">
        <v>2.2222222222222201</v>
      </c>
      <c r="S351" s="5">
        <v>20</v>
      </c>
      <c r="T351" s="5">
        <v>0</v>
      </c>
      <c r="U351" s="5">
        <v>0</v>
      </c>
    </row>
    <row r="352" spans="1:21" x14ac:dyDescent="0.25">
      <c r="A352" t="s">
        <v>3122</v>
      </c>
      <c r="B352" s="5">
        <v>154</v>
      </c>
      <c r="C352" s="5">
        <v>112</v>
      </c>
      <c r="D352" s="5">
        <v>0.72727272727272696</v>
      </c>
      <c r="E352" s="5">
        <v>0.42857142857142799</v>
      </c>
      <c r="F352" s="5">
        <v>0.78571428571428503</v>
      </c>
      <c r="G352" s="5">
        <v>0.88992196513446398</v>
      </c>
      <c r="H352" s="5">
        <v>1.2987012987012899E-2</v>
      </c>
      <c r="I352" s="5">
        <v>6.4935064935064896E-3</v>
      </c>
      <c r="J352" s="5">
        <v>2</v>
      </c>
      <c r="K352" s="5">
        <v>1</v>
      </c>
      <c r="L352" s="5">
        <v>4</v>
      </c>
      <c r="M352" s="5">
        <v>0.60389610389610304</v>
      </c>
      <c r="N352" s="5">
        <v>93</v>
      </c>
      <c r="O352" s="5">
        <v>154</v>
      </c>
      <c r="P352" s="5">
        <v>11</v>
      </c>
      <c r="Q352" s="5" t="s">
        <v>261</v>
      </c>
      <c r="R352" s="5">
        <v>1.5454545454545401</v>
      </c>
      <c r="S352" s="5">
        <v>17</v>
      </c>
      <c r="T352" s="5">
        <v>0</v>
      </c>
      <c r="U352" s="5">
        <v>0</v>
      </c>
    </row>
    <row r="353" spans="1:21" x14ac:dyDescent="0.25">
      <c r="A353" t="s">
        <v>3127</v>
      </c>
      <c r="B353" s="5">
        <v>216</v>
      </c>
      <c r="C353" s="5">
        <v>156</v>
      </c>
      <c r="D353" s="5">
        <v>0.72222222222222199</v>
      </c>
      <c r="E353" s="5">
        <v>0.38425925925925902</v>
      </c>
      <c r="F353" s="5">
        <v>0.85256410256410198</v>
      </c>
      <c r="G353" s="5">
        <v>0.89114098260959995</v>
      </c>
      <c r="H353" s="5">
        <v>9.2592592592592501E-3</v>
      </c>
      <c r="I353" s="5">
        <v>1.38888888888888E-2</v>
      </c>
      <c r="J353" s="5">
        <v>2</v>
      </c>
      <c r="K353" s="5">
        <v>3</v>
      </c>
      <c r="L353" s="5">
        <v>3</v>
      </c>
      <c r="M353" s="5">
        <v>0.60465116279069697</v>
      </c>
      <c r="N353" s="5">
        <v>130</v>
      </c>
      <c r="O353" s="5">
        <v>215</v>
      </c>
      <c r="P353" s="5">
        <v>7</v>
      </c>
      <c r="Q353" s="5">
        <v>30.857142857142801</v>
      </c>
      <c r="R353" s="5">
        <v>4.4285714285714199</v>
      </c>
      <c r="S353" s="5">
        <v>31</v>
      </c>
      <c r="T353" s="5">
        <v>0</v>
      </c>
      <c r="U353" s="5">
        <v>0</v>
      </c>
    </row>
    <row r="354" spans="1:21" x14ac:dyDescent="0.25">
      <c r="A354" t="s">
        <v>3136</v>
      </c>
      <c r="B354" s="5">
        <v>142</v>
      </c>
      <c r="C354" s="5">
        <v>96</v>
      </c>
      <c r="D354" s="5">
        <v>0.676056338028169</v>
      </c>
      <c r="E354" s="5">
        <v>0.45774647887323899</v>
      </c>
      <c r="F354" s="5">
        <v>0.80208333333333304</v>
      </c>
      <c r="G354" s="5">
        <v>0.82449362781483604</v>
      </c>
      <c r="H354" s="5">
        <v>0</v>
      </c>
      <c r="I354" s="5">
        <v>1.4084507042253501E-2</v>
      </c>
      <c r="J354" s="5">
        <v>0</v>
      </c>
      <c r="K354" s="5">
        <v>2</v>
      </c>
      <c r="L354" s="5">
        <v>2</v>
      </c>
      <c r="M354" s="5">
        <v>0.64084507042253502</v>
      </c>
      <c r="N354" s="5">
        <v>91</v>
      </c>
      <c r="O354" s="5">
        <v>142</v>
      </c>
      <c r="P354" s="5">
        <v>16</v>
      </c>
      <c r="Q354" s="5">
        <v>8.875</v>
      </c>
      <c r="R354" s="5">
        <v>0.625</v>
      </c>
      <c r="S354" s="5">
        <v>10</v>
      </c>
      <c r="T354" s="5">
        <v>0</v>
      </c>
      <c r="U354" s="5">
        <v>0</v>
      </c>
    </row>
    <row r="355" spans="1:21" x14ac:dyDescent="0.25">
      <c r="A355" t="s">
        <v>3144</v>
      </c>
      <c r="B355" s="5">
        <v>140</v>
      </c>
      <c r="C355" s="5">
        <v>99</v>
      </c>
      <c r="D355" s="5">
        <v>0.70714285714285696</v>
      </c>
      <c r="E355" s="5">
        <v>0.42142857142857099</v>
      </c>
      <c r="F355" s="5">
        <v>0.81818181818181801</v>
      </c>
      <c r="G355" s="5">
        <v>0.839891946442618</v>
      </c>
      <c r="H355" s="5">
        <v>0</v>
      </c>
      <c r="I355" s="5">
        <v>1.42857142857142E-2</v>
      </c>
      <c r="J355" s="5">
        <v>0</v>
      </c>
      <c r="K355" s="5">
        <v>2</v>
      </c>
      <c r="L355" s="5">
        <v>4</v>
      </c>
      <c r="M355" s="5">
        <v>0.56428571428571395</v>
      </c>
      <c r="N355" s="5">
        <v>79</v>
      </c>
      <c r="O355" s="5">
        <v>140</v>
      </c>
      <c r="P355" s="5">
        <v>14</v>
      </c>
      <c r="Q355" s="5" t="s">
        <v>638</v>
      </c>
      <c r="R355" s="5">
        <v>1.0714285714285701</v>
      </c>
      <c r="S355" s="5">
        <v>15</v>
      </c>
      <c r="T355" s="5">
        <v>0</v>
      </c>
      <c r="U355" s="5">
        <v>0</v>
      </c>
    </row>
    <row r="356" spans="1:21" x14ac:dyDescent="0.25">
      <c r="A356" t="s">
        <v>3149</v>
      </c>
      <c r="B356" s="5">
        <v>124</v>
      </c>
      <c r="C356" s="5">
        <v>93</v>
      </c>
      <c r="D356" s="5">
        <v>0.75</v>
      </c>
      <c r="E356" s="5">
        <v>0.37096774193548299</v>
      </c>
      <c r="F356" s="5">
        <v>0.83870967741935398</v>
      </c>
      <c r="G356" s="5">
        <v>0.87007437122090003</v>
      </c>
      <c r="H356" s="5">
        <v>0</v>
      </c>
      <c r="I356" s="5">
        <v>1.6129032258064498E-2</v>
      </c>
      <c r="J356" s="5">
        <v>0</v>
      </c>
      <c r="K356" s="5">
        <v>2</v>
      </c>
      <c r="L356" s="5">
        <v>2</v>
      </c>
      <c r="M356" s="5">
        <v>0.59199999999999997</v>
      </c>
      <c r="N356" s="5">
        <v>74</v>
      </c>
      <c r="O356" s="5">
        <v>125</v>
      </c>
      <c r="P356" s="5">
        <v>7</v>
      </c>
      <c r="Q356" s="5">
        <v>17.714285714285701</v>
      </c>
      <c r="R356" s="5">
        <v>1.4285714285714199</v>
      </c>
      <c r="S356" s="5">
        <v>10</v>
      </c>
      <c r="T356" s="5">
        <v>0</v>
      </c>
      <c r="U356" s="5">
        <v>0</v>
      </c>
    </row>
    <row r="357" spans="1:21" x14ac:dyDescent="0.25">
      <c r="A357" t="s">
        <v>3155</v>
      </c>
      <c r="B357" s="5">
        <v>143</v>
      </c>
      <c r="C357" s="5">
        <v>84</v>
      </c>
      <c r="D357" s="5">
        <v>0.58741258741258695</v>
      </c>
      <c r="E357" s="5">
        <v>0.57342657342657299</v>
      </c>
      <c r="F357" s="5">
        <v>0.72619047619047605</v>
      </c>
      <c r="G357" s="5">
        <v>0.79020128632732101</v>
      </c>
      <c r="H357" s="5">
        <v>2.7972027972027899E-2</v>
      </c>
      <c r="I357" s="5">
        <v>1.3986013986013899E-2</v>
      </c>
      <c r="J357" s="5">
        <v>4</v>
      </c>
      <c r="K357" s="5">
        <v>2</v>
      </c>
      <c r="L357" s="5">
        <v>3</v>
      </c>
      <c r="M357" s="5">
        <v>0.42758620689655102</v>
      </c>
      <c r="N357" s="5">
        <v>62</v>
      </c>
      <c r="O357" s="5">
        <v>145</v>
      </c>
      <c r="P357" s="5">
        <v>9</v>
      </c>
      <c r="Q357" s="5">
        <v>15.8888888888888</v>
      </c>
      <c r="R357" s="5">
        <v>3.3333333333333299</v>
      </c>
      <c r="S357" s="5">
        <v>30</v>
      </c>
      <c r="T357" s="5">
        <v>0</v>
      </c>
      <c r="U357" s="5">
        <v>0</v>
      </c>
    </row>
    <row r="358" spans="1:21" x14ac:dyDescent="0.25">
      <c r="A358" t="s">
        <v>3163</v>
      </c>
      <c r="B358" s="5">
        <v>139</v>
      </c>
      <c r="C358" s="5">
        <v>103</v>
      </c>
      <c r="D358" s="5">
        <v>0.74100719424460404</v>
      </c>
      <c r="E358" s="5">
        <v>0.41726618705035901</v>
      </c>
      <c r="F358" s="5">
        <v>0.78640776699029102</v>
      </c>
      <c r="G358" s="5">
        <v>0.894704635666704</v>
      </c>
      <c r="H358" s="5">
        <v>7.1942446043165402E-3</v>
      </c>
      <c r="I358" s="5">
        <v>1.4388489208633001E-2</v>
      </c>
      <c r="J358" s="5">
        <v>1</v>
      </c>
      <c r="K358" s="5">
        <v>2</v>
      </c>
      <c r="L358" s="5">
        <v>3</v>
      </c>
      <c r="M358" s="5">
        <v>0.64028776978417201</v>
      </c>
      <c r="N358" s="5">
        <v>89</v>
      </c>
      <c r="O358" s="5">
        <v>139</v>
      </c>
      <c r="P358" s="5">
        <v>8</v>
      </c>
      <c r="Q358" s="5">
        <v>17.375</v>
      </c>
      <c r="R358" s="5">
        <v>1</v>
      </c>
      <c r="S358" s="5">
        <v>8</v>
      </c>
      <c r="T358" s="5">
        <v>0</v>
      </c>
      <c r="U358" s="5">
        <v>0</v>
      </c>
    </row>
    <row r="359" spans="1:21" x14ac:dyDescent="0.25">
      <c r="A359" t="s">
        <v>3172</v>
      </c>
      <c r="B359" s="5">
        <v>207</v>
      </c>
      <c r="C359" s="5">
        <v>132</v>
      </c>
      <c r="D359" s="5">
        <v>0.63768115942028902</v>
      </c>
      <c r="E359" s="5">
        <v>0.48309178743961301</v>
      </c>
      <c r="F359" s="5">
        <v>0.81060606060606</v>
      </c>
      <c r="G359" s="5">
        <v>0.83664436848304302</v>
      </c>
      <c r="H359" s="5">
        <v>0</v>
      </c>
      <c r="I359" s="5">
        <v>4.8309178743961298E-3</v>
      </c>
      <c r="J359" s="5">
        <v>0</v>
      </c>
      <c r="K359" s="5">
        <v>1</v>
      </c>
      <c r="L359" s="5">
        <v>3</v>
      </c>
      <c r="M359" s="5">
        <v>0.55555555555555503</v>
      </c>
      <c r="N359" s="5">
        <v>115</v>
      </c>
      <c r="O359" s="5">
        <v>207</v>
      </c>
      <c r="P359" s="5">
        <v>18</v>
      </c>
      <c r="Q359" s="5">
        <v>11.5</v>
      </c>
      <c r="R359" s="5">
        <v>0.55555555555555503</v>
      </c>
      <c r="S359" s="5">
        <v>10</v>
      </c>
      <c r="T359" s="5">
        <v>0</v>
      </c>
      <c r="U359" s="5">
        <v>0</v>
      </c>
    </row>
    <row r="360" spans="1:21" x14ac:dyDescent="0.25">
      <c r="A360" t="s">
        <v>3178</v>
      </c>
      <c r="B360" s="5">
        <v>134</v>
      </c>
      <c r="C360" s="5">
        <v>90</v>
      </c>
      <c r="D360" s="5">
        <v>0.67164179104477595</v>
      </c>
      <c r="E360" s="5">
        <v>0.50746268656716398</v>
      </c>
      <c r="F360" s="5">
        <v>0.73333333333333295</v>
      </c>
      <c r="G360" s="5">
        <v>0.84508591209605399</v>
      </c>
      <c r="H360" s="5">
        <v>0</v>
      </c>
      <c r="I360" s="5">
        <v>0</v>
      </c>
      <c r="J360" s="5">
        <v>0</v>
      </c>
      <c r="K360" s="5">
        <v>0</v>
      </c>
      <c r="L360" s="5">
        <v>3</v>
      </c>
      <c r="M360" s="5">
        <v>0.63235294117647001</v>
      </c>
      <c r="N360" s="5">
        <v>86</v>
      </c>
      <c r="O360" s="5">
        <v>136</v>
      </c>
      <c r="P360" s="5">
        <v>12</v>
      </c>
      <c r="Q360" s="5">
        <v>11.1666666666666</v>
      </c>
      <c r="R360" s="5">
        <v>1.0833333333333299</v>
      </c>
      <c r="S360" s="5">
        <v>13</v>
      </c>
      <c r="T360" s="5">
        <v>0</v>
      </c>
      <c r="U360" s="5">
        <v>0</v>
      </c>
    </row>
    <row r="361" spans="1:21" x14ac:dyDescent="0.25">
      <c r="A361" t="s">
        <v>3185</v>
      </c>
      <c r="B361" s="5">
        <v>61</v>
      </c>
      <c r="C361" s="5">
        <v>44</v>
      </c>
      <c r="D361" s="5">
        <v>0.72131147540983598</v>
      </c>
      <c r="E361" s="5">
        <v>0.42622950819672101</v>
      </c>
      <c r="F361" s="5">
        <v>0.79545454545454497</v>
      </c>
      <c r="G361" s="5">
        <v>0.77434194227460396</v>
      </c>
      <c r="H361" s="5">
        <v>0</v>
      </c>
      <c r="I361" s="5">
        <v>3.2786885245901599E-2</v>
      </c>
      <c r="J361" s="5">
        <v>0</v>
      </c>
      <c r="K361" s="5">
        <v>2</v>
      </c>
      <c r="L361" s="5">
        <v>2</v>
      </c>
      <c r="M361" s="5">
        <v>0.59016393442622905</v>
      </c>
      <c r="N361" s="5">
        <v>36</v>
      </c>
      <c r="O361" s="5">
        <v>61</v>
      </c>
      <c r="P361" s="5">
        <v>6</v>
      </c>
      <c r="Q361" s="5">
        <v>10.1666666666666</v>
      </c>
      <c r="R361" s="5">
        <v>0.83333333333333304</v>
      </c>
      <c r="S361" s="5">
        <v>5</v>
      </c>
      <c r="T361" s="5">
        <v>11</v>
      </c>
      <c r="U361" s="5">
        <v>5.5477890011930899</v>
      </c>
    </row>
    <row r="362" spans="1:21" x14ac:dyDescent="0.25">
      <c r="A362" t="s">
        <v>3193</v>
      </c>
      <c r="B362" s="5">
        <v>196</v>
      </c>
      <c r="C362" s="5">
        <v>134</v>
      </c>
      <c r="D362" s="5">
        <v>0.68367346938775497</v>
      </c>
      <c r="E362" s="5">
        <v>0.46428571428571402</v>
      </c>
      <c r="F362" s="5">
        <v>0.78358208955223796</v>
      </c>
      <c r="G362" s="5">
        <v>0.88769246524655099</v>
      </c>
      <c r="H362" s="5">
        <v>2.04081632653061E-2</v>
      </c>
      <c r="I362" s="5">
        <v>0</v>
      </c>
      <c r="J362" s="5">
        <v>4</v>
      </c>
      <c r="K362" s="5">
        <v>0</v>
      </c>
      <c r="L362" s="5">
        <v>3</v>
      </c>
      <c r="M362" s="5">
        <v>0.54358974358974299</v>
      </c>
      <c r="N362" s="5">
        <v>106</v>
      </c>
      <c r="O362" s="5">
        <v>195</v>
      </c>
      <c r="P362" s="5">
        <v>17</v>
      </c>
      <c r="Q362" s="5">
        <v>11.529411764705801</v>
      </c>
      <c r="R362" s="5">
        <v>1.52941176470588</v>
      </c>
      <c r="S362" s="5">
        <v>26</v>
      </c>
      <c r="T362" s="5">
        <v>0</v>
      </c>
      <c r="U362" s="5">
        <v>0</v>
      </c>
    </row>
    <row r="363" spans="1:21" x14ac:dyDescent="0.25">
      <c r="A363" t="s">
        <v>3201</v>
      </c>
      <c r="B363" s="5">
        <v>151</v>
      </c>
      <c r="C363" s="5">
        <v>105</v>
      </c>
      <c r="D363" s="5">
        <v>0.69536423841059603</v>
      </c>
      <c r="E363" s="5">
        <v>0.43046357615893999</v>
      </c>
      <c r="F363" s="5">
        <v>0.81904761904761902</v>
      </c>
      <c r="G363" s="5">
        <v>0.83391197311882403</v>
      </c>
      <c r="H363" s="5">
        <v>6.6225165562913899E-3</v>
      </c>
      <c r="I363" s="5">
        <v>1.32450331125827E-2</v>
      </c>
      <c r="J363" s="5">
        <v>1</v>
      </c>
      <c r="K363" s="5">
        <v>2</v>
      </c>
      <c r="L363" s="5">
        <v>3</v>
      </c>
      <c r="M363" s="5">
        <v>0.60927152317880795</v>
      </c>
      <c r="N363" s="5">
        <v>92</v>
      </c>
      <c r="O363" s="5">
        <v>151</v>
      </c>
      <c r="P363" s="5">
        <v>3</v>
      </c>
      <c r="Q363" s="5">
        <v>50.3333333333333</v>
      </c>
      <c r="R363" s="5">
        <v>7.6666666666666599</v>
      </c>
      <c r="S363" s="5">
        <v>23</v>
      </c>
      <c r="T363" s="5">
        <v>0</v>
      </c>
      <c r="U363" s="5">
        <v>0</v>
      </c>
    </row>
    <row r="364" spans="1:21" x14ac:dyDescent="0.25">
      <c r="A364" t="s">
        <v>3206</v>
      </c>
      <c r="B364" s="5">
        <v>135</v>
      </c>
      <c r="C364" s="5">
        <v>100</v>
      </c>
      <c r="D364" s="5">
        <v>0.74074074074074003</v>
      </c>
      <c r="E364" s="5">
        <v>0.36296296296296299</v>
      </c>
      <c r="F364" s="5">
        <v>0.86</v>
      </c>
      <c r="G364" s="5">
        <v>0.84737583883114598</v>
      </c>
      <c r="H364" s="5">
        <v>1.48148148148148E-2</v>
      </c>
      <c r="I364" s="5">
        <v>2.96296296296296E-2</v>
      </c>
      <c r="J364" s="5">
        <v>2</v>
      </c>
      <c r="K364" s="5">
        <v>4</v>
      </c>
      <c r="L364" s="5">
        <v>2</v>
      </c>
      <c r="M364" s="5">
        <v>0.51851851851851805</v>
      </c>
      <c r="N364" s="5">
        <v>70</v>
      </c>
      <c r="O364" s="5">
        <v>135</v>
      </c>
      <c r="P364" s="5">
        <v>16</v>
      </c>
      <c r="Q364" s="5">
        <v>8.4375</v>
      </c>
      <c r="R364" s="5">
        <v>0.3125</v>
      </c>
      <c r="S364" s="5">
        <v>5</v>
      </c>
      <c r="T364" s="5">
        <v>0</v>
      </c>
      <c r="U364" s="5">
        <v>0</v>
      </c>
    </row>
    <row r="365" spans="1:21" x14ac:dyDescent="0.25">
      <c r="A365" t="s">
        <v>3213</v>
      </c>
      <c r="B365" s="5">
        <v>124</v>
      </c>
      <c r="C365" s="5">
        <v>87</v>
      </c>
      <c r="D365" s="5">
        <v>0.70161290322580605</v>
      </c>
      <c r="E365" s="5">
        <v>0.45967741935483802</v>
      </c>
      <c r="F365" s="5">
        <v>0.77011494252873502</v>
      </c>
      <c r="G365" s="5">
        <v>0.85428652241385195</v>
      </c>
      <c r="H365" s="5">
        <v>2.4193548387096701E-2</v>
      </c>
      <c r="I365" s="5">
        <v>7.25806451612903E-2</v>
      </c>
      <c r="J365" s="5">
        <v>3</v>
      </c>
      <c r="K365" s="5">
        <v>9</v>
      </c>
      <c r="L365" s="5">
        <v>3</v>
      </c>
      <c r="M365" s="5">
        <v>0.483870967741935</v>
      </c>
      <c r="N365" s="5">
        <v>60</v>
      </c>
      <c r="O365" s="5">
        <v>124</v>
      </c>
      <c r="P365" s="5">
        <v>1</v>
      </c>
      <c r="Q365" s="5" t="s">
        <v>2052</v>
      </c>
      <c r="R365" s="5">
        <v>23</v>
      </c>
      <c r="S365" s="5">
        <v>23</v>
      </c>
      <c r="T365" s="5">
        <v>0</v>
      </c>
      <c r="U365" s="5">
        <v>0</v>
      </c>
    </row>
    <row r="366" spans="1:21" x14ac:dyDescent="0.25">
      <c r="A366" t="s">
        <v>3221</v>
      </c>
      <c r="B366" s="5">
        <v>119</v>
      </c>
      <c r="C366" s="5">
        <v>90</v>
      </c>
      <c r="D366" s="5">
        <v>0.75630252100840301</v>
      </c>
      <c r="E366" s="5">
        <v>0.369747899159663</v>
      </c>
      <c r="F366" s="5">
        <v>0.83333333333333304</v>
      </c>
      <c r="G366" s="5">
        <v>0.87327528063416204</v>
      </c>
      <c r="H366" s="5">
        <v>8.4033613445378096E-3</v>
      </c>
      <c r="I366" s="5">
        <v>8.4033613445378096E-3</v>
      </c>
      <c r="J366" s="5">
        <v>1</v>
      </c>
      <c r="K366" s="5">
        <v>1</v>
      </c>
      <c r="L366" s="5">
        <v>2</v>
      </c>
      <c r="M366" s="5">
        <v>0.57983193277310896</v>
      </c>
      <c r="N366" s="5">
        <v>69</v>
      </c>
      <c r="O366" s="5">
        <v>119</v>
      </c>
      <c r="P366" s="5">
        <v>3</v>
      </c>
      <c r="Q366" s="5">
        <v>39.6666666666666</v>
      </c>
      <c r="R366" s="5">
        <v>5.3333333333333304</v>
      </c>
      <c r="S366" s="5">
        <v>16</v>
      </c>
      <c r="T366" s="5">
        <v>0</v>
      </c>
      <c r="U366" s="5">
        <v>0</v>
      </c>
    </row>
    <row r="367" spans="1:21" x14ac:dyDescent="0.25">
      <c r="A367" t="s">
        <v>3227</v>
      </c>
      <c r="B367" s="5">
        <v>186</v>
      </c>
      <c r="C367" s="5">
        <v>122</v>
      </c>
      <c r="D367" s="5">
        <v>0.65591397849462296</v>
      </c>
      <c r="E367" s="5">
        <v>0.5</v>
      </c>
      <c r="F367" s="5">
        <v>0.76229508196721296</v>
      </c>
      <c r="G367" s="5">
        <v>0.86274997157353295</v>
      </c>
      <c r="H367" s="5">
        <v>3.7634408602150497E-2</v>
      </c>
      <c r="I367" s="5">
        <v>5.3763440860214997E-3</v>
      </c>
      <c r="J367" s="5">
        <v>7</v>
      </c>
      <c r="K367" s="5">
        <v>1</v>
      </c>
      <c r="L367" s="5">
        <v>2</v>
      </c>
      <c r="M367" s="5">
        <v>0.51612903225806395</v>
      </c>
      <c r="N367" s="5">
        <v>96</v>
      </c>
      <c r="O367" s="5">
        <v>186</v>
      </c>
      <c r="P367" s="5">
        <v>9</v>
      </c>
      <c r="Q367" s="5">
        <v>20.6666666666666</v>
      </c>
      <c r="R367" s="5">
        <v>2.7777777777777701</v>
      </c>
      <c r="S367" s="5">
        <v>25</v>
      </c>
      <c r="T367" s="5">
        <v>0</v>
      </c>
      <c r="U367" s="5">
        <v>0</v>
      </c>
    </row>
    <row r="368" spans="1:21" x14ac:dyDescent="0.25">
      <c r="A368" t="s">
        <v>3234</v>
      </c>
      <c r="B368" s="5">
        <v>166</v>
      </c>
      <c r="C368" s="5">
        <v>116</v>
      </c>
      <c r="D368" s="5">
        <v>0.69879518072289104</v>
      </c>
      <c r="E368" s="5">
        <v>0.43373493975903599</v>
      </c>
      <c r="F368" s="5">
        <v>0.81034482758620596</v>
      </c>
      <c r="G368" s="5">
        <v>0.85905997082364705</v>
      </c>
      <c r="H368" s="5">
        <v>0</v>
      </c>
      <c r="I368" s="5">
        <v>4.2168674698795101E-2</v>
      </c>
      <c r="J368" s="5">
        <v>0</v>
      </c>
      <c r="K368" s="5">
        <v>7</v>
      </c>
      <c r="L368" s="5">
        <v>4</v>
      </c>
      <c r="M368" s="5">
        <v>0.53012048192771</v>
      </c>
      <c r="N368" s="5">
        <v>88</v>
      </c>
      <c r="O368" s="5">
        <v>166</v>
      </c>
      <c r="P368" s="5">
        <v>9</v>
      </c>
      <c r="Q368" s="5">
        <v>18.4444444444444</v>
      </c>
      <c r="R368" s="5">
        <v>1.88888888888888</v>
      </c>
      <c r="S368" s="5">
        <v>17</v>
      </c>
      <c r="T368" s="5">
        <v>0</v>
      </c>
      <c r="U368" s="5">
        <v>0</v>
      </c>
    </row>
    <row r="369" spans="1:21" x14ac:dyDescent="0.25">
      <c r="A369" t="s">
        <v>3240</v>
      </c>
      <c r="B369" s="5">
        <v>49</v>
      </c>
      <c r="C369" s="5">
        <v>40</v>
      </c>
      <c r="D369" s="5">
        <v>0.81632653061224403</v>
      </c>
      <c r="E369" s="5">
        <v>0.34693877551020402</v>
      </c>
      <c r="F369" s="5">
        <v>0.8</v>
      </c>
      <c r="G369" s="5">
        <v>0.84051599363149498</v>
      </c>
      <c r="H369" s="5">
        <v>0</v>
      </c>
      <c r="I369" s="5">
        <v>2.04081632653061E-2</v>
      </c>
      <c r="J369" s="5">
        <v>0</v>
      </c>
      <c r="K369" s="5">
        <v>1</v>
      </c>
      <c r="L369" s="5">
        <v>1</v>
      </c>
      <c r="M369" s="5">
        <v>0.51020408163265296</v>
      </c>
      <c r="N369" s="5">
        <v>25</v>
      </c>
      <c r="O369" s="5">
        <v>49</v>
      </c>
      <c r="P369" s="5">
        <v>5</v>
      </c>
      <c r="Q369" s="5">
        <v>9.8000000000000007</v>
      </c>
      <c r="R369" s="5">
        <v>0.8</v>
      </c>
      <c r="S369" s="5">
        <v>4</v>
      </c>
      <c r="T369" s="5">
        <v>0</v>
      </c>
      <c r="U369" s="5">
        <v>0</v>
      </c>
    </row>
    <row r="370" spans="1:21" x14ac:dyDescent="0.25">
      <c r="A370" t="s">
        <v>3247</v>
      </c>
      <c r="B370" s="5">
        <v>201</v>
      </c>
      <c r="C370" s="5">
        <v>137</v>
      </c>
      <c r="D370" s="5">
        <v>0.68159203980099503</v>
      </c>
      <c r="E370" s="5">
        <v>0.46766169154228798</v>
      </c>
      <c r="F370" s="5">
        <v>0.78102189781021902</v>
      </c>
      <c r="G370" s="5">
        <v>0.87137795698242104</v>
      </c>
      <c r="H370" s="5">
        <v>1.4925373134328301E-2</v>
      </c>
      <c r="I370" s="5">
        <v>4.97512437810945E-3</v>
      </c>
      <c r="J370" s="5">
        <v>3</v>
      </c>
      <c r="K370" s="5">
        <v>1</v>
      </c>
      <c r="L370" s="5">
        <v>3</v>
      </c>
      <c r="M370" s="5">
        <v>0.475247524752475</v>
      </c>
      <c r="N370" s="5">
        <v>96</v>
      </c>
      <c r="O370" s="5">
        <v>202</v>
      </c>
      <c r="P370" s="5">
        <v>11</v>
      </c>
      <c r="Q370" s="5">
        <v>18.272727272727199</v>
      </c>
      <c r="R370" s="5">
        <v>2.2727272727272698</v>
      </c>
      <c r="S370" s="5">
        <v>25</v>
      </c>
      <c r="T370" s="5">
        <v>0</v>
      </c>
      <c r="U370" s="5">
        <v>0</v>
      </c>
    </row>
    <row r="371" spans="1:21" x14ac:dyDescent="0.25">
      <c r="A371" t="s">
        <v>3256</v>
      </c>
      <c r="B371" s="5">
        <v>206</v>
      </c>
      <c r="C371" s="5">
        <v>135</v>
      </c>
      <c r="D371" s="5">
        <v>0.65533980582524198</v>
      </c>
      <c r="E371" s="5">
        <v>0.45145631067961101</v>
      </c>
      <c r="F371" s="5">
        <v>0.83703703703703702</v>
      </c>
      <c r="G371" s="5">
        <v>0.83965633780125604</v>
      </c>
      <c r="H371" s="5">
        <v>9.7087378640776604E-3</v>
      </c>
      <c r="I371" s="5">
        <v>1.94174757281553E-2</v>
      </c>
      <c r="J371" s="5">
        <v>2</v>
      </c>
      <c r="K371" s="5">
        <v>4</v>
      </c>
      <c r="L371" s="5">
        <v>5</v>
      </c>
      <c r="M371" s="5">
        <v>0.57073170731707301</v>
      </c>
      <c r="N371" s="5">
        <v>117</v>
      </c>
      <c r="O371" s="5">
        <v>205</v>
      </c>
      <c r="P371" s="5">
        <v>8</v>
      </c>
      <c r="Q371" s="5">
        <v>25.75</v>
      </c>
      <c r="R371" s="5">
        <v>3.125</v>
      </c>
      <c r="S371" s="5">
        <v>25</v>
      </c>
      <c r="T371" s="5">
        <v>0</v>
      </c>
      <c r="U371" s="5">
        <v>0</v>
      </c>
    </row>
    <row r="372" spans="1:21" x14ac:dyDescent="0.25">
      <c r="A372" t="s">
        <v>3264</v>
      </c>
      <c r="B372" s="5">
        <v>147</v>
      </c>
      <c r="C372" s="5">
        <v>108</v>
      </c>
      <c r="D372" s="5">
        <v>0.73469387755102</v>
      </c>
      <c r="E372" s="5">
        <v>0.37414965986394499</v>
      </c>
      <c r="F372" s="5">
        <v>0.85185185185185097</v>
      </c>
      <c r="G372" s="5">
        <v>0.86208947605862696</v>
      </c>
      <c r="H372" s="5">
        <v>2.04081632653061E-2</v>
      </c>
      <c r="I372" s="5">
        <v>0</v>
      </c>
      <c r="J372" s="5">
        <v>3</v>
      </c>
      <c r="K372" s="5">
        <v>0</v>
      </c>
      <c r="L372" s="5">
        <v>4</v>
      </c>
      <c r="M372" s="5">
        <v>0.50335570469798596</v>
      </c>
      <c r="N372" s="5">
        <v>75</v>
      </c>
      <c r="O372" s="5">
        <v>149</v>
      </c>
      <c r="P372" s="5">
        <v>4</v>
      </c>
      <c r="Q372" s="5">
        <v>36.75</v>
      </c>
      <c r="R372" s="5">
        <v>5.5</v>
      </c>
      <c r="S372" s="5">
        <v>22</v>
      </c>
      <c r="T372" s="5">
        <v>0</v>
      </c>
      <c r="U372" s="5">
        <v>0</v>
      </c>
    </row>
    <row r="373" spans="1:21" x14ac:dyDescent="0.25">
      <c r="A373" t="s">
        <v>3271</v>
      </c>
      <c r="B373" s="5">
        <v>190</v>
      </c>
      <c r="C373" s="5">
        <v>114</v>
      </c>
      <c r="D373" s="5">
        <v>0.6</v>
      </c>
      <c r="E373" s="5">
        <v>0.57368421052631502</v>
      </c>
      <c r="F373" s="5">
        <v>0.71052631578947301</v>
      </c>
      <c r="G373" s="5">
        <v>0.844985480152741</v>
      </c>
      <c r="H373" s="5">
        <v>1.5789473684210499E-2</v>
      </c>
      <c r="I373" s="5">
        <v>2.6315789473684199E-2</v>
      </c>
      <c r="J373" s="5">
        <v>3</v>
      </c>
      <c r="K373" s="5">
        <v>5</v>
      </c>
      <c r="L373" s="5">
        <v>3</v>
      </c>
      <c r="M373" s="5">
        <v>0.52631578947368396</v>
      </c>
      <c r="N373" s="5">
        <v>100</v>
      </c>
      <c r="O373" s="5">
        <v>190</v>
      </c>
      <c r="P373" s="5">
        <v>11</v>
      </c>
      <c r="Q373" s="5">
        <v>17.272727272727199</v>
      </c>
      <c r="R373" s="5">
        <v>3.3636363636363602</v>
      </c>
      <c r="S373" s="5">
        <v>37</v>
      </c>
      <c r="T373" s="5">
        <v>0</v>
      </c>
      <c r="U373" s="5">
        <v>0</v>
      </c>
    </row>
    <row r="374" spans="1:21" x14ac:dyDescent="0.25">
      <c r="A374" t="s">
        <v>3279</v>
      </c>
      <c r="B374" s="5">
        <v>182</v>
      </c>
      <c r="C374" s="5">
        <v>117</v>
      </c>
      <c r="D374" s="5">
        <v>0.64285714285714202</v>
      </c>
      <c r="E374" s="5">
        <v>0.55494505494505497</v>
      </c>
      <c r="F374" s="5">
        <v>0.69230769230769196</v>
      </c>
      <c r="G374" s="5">
        <v>0.86701682648189304</v>
      </c>
      <c r="H374" s="5">
        <v>1.6483516483516401E-2</v>
      </c>
      <c r="I374" s="5">
        <v>0</v>
      </c>
      <c r="J374" s="5">
        <v>3</v>
      </c>
      <c r="K374" s="5">
        <v>0</v>
      </c>
      <c r="L374" s="5">
        <v>4</v>
      </c>
      <c r="M374" s="5">
        <v>0.61621621621621603</v>
      </c>
      <c r="N374" s="5">
        <v>114</v>
      </c>
      <c r="O374" s="5">
        <v>185</v>
      </c>
      <c r="P374" s="5">
        <v>18</v>
      </c>
      <c r="Q374" s="5">
        <v>10.1111111111111</v>
      </c>
      <c r="R374" s="5">
        <v>1.6111111111111101</v>
      </c>
      <c r="S374" s="5">
        <v>29</v>
      </c>
      <c r="T374" s="5">
        <v>0</v>
      </c>
      <c r="U374" s="5">
        <v>0</v>
      </c>
    </row>
    <row r="375" spans="1:21" x14ac:dyDescent="0.25">
      <c r="A375" t="s">
        <v>3286</v>
      </c>
      <c r="B375" s="5">
        <v>128</v>
      </c>
      <c r="C375" s="5">
        <v>81</v>
      </c>
      <c r="D375" s="5">
        <v>0.6328125</v>
      </c>
      <c r="E375" s="5">
        <v>0.5234375</v>
      </c>
      <c r="F375" s="5">
        <v>0.75308641975308599</v>
      </c>
      <c r="G375" s="5">
        <v>0.79740762823314004</v>
      </c>
      <c r="H375" s="5">
        <v>1.5625E-2</v>
      </c>
      <c r="I375" s="5">
        <v>1.5625E-2</v>
      </c>
      <c r="J375" s="5">
        <v>2</v>
      </c>
      <c r="K375" s="5">
        <v>2</v>
      </c>
      <c r="L375" s="5">
        <v>1</v>
      </c>
      <c r="M375" s="5">
        <v>0.4765625</v>
      </c>
      <c r="N375" s="5">
        <v>61</v>
      </c>
      <c r="O375" s="5">
        <v>128</v>
      </c>
      <c r="P375" s="5">
        <v>12</v>
      </c>
      <c r="Q375" s="5">
        <v>10.6666666666666</v>
      </c>
      <c r="R375" s="5">
        <v>1.1666666666666601</v>
      </c>
      <c r="S375" s="5">
        <v>14</v>
      </c>
      <c r="T375" s="5">
        <v>0</v>
      </c>
      <c r="U375" s="5">
        <v>0</v>
      </c>
    </row>
    <row r="376" spans="1:21" x14ac:dyDescent="0.25">
      <c r="A376" t="s">
        <v>3295</v>
      </c>
      <c r="B376" s="5">
        <v>113</v>
      </c>
      <c r="C376" s="5">
        <v>78</v>
      </c>
      <c r="D376" s="5">
        <v>0.69026548672566301</v>
      </c>
      <c r="E376" s="5">
        <v>0.47787610619469001</v>
      </c>
      <c r="F376" s="5">
        <v>0.75641025641025605</v>
      </c>
      <c r="G376" s="5">
        <v>0.83493750991609295</v>
      </c>
      <c r="H376" s="5">
        <v>8.8495575221238902E-3</v>
      </c>
      <c r="I376" s="5">
        <v>2.6548672566371601E-2</v>
      </c>
      <c r="J376" s="5">
        <v>1</v>
      </c>
      <c r="K376" s="5">
        <v>3</v>
      </c>
      <c r="L376" s="5">
        <v>3</v>
      </c>
      <c r="M376" s="5">
        <v>0.67256637168141598</v>
      </c>
      <c r="N376" s="5">
        <v>76</v>
      </c>
      <c r="O376" s="5">
        <v>113</v>
      </c>
      <c r="P376" s="5">
        <v>25</v>
      </c>
      <c r="Q376" s="5">
        <v>4.5199999999999996</v>
      </c>
      <c r="R376" s="5">
        <v>0.12</v>
      </c>
      <c r="S376" s="5">
        <v>3</v>
      </c>
      <c r="T376" s="5">
        <v>0</v>
      </c>
      <c r="U376" s="5">
        <v>0</v>
      </c>
    </row>
    <row r="377" spans="1:21" x14ac:dyDescent="0.25">
      <c r="A377" t="s">
        <v>3304</v>
      </c>
      <c r="B377" s="5">
        <v>114</v>
      </c>
      <c r="C377" s="5">
        <v>70</v>
      </c>
      <c r="D377" s="5">
        <v>0.61403508771929804</v>
      </c>
      <c r="E377" s="5">
        <v>0.58771929824561397</v>
      </c>
      <c r="F377" s="5">
        <v>0.67142857142857104</v>
      </c>
      <c r="G377" s="5">
        <v>0.79053183182508402</v>
      </c>
      <c r="H377" s="5">
        <v>3.5087719298245598E-2</v>
      </c>
      <c r="I377" s="5">
        <v>1.7543859649122799E-2</v>
      </c>
      <c r="J377" s="5">
        <v>4</v>
      </c>
      <c r="K377" s="5">
        <v>2</v>
      </c>
      <c r="L377" s="5">
        <v>4</v>
      </c>
      <c r="M377" s="5">
        <v>0.47368421052631499</v>
      </c>
      <c r="N377" s="5">
        <v>54</v>
      </c>
      <c r="O377" s="5">
        <v>114</v>
      </c>
      <c r="P377" s="5">
        <v>10</v>
      </c>
      <c r="Q377" s="5">
        <v>11.4</v>
      </c>
      <c r="R377" s="5">
        <v>2.2999999999999998</v>
      </c>
      <c r="S377" s="5">
        <v>23</v>
      </c>
      <c r="T377" s="5">
        <v>0</v>
      </c>
      <c r="U377" s="5">
        <v>0</v>
      </c>
    </row>
    <row r="378" spans="1:21" x14ac:dyDescent="0.25">
      <c r="A378" t="s">
        <v>3311</v>
      </c>
      <c r="B378" s="5">
        <v>209</v>
      </c>
      <c r="C378" s="5">
        <v>138</v>
      </c>
      <c r="D378" s="5">
        <v>0.66028708133971203</v>
      </c>
      <c r="E378" s="5">
        <v>0.44976076555023897</v>
      </c>
      <c r="F378" s="5">
        <v>0.83333333333333304</v>
      </c>
      <c r="G378" s="5">
        <v>0.85278298767142402</v>
      </c>
      <c r="H378" s="5">
        <v>4.3062200956937802E-2</v>
      </c>
      <c r="I378" s="5">
        <v>2.3923444976076499E-2</v>
      </c>
      <c r="J378" s="5">
        <v>9</v>
      </c>
      <c r="K378" s="5">
        <v>5</v>
      </c>
      <c r="L378" s="5">
        <v>5</v>
      </c>
      <c r="M378" s="5">
        <v>0.51674641148325295</v>
      </c>
      <c r="N378" s="5">
        <v>108</v>
      </c>
      <c r="O378" s="5">
        <v>209</v>
      </c>
      <c r="P378" s="5">
        <v>4</v>
      </c>
      <c r="Q378" s="5">
        <v>52.25</v>
      </c>
      <c r="R378" s="5">
        <v>8.75</v>
      </c>
      <c r="S378" s="5">
        <v>35</v>
      </c>
      <c r="T378" s="5">
        <v>0</v>
      </c>
      <c r="U378" s="5">
        <v>0</v>
      </c>
    </row>
    <row r="379" spans="1:21" x14ac:dyDescent="0.25">
      <c r="A379" t="s">
        <v>3320</v>
      </c>
      <c r="B379" s="5">
        <v>147</v>
      </c>
      <c r="C379" s="5">
        <v>97</v>
      </c>
      <c r="D379" s="5">
        <v>0.65986394557823103</v>
      </c>
      <c r="E379" s="5">
        <v>0.52380952380952295</v>
      </c>
      <c r="F379" s="5">
        <v>0.72164948453608202</v>
      </c>
      <c r="G379" s="5">
        <v>0.84778842370674401</v>
      </c>
      <c r="H379" s="5">
        <v>2.04081632653061E-2</v>
      </c>
      <c r="I379" s="5">
        <v>2.7210884353741398E-2</v>
      </c>
      <c r="J379" s="5">
        <v>3</v>
      </c>
      <c r="K379" s="5">
        <v>4</v>
      </c>
      <c r="L379" s="5">
        <v>4</v>
      </c>
      <c r="M379" s="5">
        <v>0.52380952380952295</v>
      </c>
      <c r="N379" s="5">
        <v>77</v>
      </c>
      <c r="O379" s="5">
        <v>147</v>
      </c>
      <c r="P379" s="5">
        <v>12</v>
      </c>
      <c r="Q379" s="5">
        <v>12.25</v>
      </c>
      <c r="R379" s="5">
        <v>2.4166666666666599</v>
      </c>
      <c r="S379" s="5">
        <v>29</v>
      </c>
      <c r="T379" s="5">
        <v>0</v>
      </c>
      <c r="U379" s="5">
        <v>0</v>
      </c>
    </row>
    <row r="380" spans="1:21" x14ac:dyDescent="0.25">
      <c r="A380" t="s">
        <v>3327</v>
      </c>
      <c r="B380" s="5">
        <v>106</v>
      </c>
      <c r="C380" s="5">
        <v>77</v>
      </c>
      <c r="D380" s="5">
        <v>0.72641509433962204</v>
      </c>
      <c r="E380" s="5">
        <v>0.43396226415094302</v>
      </c>
      <c r="F380" s="5">
        <v>0.77922077922077904</v>
      </c>
      <c r="G380" s="5">
        <v>0.85903582282039803</v>
      </c>
      <c r="H380" s="5">
        <v>0</v>
      </c>
      <c r="I380" s="5">
        <v>5.6603773584905599E-2</v>
      </c>
      <c r="J380" s="5">
        <v>0</v>
      </c>
      <c r="K380" s="5">
        <v>6</v>
      </c>
      <c r="L380" s="5">
        <v>2</v>
      </c>
      <c r="M380" s="5">
        <v>0.54716981132075404</v>
      </c>
      <c r="N380" s="5">
        <v>58</v>
      </c>
      <c r="O380" s="5">
        <v>106</v>
      </c>
      <c r="P380" s="5">
        <v>6</v>
      </c>
      <c r="Q380" s="5">
        <v>17.6666666666666</v>
      </c>
      <c r="R380" s="5">
        <v>1.5</v>
      </c>
      <c r="S380" s="5">
        <v>9</v>
      </c>
      <c r="T380" s="5">
        <v>0</v>
      </c>
      <c r="U380" s="5">
        <v>0</v>
      </c>
    </row>
    <row r="381" spans="1:21" x14ac:dyDescent="0.25">
      <c r="A381" t="s">
        <v>3334</v>
      </c>
      <c r="B381" s="5">
        <v>163</v>
      </c>
      <c r="C381" s="5">
        <v>115</v>
      </c>
      <c r="D381" s="5">
        <v>0.70552147239263796</v>
      </c>
      <c r="E381" s="5">
        <v>0.40490797546012203</v>
      </c>
      <c r="F381" s="5">
        <v>0.84347826086956501</v>
      </c>
      <c r="G381" s="5">
        <v>0.86408064083810399</v>
      </c>
      <c r="H381" s="5">
        <v>1.22699386503067E-2</v>
      </c>
      <c r="I381" s="5">
        <v>6.13496932515337E-3</v>
      </c>
      <c r="J381" s="5">
        <v>2</v>
      </c>
      <c r="K381" s="5">
        <v>1</v>
      </c>
      <c r="L381" s="5">
        <v>3</v>
      </c>
      <c r="M381" s="5">
        <v>0.58895705521472397</v>
      </c>
      <c r="N381" s="5">
        <v>96</v>
      </c>
      <c r="O381" s="5">
        <v>163</v>
      </c>
      <c r="P381" s="5">
        <v>12</v>
      </c>
      <c r="Q381" s="5">
        <v>13.5833333333333</v>
      </c>
      <c r="R381" s="5">
        <v>1</v>
      </c>
      <c r="S381" s="5">
        <v>12</v>
      </c>
      <c r="T381" s="5">
        <v>0</v>
      </c>
      <c r="U381" s="5">
        <v>0</v>
      </c>
    </row>
    <row r="382" spans="1:21" x14ac:dyDescent="0.25">
      <c r="A382" t="s">
        <v>3342</v>
      </c>
      <c r="B382" s="5">
        <v>243</v>
      </c>
      <c r="C382" s="5">
        <v>170</v>
      </c>
      <c r="D382" s="5">
        <v>0.69958847736625496</v>
      </c>
      <c r="E382" s="5">
        <v>0.41975308641975301</v>
      </c>
      <c r="F382" s="5">
        <v>0.82941176470588196</v>
      </c>
      <c r="G382" s="5">
        <v>0.89554589165687903</v>
      </c>
      <c r="H382" s="5">
        <v>1.6460905349794198E-2</v>
      </c>
      <c r="I382" s="5">
        <v>8.23045267489712E-3</v>
      </c>
      <c r="J382" s="5">
        <v>4</v>
      </c>
      <c r="K382" s="5">
        <v>2</v>
      </c>
      <c r="L382" s="5">
        <v>4</v>
      </c>
      <c r="M382" s="5">
        <v>0.55555555555555503</v>
      </c>
      <c r="N382" s="5">
        <v>135</v>
      </c>
      <c r="O382" s="5">
        <v>243</v>
      </c>
      <c r="P382" s="5">
        <v>11</v>
      </c>
      <c r="Q382" s="5">
        <v>22.090909090909001</v>
      </c>
      <c r="R382" s="5">
        <v>2.63636363636363</v>
      </c>
      <c r="S382" s="5">
        <v>29</v>
      </c>
      <c r="T382" s="5">
        <v>0</v>
      </c>
      <c r="U382" s="5">
        <v>0</v>
      </c>
    </row>
    <row r="383" spans="1:21" x14ac:dyDescent="0.25">
      <c r="A383" t="s">
        <v>3351</v>
      </c>
      <c r="B383" s="5">
        <v>189</v>
      </c>
      <c r="C383" s="5">
        <v>116</v>
      </c>
      <c r="D383" s="5">
        <v>0.61375661375661295</v>
      </c>
      <c r="E383" s="5">
        <v>0.52910052910052896</v>
      </c>
      <c r="F383" s="5">
        <v>0.76724137931034397</v>
      </c>
      <c r="G383" s="5">
        <v>0.81722463955763103</v>
      </c>
      <c r="H383" s="5">
        <v>5.2910052910052898E-3</v>
      </c>
      <c r="I383" s="5">
        <v>1.5873015873015799E-2</v>
      </c>
      <c r="J383" s="5">
        <v>1</v>
      </c>
      <c r="K383" s="5">
        <v>3</v>
      </c>
      <c r="L383" s="5">
        <v>3</v>
      </c>
      <c r="M383" s="5">
        <v>0.53968253968253899</v>
      </c>
      <c r="N383" s="5">
        <v>102</v>
      </c>
      <c r="O383" s="5">
        <v>189</v>
      </c>
      <c r="P383" s="5">
        <v>14</v>
      </c>
      <c r="Q383" s="5">
        <v>13.5</v>
      </c>
      <c r="R383" s="5">
        <v>2.1428571428571401</v>
      </c>
      <c r="S383" s="5">
        <v>30</v>
      </c>
      <c r="T383" s="5">
        <v>0</v>
      </c>
      <c r="U383" s="5">
        <v>0</v>
      </c>
    </row>
    <row r="384" spans="1:21" x14ac:dyDescent="0.25">
      <c r="A384" t="s">
        <v>3359</v>
      </c>
      <c r="B384" s="5">
        <v>134</v>
      </c>
      <c r="C384" s="5">
        <v>100</v>
      </c>
      <c r="D384" s="5">
        <v>0.74626865671641796</v>
      </c>
      <c r="E384" s="5">
        <v>0.43283582089552203</v>
      </c>
      <c r="F384" s="5">
        <v>0.76</v>
      </c>
      <c r="G384" s="5">
        <v>0.90052174518452899</v>
      </c>
      <c r="H384" s="5">
        <v>2.2388059701492501E-2</v>
      </c>
      <c r="I384" s="5">
        <v>2.2388059701492501E-2</v>
      </c>
      <c r="J384" s="5">
        <v>3</v>
      </c>
      <c r="K384" s="5">
        <v>3</v>
      </c>
      <c r="L384" s="5">
        <v>2</v>
      </c>
      <c r="M384" s="5">
        <v>0.53731343283582</v>
      </c>
      <c r="N384" s="5">
        <v>72</v>
      </c>
      <c r="O384" s="5">
        <v>134</v>
      </c>
      <c r="P384" s="5">
        <v>12</v>
      </c>
      <c r="Q384" s="5">
        <v>11.1666666666666</v>
      </c>
      <c r="R384" s="5">
        <v>1.6666666666666601</v>
      </c>
      <c r="S384" s="5">
        <v>20</v>
      </c>
      <c r="T384" s="5">
        <v>0</v>
      </c>
      <c r="U384" s="5">
        <v>0</v>
      </c>
    </row>
    <row r="385" spans="1:21" x14ac:dyDescent="0.25">
      <c r="A385" t="s">
        <v>3364</v>
      </c>
      <c r="B385" s="5">
        <v>121</v>
      </c>
      <c r="C385" s="5">
        <v>88</v>
      </c>
      <c r="D385" s="5">
        <v>0.72727272727272696</v>
      </c>
      <c r="E385" s="5">
        <v>0.40495867768595001</v>
      </c>
      <c r="F385" s="5">
        <v>0.81818181818181801</v>
      </c>
      <c r="G385" s="5">
        <v>0.86259147586755602</v>
      </c>
      <c r="H385" s="5">
        <v>2.4793388429752001E-2</v>
      </c>
      <c r="I385" s="5">
        <v>3.3057851239669402E-2</v>
      </c>
      <c r="J385" s="5">
        <v>3</v>
      </c>
      <c r="K385" s="5">
        <v>4</v>
      </c>
      <c r="L385" s="5">
        <v>4</v>
      </c>
      <c r="M385" s="5">
        <v>0.42975206611570199</v>
      </c>
      <c r="N385" s="5">
        <v>52</v>
      </c>
      <c r="O385" s="5">
        <v>121</v>
      </c>
      <c r="P385" s="5">
        <v>7</v>
      </c>
      <c r="Q385" s="5">
        <v>17.285714285714199</v>
      </c>
      <c r="R385" s="5">
        <v>3.4285714285714199</v>
      </c>
      <c r="S385" s="5">
        <v>24</v>
      </c>
      <c r="T385" s="5">
        <v>0</v>
      </c>
      <c r="U385" s="5">
        <v>0</v>
      </c>
    </row>
    <row r="386" spans="1:21" x14ac:dyDescent="0.25">
      <c r="A386" t="s">
        <v>3372</v>
      </c>
      <c r="B386" s="5">
        <v>149</v>
      </c>
      <c r="C386" s="5">
        <v>105</v>
      </c>
      <c r="D386" s="5">
        <v>0.70469798657718097</v>
      </c>
      <c r="E386" s="5">
        <v>0.43624161073825501</v>
      </c>
      <c r="F386" s="5">
        <v>0.8</v>
      </c>
      <c r="G386" s="5">
        <v>0.86337736868617998</v>
      </c>
      <c r="H386" s="5">
        <v>1.34228187919463E-2</v>
      </c>
      <c r="I386" s="5">
        <v>0</v>
      </c>
      <c r="J386" s="5">
        <v>2</v>
      </c>
      <c r="K386" s="5">
        <v>0</v>
      </c>
      <c r="L386" s="5">
        <v>2</v>
      </c>
      <c r="M386" s="5">
        <v>0.51677852348993203</v>
      </c>
      <c r="N386" s="5">
        <v>77</v>
      </c>
      <c r="O386" s="5">
        <v>149</v>
      </c>
      <c r="P386" s="5">
        <v>9</v>
      </c>
      <c r="Q386" s="5">
        <v>16.5555555555555</v>
      </c>
      <c r="R386" s="5">
        <v>2</v>
      </c>
      <c r="S386" s="5">
        <v>18</v>
      </c>
      <c r="T386" s="5">
        <v>0</v>
      </c>
      <c r="U386" s="5">
        <v>0</v>
      </c>
    </row>
    <row r="387" spans="1:21" x14ac:dyDescent="0.25">
      <c r="A387" t="s">
        <v>3377</v>
      </c>
      <c r="B387" s="5">
        <v>173</v>
      </c>
      <c r="C387" s="5">
        <v>112</v>
      </c>
      <c r="D387" s="5">
        <v>0.64739884393063496</v>
      </c>
      <c r="E387" s="5">
        <v>0.52601156069364097</v>
      </c>
      <c r="F387" s="5">
        <v>0.73214285714285698</v>
      </c>
      <c r="G387" s="5">
        <v>0.85179835516531999</v>
      </c>
      <c r="H387" s="5">
        <v>1.1560693641618399E-2</v>
      </c>
      <c r="I387" s="5">
        <v>1.7341040462427699E-2</v>
      </c>
      <c r="J387" s="5">
        <v>2</v>
      </c>
      <c r="K387" s="5">
        <v>3</v>
      </c>
      <c r="L387" s="5">
        <v>4</v>
      </c>
      <c r="M387" s="5">
        <v>0.520231213872832</v>
      </c>
      <c r="N387" s="5">
        <v>90</v>
      </c>
      <c r="O387" s="5">
        <v>173</v>
      </c>
      <c r="P387" s="5">
        <v>6</v>
      </c>
      <c r="Q387" s="5">
        <v>28.8333333333333</v>
      </c>
      <c r="R387" s="5">
        <v>4</v>
      </c>
      <c r="S387" s="5">
        <v>24</v>
      </c>
      <c r="T387" s="5">
        <v>0</v>
      </c>
      <c r="U387" s="5">
        <v>0</v>
      </c>
    </row>
    <row r="388" spans="1:21" x14ac:dyDescent="0.25">
      <c r="A388" t="s">
        <v>3384</v>
      </c>
      <c r="B388" s="5">
        <v>173</v>
      </c>
      <c r="C388" s="5">
        <v>122</v>
      </c>
      <c r="D388" s="5">
        <v>0.70520231213872797</v>
      </c>
      <c r="E388" s="5">
        <v>0.410404624277456</v>
      </c>
      <c r="F388" s="5">
        <v>0.83606557377049096</v>
      </c>
      <c r="G388" s="5">
        <v>0.86120172908124704</v>
      </c>
      <c r="H388" s="5">
        <v>0</v>
      </c>
      <c r="I388" s="5">
        <v>1.7341040462427699E-2</v>
      </c>
      <c r="J388" s="5">
        <v>0</v>
      </c>
      <c r="K388" s="5">
        <v>3</v>
      </c>
      <c r="L388" s="5">
        <v>3</v>
      </c>
      <c r="M388" s="5">
        <v>0.53142857142857103</v>
      </c>
      <c r="N388" s="5">
        <v>93</v>
      </c>
      <c r="O388" s="5">
        <v>175</v>
      </c>
      <c r="P388" s="5">
        <v>6</v>
      </c>
      <c r="Q388" s="5">
        <v>28.8333333333333</v>
      </c>
      <c r="R388" s="5">
        <v>3.3333333333333299</v>
      </c>
      <c r="S388" s="5">
        <v>20</v>
      </c>
      <c r="T388" s="5">
        <v>0</v>
      </c>
      <c r="U388" s="5">
        <v>0</v>
      </c>
    </row>
    <row r="389" spans="1:21" x14ac:dyDescent="0.25">
      <c r="A389" t="s">
        <v>3390</v>
      </c>
      <c r="B389" s="5">
        <v>203</v>
      </c>
      <c r="C389" s="5">
        <v>141</v>
      </c>
      <c r="D389" s="5">
        <v>0.69458128078817705</v>
      </c>
      <c r="E389" s="5">
        <v>0.43842364532019701</v>
      </c>
      <c r="F389" s="5">
        <v>0.80851063829787195</v>
      </c>
      <c r="G389" s="5">
        <v>0.87001224789210296</v>
      </c>
      <c r="H389" s="5">
        <v>2.46305418719211E-2</v>
      </c>
      <c r="I389" s="5">
        <v>1.9704433497536901E-2</v>
      </c>
      <c r="J389" s="5">
        <v>5</v>
      </c>
      <c r="K389" s="5">
        <v>4</v>
      </c>
      <c r="L389" s="5">
        <v>5</v>
      </c>
      <c r="M389" s="5">
        <v>0.55882352941176405</v>
      </c>
      <c r="N389" s="5">
        <v>114</v>
      </c>
      <c r="O389" s="5">
        <v>204</v>
      </c>
      <c r="P389" s="5">
        <v>21</v>
      </c>
      <c r="Q389" s="5">
        <v>9.6666666666666607</v>
      </c>
      <c r="R389" s="5">
        <v>0.952380952380952</v>
      </c>
      <c r="S389" s="5">
        <v>20</v>
      </c>
      <c r="T389" s="5">
        <v>0</v>
      </c>
      <c r="U389" s="5">
        <v>0</v>
      </c>
    </row>
    <row r="390" spans="1:21" x14ac:dyDescent="0.25">
      <c r="A390" t="s">
        <v>3398</v>
      </c>
      <c r="B390" s="5">
        <v>121</v>
      </c>
      <c r="C390" s="5">
        <v>89</v>
      </c>
      <c r="D390" s="5">
        <v>0.73553719008264395</v>
      </c>
      <c r="E390" s="5">
        <v>0.43801652892561899</v>
      </c>
      <c r="F390" s="5">
        <v>0.76404494382022403</v>
      </c>
      <c r="G390" s="5">
        <v>0.88190011833345106</v>
      </c>
      <c r="H390" s="5">
        <v>0</v>
      </c>
      <c r="I390" s="5">
        <v>8.2644628099173504E-3</v>
      </c>
      <c r="J390" s="5">
        <v>0</v>
      </c>
      <c r="K390" s="5">
        <v>1</v>
      </c>
      <c r="L390" s="5">
        <v>2</v>
      </c>
      <c r="M390" s="5">
        <v>0.59677419354838701</v>
      </c>
      <c r="N390" s="5">
        <v>74</v>
      </c>
      <c r="O390" s="5">
        <v>124</v>
      </c>
      <c r="P390" s="5">
        <v>9</v>
      </c>
      <c r="Q390" s="5">
        <v>13.4444444444444</v>
      </c>
      <c r="R390" s="5">
        <v>1.3333333333333299</v>
      </c>
      <c r="S390" s="5">
        <v>12</v>
      </c>
      <c r="T390" s="5">
        <v>0</v>
      </c>
      <c r="U390" s="5">
        <v>0</v>
      </c>
    </row>
    <row r="391" spans="1:21" x14ac:dyDescent="0.25">
      <c r="A391" t="s">
        <v>3406</v>
      </c>
      <c r="B391" s="5">
        <v>178</v>
      </c>
      <c r="C391" s="5">
        <v>116</v>
      </c>
      <c r="D391" s="5">
        <v>0.651685393258427</v>
      </c>
      <c r="E391" s="5">
        <v>0.48876404494381998</v>
      </c>
      <c r="F391" s="5">
        <v>0.78448275862068895</v>
      </c>
      <c r="G391" s="5">
        <v>0.84140310049223799</v>
      </c>
      <c r="H391" s="5">
        <v>3.9325842696629199E-2</v>
      </c>
      <c r="I391" s="5">
        <v>5.6179775280898797E-3</v>
      </c>
      <c r="J391" s="5">
        <v>7</v>
      </c>
      <c r="K391" s="5">
        <v>1</v>
      </c>
      <c r="L391" s="5">
        <v>4</v>
      </c>
      <c r="M391" s="5">
        <v>0.54748603351955305</v>
      </c>
      <c r="N391" s="5">
        <v>98</v>
      </c>
      <c r="O391" s="5">
        <v>179</v>
      </c>
      <c r="P391" s="5">
        <v>10</v>
      </c>
      <c r="Q391" s="5">
        <v>17.8</v>
      </c>
      <c r="R391" s="5">
        <v>2.1</v>
      </c>
      <c r="S391" s="5">
        <v>21</v>
      </c>
      <c r="T391" s="5">
        <v>0</v>
      </c>
      <c r="U391" s="5">
        <v>0</v>
      </c>
    </row>
    <row r="392" spans="1:21" x14ac:dyDescent="0.25">
      <c r="A392" t="s">
        <v>3415</v>
      </c>
      <c r="B392" s="5">
        <v>208</v>
      </c>
      <c r="C392" s="5">
        <v>124</v>
      </c>
      <c r="D392" s="5">
        <v>0.59615384615384603</v>
      </c>
      <c r="E392" s="5">
        <v>0.54807692307692302</v>
      </c>
      <c r="F392" s="5">
        <v>0.75806451612903203</v>
      </c>
      <c r="G392" s="5">
        <v>0.81683487475469496</v>
      </c>
      <c r="H392" s="5">
        <v>4.8076923076923002E-3</v>
      </c>
      <c r="I392" s="5">
        <v>9.6153846153846107E-3</v>
      </c>
      <c r="J392" s="5">
        <v>1</v>
      </c>
      <c r="K392" s="5">
        <v>2</v>
      </c>
      <c r="L392" s="5">
        <v>4</v>
      </c>
      <c r="M392" s="5">
        <v>0.61722488038277501</v>
      </c>
      <c r="N392" s="5">
        <v>129</v>
      </c>
      <c r="O392" s="5">
        <v>209</v>
      </c>
      <c r="P392" s="5">
        <v>10</v>
      </c>
      <c r="Q392" s="5">
        <v>20.8</v>
      </c>
      <c r="R392" s="5">
        <v>2.1</v>
      </c>
      <c r="S392" s="5">
        <v>21</v>
      </c>
      <c r="T392" s="5">
        <v>0</v>
      </c>
      <c r="U392" s="5">
        <v>0</v>
      </c>
    </row>
    <row r="393" spans="1:21" x14ac:dyDescent="0.25">
      <c r="A393" t="s">
        <v>3422</v>
      </c>
      <c r="B393" s="5">
        <v>148</v>
      </c>
      <c r="C393" s="5">
        <v>100</v>
      </c>
      <c r="D393" s="5">
        <v>0.67567567567567499</v>
      </c>
      <c r="E393" s="5">
        <v>0.48648648648648601</v>
      </c>
      <c r="F393" s="5">
        <v>0.76</v>
      </c>
      <c r="G393" s="5">
        <v>0.85116179294618999</v>
      </c>
      <c r="H393" s="5">
        <v>1.35135135135135E-2</v>
      </c>
      <c r="I393" s="5">
        <v>2.7027027027027001E-2</v>
      </c>
      <c r="J393" s="5">
        <v>2</v>
      </c>
      <c r="K393" s="5">
        <v>4</v>
      </c>
      <c r="L393" s="5">
        <v>3</v>
      </c>
      <c r="M393" s="5">
        <v>0.51351351351351304</v>
      </c>
      <c r="N393" s="5">
        <v>76</v>
      </c>
      <c r="O393" s="5">
        <v>148</v>
      </c>
      <c r="P393" s="5">
        <v>10</v>
      </c>
      <c r="Q393" s="5">
        <v>14.8</v>
      </c>
      <c r="R393" s="5">
        <v>2.5</v>
      </c>
      <c r="S393" s="5">
        <v>25</v>
      </c>
      <c r="T393" s="5">
        <v>0</v>
      </c>
      <c r="U393" s="5">
        <v>0</v>
      </c>
    </row>
    <row r="394" spans="1:21" x14ac:dyDescent="0.25">
      <c r="A394" t="s">
        <v>3426</v>
      </c>
      <c r="B394" s="5">
        <v>165</v>
      </c>
      <c r="C394" s="5">
        <v>107</v>
      </c>
      <c r="D394" s="5">
        <v>0.648484848484848</v>
      </c>
      <c r="E394" s="5">
        <v>0.527272727272727</v>
      </c>
      <c r="F394" s="5">
        <v>0.72897196261682196</v>
      </c>
      <c r="G394" s="5">
        <v>0.85794554433646797</v>
      </c>
      <c r="H394" s="5">
        <v>1.8181818181818101E-2</v>
      </c>
      <c r="I394" s="5">
        <v>6.0606060606060597E-3</v>
      </c>
      <c r="J394" s="5">
        <v>3</v>
      </c>
      <c r="K394" s="5">
        <v>1</v>
      </c>
      <c r="L394" s="5">
        <v>4</v>
      </c>
      <c r="M394" s="5">
        <v>0.50909090909090904</v>
      </c>
      <c r="N394" s="5">
        <v>84</v>
      </c>
      <c r="O394" s="5">
        <v>165</v>
      </c>
      <c r="P394" s="5">
        <v>5</v>
      </c>
      <c r="Q394" s="5" t="s">
        <v>3433</v>
      </c>
      <c r="R394" s="5">
        <v>4.4000000000000004</v>
      </c>
      <c r="S394" s="5">
        <v>22</v>
      </c>
      <c r="T394" s="5">
        <v>0</v>
      </c>
      <c r="U394" s="5">
        <v>0</v>
      </c>
    </row>
    <row r="395" spans="1:21" x14ac:dyDescent="0.25">
      <c r="A395" t="s">
        <v>3436</v>
      </c>
      <c r="B395" s="5">
        <v>113</v>
      </c>
      <c r="C395" s="5">
        <v>82</v>
      </c>
      <c r="D395" s="5">
        <v>0.72566371681415898</v>
      </c>
      <c r="E395" s="5">
        <v>0.42477876106194601</v>
      </c>
      <c r="F395" s="5">
        <v>0.792682926829268</v>
      </c>
      <c r="G395" s="5">
        <v>0.846649120249372</v>
      </c>
      <c r="H395" s="5">
        <v>8.8495575221238902E-3</v>
      </c>
      <c r="I395" s="5">
        <v>8.8495575221238902E-3</v>
      </c>
      <c r="J395" s="5">
        <v>1</v>
      </c>
      <c r="K395" s="5">
        <v>1</v>
      </c>
      <c r="L395" s="5">
        <v>3</v>
      </c>
      <c r="M395" s="5">
        <v>0.56637168141592897</v>
      </c>
      <c r="N395" s="5">
        <v>64</v>
      </c>
      <c r="O395" s="5">
        <v>113</v>
      </c>
      <c r="P395" s="5">
        <v>9</v>
      </c>
      <c r="Q395" s="5">
        <v>12.5555555555555</v>
      </c>
      <c r="R395" s="5">
        <v>1.3333333333333299</v>
      </c>
      <c r="S395" s="5">
        <v>12</v>
      </c>
      <c r="T395" s="5">
        <v>0</v>
      </c>
      <c r="U395" s="5">
        <v>0</v>
      </c>
    </row>
    <row r="396" spans="1:21" x14ac:dyDescent="0.25">
      <c r="A396" t="s">
        <v>3443</v>
      </c>
      <c r="B396" s="5">
        <v>189</v>
      </c>
      <c r="C396" s="5">
        <v>146</v>
      </c>
      <c r="D396" s="5">
        <v>0.772486772486772</v>
      </c>
      <c r="E396" s="5">
        <v>0.32804232804232802</v>
      </c>
      <c r="F396" s="5">
        <v>0.86986301369862995</v>
      </c>
      <c r="G396" s="5">
        <v>0.91640537533808497</v>
      </c>
      <c r="H396" s="5">
        <v>2.11640211640211E-2</v>
      </c>
      <c r="I396" s="5">
        <v>2.11640211640211E-2</v>
      </c>
      <c r="J396" s="5">
        <v>4</v>
      </c>
      <c r="K396" s="5">
        <v>4</v>
      </c>
      <c r="L396" s="5">
        <v>3</v>
      </c>
      <c r="M396" s="5">
        <v>0.53968253968253899</v>
      </c>
      <c r="N396" s="5">
        <v>102</v>
      </c>
      <c r="O396" s="5">
        <v>189</v>
      </c>
      <c r="P396" s="5">
        <v>10</v>
      </c>
      <c r="Q396" s="5">
        <v>18.899999999999999</v>
      </c>
      <c r="R396" s="5">
        <v>3.2</v>
      </c>
      <c r="S396" s="5">
        <v>32</v>
      </c>
      <c r="T396" s="5">
        <v>0</v>
      </c>
      <c r="U396" s="5">
        <v>0</v>
      </c>
    </row>
    <row r="397" spans="1:21" x14ac:dyDescent="0.25">
      <c r="A397" t="s">
        <v>3451</v>
      </c>
      <c r="B397" s="5">
        <v>115</v>
      </c>
      <c r="C397" s="5">
        <v>89</v>
      </c>
      <c r="D397" s="5">
        <v>0.77391304347825995</v>
      </c>
      <c r="E397" s="5">
        <v>0.33913043478260801</v>
      </c>
      <c r="F397" s="5">
        <v>0.85393258426966201</v>
      </c>
      <c r="G397" s="5">
        <v>0.88296925721643804</v>
      </c>
      <c r="H397" s="5">
        <v>0</v>
      </c>
      <c r="I397" s="5">
        <v>0</v>
      </c>
      <c r="J397" s="5">
        <v>0</v>
      </c>
      <c r="K397" s="5">
        <v>0</v>
      </c>
      <c r="L397" s="5">
        <v>1</v>
      </c>
      <c r="M397" s="5">
        <v>0.58260869565217299</v>
      </c>
      <c r="N397" s="5">
        <v>67</v>
      </c>
      <c r="O397" s="5">
        <v>115</v>
      </c>
      <c r="P397" s="5">
        <v>7</v>
      </c>
      <c r="Q397" s="5">
        <v>16.428571428571399</v>
      </c>
      <c r="R397" s="5">
        <v>1.28571428571428</v>
      </c>
      <c r="S397" s="5">
        <v>9</v>
      </c>
      <c r="T397" s="5">
        <v>0</v>
      </c>
      <c r="U397" s="5">
        <v>0</v>
      </c>
    </row>
    <row r="398" spans="1:21" x14ac:dyDescent="0.25">
      <c r="A398" t="s">
        <v>3457</v>
      </c>
      <c r="B398" s="5">
        <v>206</v>
      </c>
      <c r="C398" s="5">
        <v>114</v>
      </c>
      <c r="D398" s="5">
        <v>0.55339805825242705</v>
      </c>
      <c r="E398" s="5">
        <v>0.57281553398058205</v>
      </c>
      <c r="F398" s="5">
        <v>0.77192982456140302</v>
      </c>
      <c r="G398" s="5">
        <v>0.77784743775686904</v>
      </c>
      <c r="H398" s="5">
        <v>9.7087378640776604E-3</v>
      </c>
      <c r="I398" s="5">
        <v>7.7669902912621297E-2</v>
      </c>
      <c r="J398" s="5">
        <v>2</v>
      </c>
      <c r="K398" s="5">
        <v>16</v>
      </c>
      <c r="L398" s="5">
        <v>4</v>
      </c>
      <c r="M398" s="5">
        <v>0.519417475728155</v>
      </c>
      <c r="N398" s="5">
        <v>107</v>
      </c>
      <c r="O398" s="5">
        <v>206</v>
      </c>
      <c r="P398" s="5">
        <v>7</v>
      </c>
      <c r="Q398" s="5">
        <v>29.428571428571399</v>
      </c>
      <c r="R398" s="5">
        <v>5.4285714285714199</v>
      </c>
      <c r="S398" s="5">
        <v>38</v>
      </c>
      <c r="T398" s="5">
        <v>0</v>
      </c>
      <c r="U398" s="5">
        <v>0</v>
      </c>
    </row>
    <row r="399" spans="1:21" x14ac:dyDescent="0.25">
      <c r="A399" t="s">
        <v>3464</v>
      </c>
      <c r="B399" s="5">
        <v>164</v>
      </c>
      <c r="C399" s="5">
        <v>118</v>
      </c>
      <c r="D399" s="5">
        <v>0.71951219512195097</v>
      </c>
      <c r="E399" s="5">
        <v>0.41463414634146301</v>
      </c>
      <c r="F399" s="5">
        <v>0.81355932203389802</v>
      </c>
      <c r="G399" s="5">
        <v>0.87294083475947404</v>
      </c>
      <c r="H399" s="5">
        <v>1.8292682926829201E-2</v>
      </c>
      <c r="I399" s="5">
        <v>6.0975609756097502E-3</v>
      </c>
      <c r="J399" s="5">
        <v>3</v>
      </c>
      <c r="K399" s="5">
        <v>1</v>
      </c>
      <c r="L399" s="5">
        <v>3</v>
      </c>
      <c r="M399" s="5">
        <v>0.48170731707316999</v>
      </c>
      <c r="N399" s="5">
        <v>79</v>
      </c>
      <c r="O399" s="5">
        <v>164</v>
      </c>
      <c r="P399" s="5">
        <v>16</v>
      </c>
      <c r="Q399" s="5">
        <v>10.25</v>
      </c>
      <c r="R399" s="5">
        <v>1.375</v>
      </c>
      <c r="S399" s="5">
        <v>22</v>
      </c>
      <c r="T399" s="5">
        <v>0</v>
      </c>
      <c r="U399" s="5">
        <v>0</v>
      </c>
    </row>
    <row r="400" spans="1:21" x14ac:dyDescent="0.25">
      <c r="A400" t="s">
        <v>3471</v>
      </c>
      <c r="B400" s="5">
        <v>167</v>
      </c>
      <c r="C400" s="5">
        <v>124</v>
      </c>
      <c r="D400" s="5">
        <v>0.74251497005987999</v>
      </c>
      <c r="E400" s="5">
        <v>0.389221556886227</v>
      </c>
      <c r="F400" s="5">
        <v>0.82258064516129004</v>
      </c>
      <c r="G400" s="5">
        <v>0.90136519867780895</v>
      </c>
      <c r="H400" s="5">
        <v>5.9880239520958001E-3</v>
      </c>
      <c r="I400" s="5">
        <v>3.59281437125748E-2</v>
      </c>
      <c r="J400" s="5">
        <v>1</v>
      </c>
      <c r="K400" s="5">
        <v>6</v>
      </c>
      <c r="L400" s="5">
        <v>3</v>
      </c>
      <c r="M400" s="5">
        <v>0.62275449101796398</v>
      </c>
      <c r="N400" s="5">
        <v>104</v>
      </c>
      <c r="O400" s="5">
        <v>167</v>
      </c>
      <c r="P400" s="5">
        <v>3</v>
      </c>
      <c r="Q400" s="5">
        <v>55.6666666666666</v>
      </c>
      <c r="R400" s="5">
        <v>8</v>
      </c>
      <c r="S400" s="5">
        <v>24</v>
      </c>
      <c r="T400" s="5">
        <v>0</v>
      </c>
      <c r="U400" s="5">
        <v>0</v>
      </c>
    </row>
    <row r="401" spans="1:21" x14ac:dyDescent="0.25">
      <c r="A401" t="s">
        <v>3479</v>
      </c>
      <c r="B401" s="5">
        <v>156</v>
      </c>
      <c r="C401" s="5">
        <v>110</v>
      </c>
      <c r="D401" s="5">
        <v>0.70512820512820495</v>
      </c>
      <c r="E401" s="5">
        <v>0.42948717948717902</v>
      </c>
      <c r="F401" s="5">
        <v>0.80909090909090897</v>
      </c>
      <c r="G401" s="5">
        <v>0.85686407565515499</v>
      </c>
      <c r="H401" s="5">
        <v>1.9230769230769201E-2</v>
      </c>
      <c r="I401" s="5">
        <v>1.2820512820512799E-2</v>
      </c>
      <c r="J401" s="5">
        <v>3</v>
      </c>
      <c r="K401" s="5">
        <v>2</v>
      </c>
      <c r="L401" s="5">
        <v>5</v>
      </c>
      <c r="M401" s="5">
        <v>0.46153846153846101</v>
      </c>
      <c r="N401" s="5">
        <v>72</v>
      </c>
      <c r="O401" s="5">
        <v>156</v>
      </c>
      <c r="P401" s="5">
        <v>9</v>
      </c>
      <c r="Q401" s="5">
        <v>17.3333333333333</v>
      </c>
      <c r="R401" s="5">
        <v>2.3333333333333299</v>
      </c>
      <c r="S401" s="5">
        <v>21</v>
      </c>
      <c r="T401" s="5">
        <v>0</v>
      </c>
      <c r="U401" s="5">
        <v>0</v>
      </c>
    </row>
    <row r="402" spans="1:21" x14ac:dyDescent="0.25">
      <c r="A402" t="s">
        <v>3483</v>
      </c>
      <c r="B402" s="5">
        <v>155</v>
      </c>
      <c r="C402" s="5">
        <v>105</v>
      </c>
      <c r="D402" s="5">
        <v>0.67741935483870896</v>
      </c>
      <c r="E402" s="5">
        <v>0.483870967741935</v>
      </c>
      <c r="F402" s="5">
        <v>0.76190476190476097</v>
      </c>
      <c r="G402" s="5">
        <v>0.85962867076932103</v>
      </c>
      <c r="H402" s="5">
        <v>1.9354838709677399E-2</v>
      </c>
      <c r="I402" s="5">
        <v>1.2903225806451601E-2</v>
      </c>
      <c r="J402" s="5">
        <v>3</v>
      </c>
      <c r="K402" s="5">
        <v>2</v>
      </c>
      <c r="L402" s="5">
        <v>4</v>
      </c>
      <c r="M402" s="5">
        <v>0.56129032258064504</v>
      </c>
      <c r="N402" s="5">
        <v>87</v>
      </c>
      <c r="O402" s="5">
        <v>155</v>
      </c>
      <c r="P402" s="5">
        <v>12</v>
      </c>
      <c r="Q402" s="5">
        <v>12.9166666666666</v>
      </c>
      <c r="R402" s="5">
        <v>1.3333333333333299</v>
      </c>
      <c r="S402" s="5">
        <v>16</v>
      </c>
      <c r="T402" s="5">
        <v>0</v>
      </c>
      <c r="U402" s="5">
        <v>0</v>
      </c>
    </row>
    <row r="403" spans="1:21" x14ac:dyDescent="0.25">
      <c r="A403" t="s">
        <v>3489</v>
      </c>
      <c r="B403" s="5">
        <v>224</v>
      </c>
      <c r="C403" s="5">
        <v>134</v>
      </c>
      <c r="D403" s="5">
        <v>0.59821428571428503</v>
      </c>
      <c r="E403" s="5">
        <v>0.55803571428571397</v>
      </c>
      <c r="F403" s="5">
        <v>0.73880597014925298</v>
      </c>
      <c r="G403" s="5">
        <v>0.84797732399341597</v>
      </c>
      <c r="H403" s="5">
        <v>1.7857142857142801E-2</v>
      </c>
      <c r="I403" s="5">
        <v>2.6785714285714201E-2</v>
      </c>
      <c r="J403" s="5">
        <v>4</v>
      </c>
      <c r="K403" s="5">
        <v>6</v>
      </c>
      <c r="L403" s="5">
        <v>4</v>
      </c>
      <c r="M403" s="5">
        <v>0.48214285714285698</v>
      </c>
      <c r="N403" s="5">
        <v>108</v>
      </c>
      <c r="O403" s="5">
        <v>224</v>
      </c>
      <c r="P403" s="5">
        <v>14</v>
      </c>
      <c r="Q403" s="5" t="s">
        <v>1686</v>
      </c>
      <c r="R403" s="5">
        <v>2.9285714285714199</v>
      </c>
      <c r="S403" s="5">
        <v>41</v>
      </c>
      <c r="T403" s="5">
        <v>1</v>
      </c>
      <c r="U403" s="5">
        <v>0.637720785911153</v>
      </c>
    </row>
    <row r="404" spans="1:21" x14ac:dyDescent="0.25">
      <c r="A404" t="s">
        <v>3499</v>
      </c>
      <c r="B404" s="5">
        <v>169</v>
      </c>
      <c r="C404" s="5">
        <v>109</v>
      </c>
      <c r="D404" s="5">
        <v>0.64497041420118295</v>
      </c>
      <c r="E404" s="5">
        <v>0.50295857988165604</v>
      </c>
      <c r="F404" s="5">
        <v>0.77064220183486198</v>
      </c>
      <c r="G404" s="5">
        <v>0.83297391052571901</v>
      </c>
      <c r="H404" s="5">
        <v>1.7751479289940801E-2</v>
      </c>
      <c r="I404" s="5">
        <v>2.3668639053254399E-2</v>
      </c>
      <c r="J404" s="5">
        <v>3</v>
      </c>
      <c r="K404" s="5">
        <v>4</v>
      </c>
      <c r="L404" s="5">
        <v>5</v>
      </c>
      <c r="M404" s="5">
        <v>0.48235294117646998</v>
      </c>
      <c r="N404" s="5">
        <v>82</v>
      </c>
      <c r="O404" s="5">
        <v>170</v>
      </c>
      <c r="P404" s="5">
        <v>13</v>
      </c>
      <c r="Q404" s="5" t="s">
        <v>3504</v>
      </c>
      <c r="R404" s="5">
        <v>2.1538461538461502</v>
      </c>
      <c r="S404" s="5">
        <v>28</v>
      </c>
      <c r="T404" s="5">
        <v>0</v>
      </c>
      <c r="U404" s="5">
        <v>0</v>
      </c>
    </row>
    <row r="405" spans="1:21" x14ac:dyDescent="0.25">
      <c r="A405" t="s">
        <v>3506</v>
      </c>
      <c r="B405" s="5">
        <v>167</v>
      </c>
      <c r="C405" s="5">
        <v>118</v>
      </c>
      <c r="D405" s="5">
        <v>0.70658682634730496</v>
      </c>
      <c r="E405" s="5">
        <v>0.41317365269460998</v>
      </c>
      <c r="F405" s="5">
        <v>0.83050847457627097</v>
      </c>
      <c r="G405" s="5">
        <v>0.86296600525793399</v>
      </c>
      <c r="H405" s="5">
        <v>5.9880239520958001E-3</v>
      </c>
      <c r="I405" s="5">
        <v>1.19760479041916E-2</v>
      </c>
      <c r="J405" s="5">
        <v>1</v>
      </c>
      <c r="K405" s="5">
        <v>2</v>
      </c>
      <c r="L405" s="5">
        <v>4</v>
      </c>
      <c r="M405" s="5">
        <v>0.52694610778443096</v>
      </c>
      <c r="N405" s="5">
        <v>88</v>
      </c>
      <c r="O405" s="5">
        <v>167</v>
      </c>
      <c r="P405" s="5">
        <v>10</v>
      </c>
      <c r="Q405" s="5">
        <v>16.7</v>
      </c>
      <c r="R405" s="5">
        <v>2.2000000000000002</v>
      </c>
      <c r="S405" s="5">
        <v>22</v>
      </c>
      <c r="T405" s="5">
        <v>0</v>
      </c>
      <c r="U405" s="5">
        <v>0</v>
      </c>
    </row>
    <row r="406" spans="1:21" x14ac:dyDescent="0.25">
      <c r="A406" t="s">
        <v>3512</v>
      </c>
      <c r="B406" s="5">
        <v>88</v>
      </c>
      <c r="C406" s="5">
        <v>66</v>
      </c>
      <c r="D406" s="5">
        <v>0.75</v>
      </c>
      <c r="E406" s="5">
        <v>0.40909090909090901</v>
      </c>
      <c r="F406" s="5">
        <v>0.78787878787878696</v>
      </c>
      <c r="G406" s="5">
        <v>0.85471888325206802</v>
      </c>
      <c r="H406" s="5">
        <v>2.27272727272727E-2</v>
      </c>
      <c r="I406" s="5">
        <v>0</v>
      </c>
      <c r="J406" s="5">
        <v>2</v>
      </c>
      <c r="K406" s="5">
        <v>0</v>
      </c>
      <c r="L406" s="5">
        <v>2</v>
      </c>
      <c r="M406" s="5">
        <v>0.625</v>
      </c>
      <c r="N406" s="5">
        <v>55</v>
      </c>
      <c r="O406" s="5">
        <v>88</v>
      </c>
      <c r="P406" s="5">
        <v>9</v>
      </c>
      <c r="Q406" s="5">
        <v>9.7777777777777697</v>
      </c>
      <c r="R406" s="5">
        <v>1.44444444444444</v>
      </c>
      <c r="S406" s="5">
        <v>13</v>
      </c>
      <c r="T406" s="5">
        <v>0</v>
      </c>
      <c r="U406" s="5">
        <v>0</v>
      </c>
    </row>
    <row r="407" spans="1:21" x14ac:dyDescent="0.25">
      <c r="A407" t="s">
        <v>3518</v>
      </c>
      <c r="B407" s="5">
        <v>135</v>
      </c>
      <c r="C407" s="5">
        <v>108</v>
      </c>
      <c r="D407" s="5">
        <v>0.8</v>
      </c>
      <c r="E407" s="5">
        <v>0.31111111111111101</v>
      </c>
      <c r="F407" s="5">
        <v>0.86111111111111105</v>
      </c>
      <c r="G407" s="5">
        <v>0.90922325799006898</v>
      </c>
      <c r="H407" s="5">
        <v>0</v>
      </c>
      <c r="I407" s="5">
        <v>7.4074074074073999E-3</v>
      </c>
      <c r="J407" s="5">
        <v>0</v>
      </c>
      <c r="K407" s="5">
        <v>1</v>
      </c>
      <c r="L407" s="5">
        <v>1</v>
      </c>
      <c r="M407" s="5">
        <v>0.63703703703703696</v>
      </c>
      <c r="N407" s="5">
        <v>86</v>
      </c>
      <c r="O407" s="5">
        <v>135</v>
      </c>
      <c r="P407" s="5">
        <v>7</v>
      </c>
      <c r="Q407" s="5">
        <v>19.285714285714199</v>
      </c>
      <c r="R407" s="5">
        <v>1.5714285714285701</v>
      </c>
      <c r="S407" s="5">
        <v>11</v>
      </c>
      <c r="T407" s="5">
        <v>0</v>
      </c>
      <c r="U407" s="5">
        <v>0</v>
      </c>
    </row>
    <row r="408" spans="1:21" x14ac:dyDescent="0.25">
      <c r="A408" t="s">
        <v>3526</v>
      </c>
      <c r="B408" s="5">
        <v>151</v>
      </c>
      <c r="C408" s="5">
        <v>91</v>
      </c>
      <c r="D408" s="5">
        <v>0.60264900662251597</v>
      </c>
      <c r="E408" s="5">
        <v>0.53642384105960195</v>
      </c>
      <c r="F408" s="5">
        <v>0.76923076923076905</v>
      </c>
      <c r="G408" s="5">
        <v>0.76307855271949498</v>
      </c>
      <c r="H408" s="5">
        <v>6.6225165562913899E-3</v>
      </c>
      <c r="I408" s="5">
        <v>1.32450331125827E-2</v>
      </c>
      <c r="J408" s="5">
        <v>1</v>
      </c>
      <c r="K408" s="5">
        <v>2</v>
      </c>
      <c r="L408" s="5">
        <v>3</v>
      </c>
      <c r="M408" s="5">
        <v>0.56291390728476798</v>
      </c>
      <c r="N408" s="5">
        <v>85</v>
      </c>
      <c r="O408" s="5">
        <v>151</v>
      </c>
      <c r="P408" s="5">
        <v>12</v>
      </c>
      <c r="Q408" s="5">
        <v>12.5833333333333</v>
      </c>
      <c r="R408" s="5">
        <v>1.1666666666666601</v>
      </c>
      <c r="S408" s="5">
        <v>14</v>
      </c>
      <c r="T408" s="5">
        <v>0</v>
      </c>
      <c r="U408" s="5">
        <v>0</v>
      </c>
    </row>
    <row r="409" spans="1:21" x14ac:dyDescent="0.25">
      <c r="A409" t="s">
        <v>3532</v>
      </c>
      <c r="B409" s="5">
        <v>182</v>
      </c>
      <c r="C409" s="5">
        <v>124</v>
      </c>
      <c r="D409" s="5">
        <v>0.68131868131868101</v>
      </c>
      <c r="E409" s="5">
        <v>0.44505494505494497</v>
      </c>
      <c r="F409" s="5">
        <v>0.81451612903225801</v>
      </c>
      <c r="G409" s="5">
        <v>0.84543353010009603</v>
      </c>
      <c r="H409" s="5">
        <v>0</v>
      </c>
      <c r="I409" s="5">
        <v>2.7472527472527399E-2</v>
      </c>
      <c r="J409" s="5">
        <v>0</v>
      </c>
      <c r="K409" s="5">
        <v>5</v>
      </c>
      <c r="L409" s="5">
        <v>3</v>
      </c>
      <c r="M409" s="5">
        <v>0.55801104972375604</v>
      </c>
      <c r="N409" s="5">
        <v>101</v>
      </c>
      <c r="O409" s="5">
        <v>181</v>
      </c>
      <c r="P409" s="5">
        <v>11</v>
      </c>
      <c r="Q409" s="5">
        <v>16.545454545454501</v>
      </c>
      <c r="R409" s="5">
        <v>1.72727272727272</v>
      </c>
      <c r="S409" s="5">
        <v>19</v>
      </c>
      <c r="T409" s="5">
        <v>0</v>
      </c>
      <c r="U409" s="5">
        <v>0</v>
      </c>
    </row>
    <row r="410" spans="1:21" x14ac:dyDescent="0.25">
      <c r="A410" t="s">
        <v>3541</v>
      </c>
      <c r="B410" s="5">
        <v>203</v>
      </c>
      <c r="C410" s="5">
        <v>158</v>
      </c>
      <c r="D410" s="5">
        <v>0.77832512315270896</v>
      </c>
      <c r="E410" s="5">
        <v>0.36945812807881701</v>
      </c>
      <c r="F410" s="5">
        <v>0.810126582278481</v>
      </c>
      <c r="G410" s="5">
        <v>0.93261404760204902</v>
      </c>
      <c r="H410" s="5">
        <v>4.9261083743842296E-3</v>
      </c>
      <c r="I410" s="5">
        <v>0</v>
      </c>
      <c r="J410" s="5">
        <v>1</v>
      </c>
      <c r="K410" s="5">
        <v>0</v>
      </c>
      <c r="L410" s="5">
        <v>5</v>
      </c>
      <c r="M410" s="5">
        <v>0.69458128078817705</v>
      </c>
      <c r="N410" s="5">
        <v>141</v>
      </c>
      <c r="O410" s="5">
        <v>203</v>
      </c>
      <c r="P410" s="5">
        <v>14</v>
      </c>
      <c r="Q410" s="5">
        <v>14.5</v>
      </c>
      <c r="R410" s="5">
        <v>1.5714285714285701</v>
      </c>
      <c r="S410" s="5">
        <v>22</v>
      </c>
      <c r="T410" s="5">
        <v>0</v>
      </c>
      <c r="U410" s="5">
        <v>0</v>
      </c>
    </row>
    <row r="411" spans="1:21" x14ac:dyDescent="0.25">
      <c r="A411" t="s">
        <v>3547</v>
      </c>
      <c r="B411" s="5">
        <v>187</v>
      </c>
      <c r="C411" s="5">
        <v>126</v>
      </c>
      <c r="D411" s="5">
        <v>0.67379679144384996</v>
      </c>
      <c r="E411" s="5">
        <v>0.44919786096256598</v>
      </c>
      <c r="F411" s="5">
        <v>0.817460317460317</v>
      </c>
      <c r="G411" s="5">
        <v>0.85889482168850095</v>
      </c>
      <c r="H411" s="5">
        <v>2.6737967914438499E-2</v>
      </c>
      <c r="I411" s="5">
        <v>1.06951871657754E-2</v>
      </c>
      <c r="J411" s="5">
        <v>5</v>
      </c>
      <c r="K411" s="5">
        <v>2</v>
      </c>
      <c r="L411" s="5">
        <v>4</v>
      </c>
      <c r="M411" s="5">
        <v>0.51595744680850997</v>
      </c>
      <c r="N411" s="5">
        <v>97</v>
      </c>
      <c r="O411" s="5">
        <v>188</v>
      </c>
      <c r="P411" s="5">
        <v>20</v>
      </c>
      <c r="Q411" s="5">
        <v>9.35</v>
      </c>
      <c r="R411" s="5">
        <v>0.9</v>
      </c>
      <c r="S411" s="5">
        <v>18</v>
      </c>
      <c r="T411" s="5">
        <v>0</v>
      </c>
      <c r="U411" s="5">
        <v>0</v>
      </c>
    </row>
    <row r="412" spans="1:21" x14ac:dyDescent="0.25">
      <c r="A412" t="s">
        <v>3556</v>
      </c>
      <c r="B412" s="5">
        <v>142</v>
      </c>
      <c r="C412" s="5">
        <v>112</v>
      </c>
      <c r="D412" s="5">
        <v>0.78873239436619702</v>
      </c>
      <c r="E412" s="5">
        <v>0.35915492957746398</v>
      </c>
      <c r="F412" s="5">
        <v>0.8125</v>
      </c>
      <c r="G412" s="5">
        <v>0.92049663195231801</v>
      </c>
      <c r="H412" s="5">
        <v>1.4084507042253501E-2</v>
      </c>
      <c r="I412" s="5">
        <v>2.8169014084507001E-2</v>
      </c>
      <c r="J412" s="5">
        <v>2</v>
      </c>
      <c r="K412" s="5">
        <v>4</v>
      </c>
      <c r="L412" s="5">
        <v>4</v>
      </c>
      <c r="M412" s="5">
        <v>0.65034965034964998</v>
      </c>
      <c r="N412" s="5">
        <v>93</v>
      </c>
      <c r="O412" s="5">
        <v>143</v>
      </c>
      <c r="P412" s="5">
        <v>16</v>
      </c>
      <c r="Q412" s="5">
        <v>8.875</v>
      </c>
      <c r="R412" s="5">
        <v>0.75</v>
      </c>
      <c r="S412" s="5">
        <v>12</v>
      </c>
      <c r="T412" s="5">
        <v>0</v>
      </c>
      <c r="U412" s="5">
        <v>0</v>
      </c>
    </row>
    <row r="413" spans="1:21" x14ac:dyDescent="0.25">
      <c r="A413" t="s">
        <v>3561</v>
      </c>
      <c r="B413" s="5">
        <v>190</v>
      </c>
      <c r="C413" s="5">
        <v>126</v>
      </c>
      <c r="D413" s="5">
        <v>0.66315789473684195</v>
      </c>
      <c r="E413" s="5">
        <v>0.46842105263157802</v>
      </c>
      <c r="F413" s="5">
        <v>0.80158730158730096</v>
      </c>
      <c r="G413" s="5">
        <v>0.85148698889721297</v>
      </c>
      <c r="H413" s="5">
        <v>2.6315789473684199E-2</v>
      </c>
      <c r="I413" s="5">
        <v>3.6842105263157801E-2</v>
      </c>
      <c r="J413" s="5">
        <v>5</v>
      </c>
      <c r="K413" s="5">
        <v>7</v>
      </c>
      <c r="L413" s="5">
        <v>5</v>
      </c>
      <c r="M413" s="5">
        <v>0.55263157894736803</v>
      </c>
      <c r="N413" s="5">
        <v>105</v>
      </c>
      <c r="O413" s="5">
        <v>190</v>
      </c>
      <c r="P413" s="5">
        <v>12</v>
      </c>
      <c r="Q413" s="5">
        <v>15.8333333333333</v>
      </c>
      <c r="R413" s="5">
        <v>2.8333333333333299</v>
      </c>
      <c r="S413" s="5">
        <v>34</v>
      </c>
      <c r="T413" s="5">
        <v>0</v>
      </c>
      <c r="U413" s="5">
        <v>0</v>
      </c>
    </row>
    <row r="414" spans="1:21" x14ac:dyDescent="0.25">
      <c r="A414" t="s">
        <v>3570</v>
      </c>
      <c r="B414" s="5">
        <v>176</v>
      </c>
      <c r="C414" s="5">
        <v>110</v>
      </c>
      <c r="D414" s="5">
        <v>0.625</v>
      </c>
      <c r="E414" s="5">
        <v>0.49431818181818099</v>
      </c>
      <c r="F414" s="5">
        <v>0.80909090909090897</v>
      </c>
      <c r="G414" s="5">
        <v>0.80911967570458698</v>
      </c>
      <c r="H414" s="5">
        <v>2.27272727272727E-2</v>
      </c>
      <c r="I414" s="5">
        <v>1.13636363636363E-2</v>
      </c>
      <c r="J414" s="5">
        <v>4</v>
      </c>
      <c r="K414" s="5">
        <v>2</v>
      </c>
      <c r="L414" s="5">
        <v>4</v>
      </c>
      <c r="M414" s="5">
        <v>0.57386363636363602</v>
      </c>
      <c r="N414" s="5">
        <v>101</v>
      </c>
      <c r="O414" s="5">
        <v>176</v>
      </c>
      <c r="P414" s="5">
        <v>28</v>
      </c>
      <c r="Q414" s="5">
        <v>6.2857142857142803</v>
      </c>
      <c r="R414" s="5">
        <v>0.82142857142857095</v>
      </c>
      <c r="S414" s="5">
        <v>23</v>
      </c>
      <c r="T414" s="5">
        <v>1</v>
      </c>
      <c r="U414" s="5">
        <v>0.64808770246833602</v>
      </c>
    </row>
    <row r="415" spans="1:21" x14ac:dyDescent="0.25">
      <c r="A415" t="s">
        <v>3579</v>
      </c>
      <c r="B415" s="5">
        <v>101</v>
      </c>
      <c r="C415" s="5">
        <v>76</v>
      </c>
      <c r="D415" s="5">
        <v>0.75247524752475203</v>
      </c>
      <c r="E415" s="5">
        <v>0.37623762376237602</v>
      </c>
      <c r="F415" s="5">
        <v>0.82894736842105199</v>
      </c>
      <c r="G415" s="5">
        <v>0.856937280304927</v>
      </c>
      <c r="H415" s="5">
        <v>1.9801980198019799E-2</v>
      </c>
      <c r="I415" s="5">
        <v>0</v>
      </c>
      <c r="J415" s="5">
        <v>2</v>
      </c>
      <c r="K415" s="5">
        <v>0</v>
      </c>
      <c r="L415" s="5">
        <v>3</v>
      </c>
      <c r="M415" s="5">
        <v>0.49494949494949497</v>
      </c>
      <c r="N415" s="5">
        <v>49</v>
      </c>
      <c r="O415" s="5">
        <v>99</v>
      </c>
      <c r="P415" s="5">
        <v>9</v>
      </c>
      <c r="Q415" s="5">
        <v>11.2222222222222</v>
      </c>
      <c r="R415" s="5">
        <v>1.1111111111111101</v>
      </c>
      <c r="S415" s="5">
        <v>10</v>
      </c>
      <c r="T415" s="5">
        <v>0</v>
      </c>
      <c r="U415" s="5">
        <v>0</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
  <sheetViews>
    <sheetView workbookViewId="0">
      <selection activeCell="D13" sqref="D13"/>
    </sheetView>
  </sheetViews>
  <sheetFormatPr defaultRowHeight="15" x14ac:dyDescent="0.25"/>
  <cols>
    <col min="21" max="21" width="34.140625" customWidth="1"/>
  </cols>
  <sheetData>
    <row r="1" spans="1:21" x14ac:dyDescent="0.25">
      <c r="B1" s="3" t="s">
        <v>22</v>
      </c>
      <c r="C1" s="3" t="s">
        <v>23</v>
      </c>
      <c r="D1" s="3" t="s">
        <v>24</v>
      </c>
      <c r="E1" s="3" t="s">
        <v>25</v>
      </c>
      <c r="F1" s="3" t="s">
        <v>26</v>
      </c>
      <c r="G1" s="3" t="s">
        <v>27</v>
      </c>
      <c r="H1" s="3" t="s">
        <v>28</v>
      </c>
      <c r="I1" s="3" t="s">
        <v>29</v>
      </c>
      <c r="J1" s="3" t="s">
        <v>30</v>
      </c>
      <c r="K1" s="3" t="s">
        <v>31</v>
      </c>
      <c r="L1" s="3" t="s">
        <v>32</v>
      </c>
      <c r="M1" s="3" t="s">
        <v>33</v>
      </c>
      <c r="N1" s="3" t="s">
        <v>34</v>
      </c>
      <c r="O1" s="3" t="s">
        <v>35</v>
      </c>
      <c r="P1" s="3" t="s">
        <v>36</v>
      </c>
      <c r="Q1" s="3" t="s">
        <v>37</v>
      </c>
      <c r="R1" s="3" t="s">
        <v>38</v>
      </c>
      <c r="S1" s="3" t="s">
        <v>39</v>
      </c>
      <c r="T1" s="3" t="s">
        <v>40</v>
      </c>
      <c r="U1" s="3" t="s">
        <v>41</v>
      </c>
    </row>
    <row r="2" spans="1:21" x14ac:dyDescent="0.25">
      <c r="A2" t="s">
        <v>3586</v>
      </c>
      <c r="B2">
        <f>MEDIAN(Linguistic_parameters2__2[Lex_total_tokens])</f>
        <v>157.5</v>
      </c>
      <c r="C2">
        <f>MEDIAN(Linguistic_parameters2__2[Lex_unique_types])</f>
        <v>110</v>
      </c>
      <c r="D2">
        <f>MEDIAN(Linguistic_parameters2__2[Lex_TTR])</f>
        <v>0.69680851063829696</v>
      </c>
      <c r="E2">
        <f>MEDIAN(Linguistic_parameters2__2[Lex_repetition_ratio])</f>
        <v>0.44512195121951198</v>
      </c>
      <c r="F2">
        <f>MEDIAN(Linguistic_parameters2__2[Lex_hapax_ratio])</f>
        <v>0.79347826086956497</v>
      </c>
      <c r="G2">
        <f>MEDIAN(Linguistic_parameters2__2[Lex_HDD])</f>
        <v>0.860642237587948</v>
      </c>
      <c r="H2">
        <f>MEDIAN(Linguistic_parameters2__2[Sem_personal_ratio])</f>
        <v>1.35135135135135E-2</v>
      </c>
      <c r="I2">
        <f>MEDIAN(Linguistic_parameters2__2[Sem_vague_ratio])</f>
        <v>1.4084507042253501E-2</v>
      </c>
      <c r="J2">
        <f>MEDIAN(Linguistic_parameters2__2[Sem_personal_count])</f>
        <v>2</v>
      </c>
      <c r="K2">
        <f>MEDIAN(Linguistic_parameters2__2[Sem_vague_count])</f>
        <v>2</v>
      </c>
      <c r="L2">
        <f>MEDIAN(Linguistic_parameters2__2[Sem_semantic_category_count])</f>
        <v>3</v>
      </c>
      <c r="M2">
        <f>MEDIAN(Linguistic_parameters2__2[Sem_content_density])</f>
        <v>0.54938271604938205</v>
      </c>
      <c r="N2">
        <f>MEDIAN(Linguistic_parameters2__2[Sem_n_content])</f>
        <v>88</v>
      </c>
      <c r="O2">
        <f>MEDIAN(Linguistic_parameters2__2[Sem_n_tokens])</f>
        <v>158.5</v>
      </c>
      <c r="P2">
        <f>MEDIAN(Linguistic_parameters2__2[Syn_num_sent])</f>
        <v>10</v>
      </c>
      <c r="Q2">
        <f>MEDIAN(Linguistic_parameters2__2[Syn_MLU])</f>
        <v>15.81666666666665</v>
      </c>
      <c r="R2">
        <f>MEDIAN(Linguistic_parameters2__2[Syn_sub_per_sent])</f>
        <v>2.1428571428571401</v>
      </c>
      <c r="S2">
        <f>MEDIAN(Linguistic_parameters2__2[Syn_total_sub])</f>
        <v>20</v>
      </c>
      <c r="T2">
        <f>MEDIAN(Linguistic_parameters2__2[Syn_hes])</f>
        <v>0</v>
      </c>
      <c r="U2">
        <f>MEDIAN(Linguistic_parameters2__2[Syn_hes_per_min])</f>
        <v>0</v>
      </c>
    </row>
    <row r="3" spans="1:21" x14ac:dyDescent="0.25">
      <c r="B3">
        <v>157.5</v>
      </c>
      <c r="C3">
        <v>110</v>
      </c>
      <c r="D3">
        <v>0.69680851063829696</v>
      </c>
      <c r="E3">
        <v>0.44512195121951198</v>
      </c>
      <c r="F3">
        <v>0.79347826086956497</v>
      </c>
      <c r="G3">
        <v>0.860642237587948</v>
      </c>
      <c r="H3">
        <v>1.35135135135135E-2</v>
      </c>
      <c r="I3">
        <v>1.4084507042253501E-2</v>
      </c>
      <c r="J3">
        <v>2</v>
      </c>
      <c r="K3">
        <v>2</v>
      </c>
      <c r="L3">
        <v>3</v>
      </c>
      <c r="M3">
        <v>0.54938271604938205</v>
      </c>
      <c r="N3">
        <v>88</v>
      </c>
      <c r="O3">
        <v>158.5</v>
      </c>
      <c r="P3">
        <v>10</v>
      </c>
      <c r="Q3">
        <v>15.81666666666665</v>
      </c>
      <c r="R3">
        <v>2.1428571428571401</v>
      </c>
      <c r="S3">
        <v>20</v>
      </c>
      <c r="T3">
        <v>0</v>
      </c>
      <c r="U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8607-B409-48E8-B037-AC787D70BB49}">
  <dimension ref="A1:A415"/>
  <sheetViews>
    <sheetView workbookViewId="0">
      <selection activeCell="A2" sqref="A2"/>
    </sheetView>
  </sheetViews>
  <sheetFormatPr defaultRowHeight="15" x14ac:dyDescent="0.25"/>
  <sheetData>
    <row r="1" spans="1:1" x14ac:dyDescent="0.25">
      <c r="A1" s="3" t="s">
        <v>42</v>
      </c>
    </row>
    <row r="2" spans="1:1" x14ac:dyDescent="0.25">
      <c r="A2" s="1" t="s">
        <v>53</v>
      </c>
    </row>
    <row r="3" spans="1:1" x14ac:dyDescent="0.25">
      <c r="A3" s="2" t="s">
        <v>63</v>
      </c>
    </row>
    <row r="4" spans="1:1" x14ac:dyDescent="0.25">
      <c r="A4" s="1" t="s">
        <v>73</v>
      </c>
    </row>
    <row r="5" spans="1:1" x14ac:dyDescent="0.25">
      <c r="A5" s="2" t="s">
        <v>84</v>
      </c>
    </row>
    <row r="6" spans="1:1" x14ac:dyDescent="0.25">
      <c r="A6" s="1" t="s">
        <v>96</v>
      </c>
    </row>
    <row r="7" spans="1:1" x14ac:dyDescent="0.25">
      <c r="A7" s="2" t="s">
        <v>106</v>
      </c>
    </row>
    <row r="8" spans="1:1" x14ac:dyDescent="0.25">
      <c r="A8" s="1" t="s">
        <v>116</v>
      </c>
    </row>
    <row r="9" spans="1:1" x14ac:dyDescent="0.25">
      <c r="A9" s="2" t="s">
        <v>127</v>
      </c>
    </row>
    <row r="10" spans="1:1" x14ac:dyDescent="0.25">
      <c r="A10" s="1" t="s">
        <v>137</v>
      </c>
    </row>
    <row r="11" spans="1:1" x14ac:dyDescent="0.25">
      <c r="A11" s="2" t="s">
        <v>147</v>
      </c>
    </row>
    <row r="12" spans="1:1" x14ac:dyDescent="0.25">
      <c r="A12" s="1" t="s">
        <v>158</v>
      </c>
    </row>
    <row r="13" spans="1:1" x14ac:dyDescent="0.25">
      <c r="A13" s="2" t="s">
        <v>169</v>
      </c>
    </row>
    <row r="14" spans="1:1" x14ac:dyDescent="0.25">
      <c r="A14" s="1" t="s">
        <v>180</v>
      </c>
    </row>
    <row r="15" spans="1:1" x14ac:dyDescent="0.25">
      <c r="A15" s="2" t="s">
        <v>190</v>
      </c>
    </row>
    <row r="16" spans="1:1" x14ac:dyDescent="0.25">
      <c r="A16" s="1" t="s">
        <v>199</v>
      </c>
    </row>
    <row r="17" spans="1:1" x14ac:dyDescent="0.25">
      <c r="A17" s="2" t="s">
        <v>211</v>
      </c>
    </row>
    <row r="18" spans="1:1" x14ac:dyDescent="0.25">
      <c r="A18" s="1" t="s">
        <v>222</v>
      </c>
    </row>
    <row r="19" spans="1:1" x14ac:dyDescent="0.25">
      <c r="A19" s="2" t="s">
        <v>232</v>
      </c>
    </row>
    <row r="20" spans="1:1" x14ac:dyDescent="0.25">
      <c r="A20" s="1" t="s">
        <v>242</v>
      </c>
    </row>
    <row r="21" spans="1:1" x14ac:dyDescent="0.25">
      <c r="A21" s="2" t="s">
        <v>253</v>
      </c>
    </row>
    <row r="22" spans="1:1" x14ac:dyDescent="0.25">
      <c r="A22" s="1" t="s">
        <v>262</v>
      </c>
    </row>
    <row r="23" spans="1:1" x14ac:dyDescent="0.25">
      <c r="A23" s="2" t="s">
        <v>271</v>
      </c>
    </row>
    <row r="24" spans="1:1" x14ac:dyDescent="0.25">
      <c r="A24" s="1" t="s">
        <v>279</v>
      </c>
    </row>
    <row r="25" spans="1:1" x14ac:dyDescent="0.25">
      <c r="A25" s="2" t="s">
        <v>289</v>
      </c>
    </row>
    <row r="26" spans="1:1" x14ac:dyDescent="0.25">
      <c r="A26" s="1" t="s">
        <v>299</v>
      </c>
    </row>
    <row r="27" spans="1:1" x14ac:dyDescent="0.25">
      <c r="A27" s="2" t="s">
        <v>308</v>
      </c>
    </row>
    <row r="28" spans="1:1" x14ac:dyDescent="0.25">
      <c r="A28" s="1" t="s">
        <v>319</v>
      </c>
    </row>
    <row r="29" spans="1:1" x14ac:dyDescent="0.25">
      <c r="A29" s="2" t="s">
        <v>328</v>
      </c>
    </row>
    <row r="30" spans="1:1" x14ac:dyDescent="0.25">
      <c r="A30" s="1" t="s">
        <v>338</v>
      </c>
    </row>
    <row r="31" spans="1:1" x14ac:dyDescent="0.25">
      <c r="A31" s="2" t="s">
        <v>347</v>
      </c>
    </row>
    <row r="32" spans="1:1" x14ac:dyDescent="0.25">
      <c r="A32" s="1" t="s">
        <v>357</v>
      </c>
    </row>
    <row r="33" spans="1:1" x14ac:dyDescent="0.25">
      <c r="A33" s="2" t="s">
        <v>367</v>
      </c>
    </row>
    <row r="34" spans="1:1" x14ac:dyDescent="0.25">
      <c r="A34" s="1" t="s">
        <v>376</v>
      </c>
    </row>
    <row r="35" spans="1:1" x14ac:dyDescent="0.25">
      <c r="A35" s="2" t="s">
        <v>378</v>
      </c>
    </row>
    <row r="36" spans="1:1" x14ac:dyDescent="0.25">
      <c r="A36" s="1" t="s">
        <v>389</v>
      </c>
    </row>
    <row r="37" spans="1:1" x14ac:dyDescent="0.25">
      <c r="A37" s="2" t="s">
        <v>397</v>
      </c>
    </row>
    <row r="38" spans="1:1" x14ac:dyDescent="0.25">
      <c r="A38" s="1" t="s">
        <v>409</v>
      </c>
    </row>
    <row r="39" spans="1:1" x14ac:dyDescent="0.25">
      <c r="A39" s="2" t="s">
        <v>420</v>
      </c>
    </row>
    <row r="40" spans="1:1" x14ac:dyDescent="0.25">
      <c r="A40" s="1" t="s">
        <v>428</v>
      </c>
    </row>
    <row r="41" spans="1:1" x14ac:dyDescent="0.25">
      <c r="A41" s="2" t="s">
        <v>437</v>
      </c>
    </row>
    <row r="42" spans="1:1" x14ac:dyDescent="0.25">
      <c r="A42" s="1" t="s">
        <v>447</v>
      </c>
    </row>
    <row r="43" spans="1:1" x14ac:dyDescent="0.25">
      <c r="A43" s="2" t="s">
        <v>458</v>
      </c>
    </row>
    <row r="44" spans="1:1" x14ac:dyDescent="0.25">
      <c r="A44" s="1" t="s">
        <v>468</v>
      </c>
    </row>
    <row r="45" spans="1:1" x14ac:dyDescent="0.25">
      <c r="A45" s="2" t="s">
        <v>479</v>
      </c>
    </row>
    <row r="46" spans="1:1" x14ac:dyDescent="0.25">
      <c r="A46" s="1" t="s">
        <v>490</v>
      </c>
    </row>
    <row r="47" spans="1:1" x14ac:dyDescent="0.25">
      <c r="A47" s="2" t="s">
        <v>500</v>
      </c>
    </row>
    <row r="48" spans="1:1" x14ac:dyDescent="0.25">
      <c r="A48" s="1" t="s">
        <v>510</v>
      </c>
    </row>
    <row r="49" spans="1:1" x14ac:dyDescent="0.25">
      <c r="A49" s="2" t="s">
        <v>530</v>
      </c>
    </row>
    <row r="50" spans="1:1" x14ac:dyDescent="0.25">
      <c r="A50" s="1" t="s">
        <v>540</v>
      </c>
    </row>
    <row r="51" spans="1:1" x14ac:dyDescent="0.25">
      <c r="A51" s="2" t="s">
        <v>548</v>
      </c>
    </row>
    <row r="52" spans="1:1" x14ac:dyDescent="0.25">
      <c r="A52" s="1" t="s">
        <v>557</v>
      </c>
    </row>
    <row r="53" spans="1:1" x14ac:dyDescent="0.25">
      <c r="A53" s="2" t="s">
        <v>567</v>
      </c>
    </row>
    <row r="54" spans="1:1" x14ac:dyDescent="0.25">
      <c r="A54" s="1" t="s">
        <v>576</v>
      </c>
    </row>
    <row r="55" spans="1:1" x14ac:dyDescent="0.25">
      <c r="A55" s="2" t="s">
        <v>587</v>
      </c>
    </row>
    <row r="56" spans="1:1" x14ac:dyDescent="0.25">
      <c r="A56" s="1" t="s">
        <v>598</v>
      </c>
    </row>
    <row r="57" spans="1:1" x14ac:dyDescent="0.25">
      <c r="A57" s="2" t="s">
        <v>608</v>
      </c>
    </row>
    <row r="58" spans="1:1" x14ac:dyDescent="0.25">
      <c r="A58" s="1" t="s">
        <v>619</v>
      </c>
    </row>
    <row r="59" spans="1:1" x14ac:dyDescent="0.25">
      <c r="A59" s="2" t="s">
        <v>629</v>
      </c>
    </row>
    <row r="60" spans="1:1" x14ac:dyDescent="0.25">
      <c r="A60" s="1" t="s">
        <v>639</v>
      </c>
    </row>
    <row r="61" spans="1:1" x14ac:dyDescent="0.25">
      <c r="A61" s="2" t="s">
        <v>649</v>
      </c>
    </row>
    <row r="62" spans="1:1" x14ac:dyDescent="0.25">
      <c r="A62" s="1" t="s">
        <v>659</v>
      </c>
    </row>
    <row r="63" spans="1:1" x14ac:dyDescent="0.25">
      <c r="A63" s="2" t="s">
        <v>669</v>
      </c>
    </row>
    <row r="64" spans="1:1" x14ac:dyDescent="0.25">
      <c r="A64" s="1" t="s">
        <v>678</v>
      </c>
    </row>
    <row r="65" spans="1:1" x14ac:dyDescent="0.25">
      <c r="A65" s="2" t="s">
        <v>688</v>
      </c>
    </row>
    <row r="66" spans="1:1" x14ac:dyDescent="0.25">
      <c r="A66" s="1" t="s">
        <v>698</v>
      </c>
    </row>
    <row r="67" spans="1:1" x14ac:dyDescent="0.25">
      <c r="A67" s="2" t="s">
        <v>707</v>
      </c>
    </row>
    <row r="68" spans="1:1" x14ac:dyDescent="0.25">
      <c r="A68" s="1" t="s">
        <v>718</v>
      </c>
    </row>
    <row r="69" spans="1:1" x14ac:dyDescent="0.25">
      <c r="A69" s="2" t="s">
        <v>727</v>
      </c>
    </row>
    <row r="70" spans="1:1" x14ac:dyDescent="0.25">
      <c r="A70" s="1" t="s">
        <v>738</v>
      </c>
    </row>
    <row r="71" spans="1:1" x14ac:dyDescent="0.25">
      <c r="A71" s="2" t="s">
        <v>747</v>
      </c>
    </row>
    <row r="72" spans="1:1" x14ac:dyDescent="0.25">
      <c r="A72" s="1" t="s">
        <v>756</v>
      </c>
    </row>
    <row r="73" spans="1:1" x14ac:dyDescent="0.25">
      <c r="A73" s="2" t="s">
        <v>765</v>
      </c>
    </row>
    <row r="74" spans="1:1" x14ac:dyDescent="0.25">
      <c r="A74" s="1" t="s">
        <v>775</v>
      </c>
    </row>
    <row r="75" spans="1:1" x14ac:dyDescent="0.25">
      <c r="A75" s="2" t="s">
        <v>784</v>
      </c>
    </row>
    <row r="76" spans="1:1" x14ac:dyDescent="0.25">
      <c r="A76" s="1" t="s">
        <v>791</v>
      </c>
    </row>
    <row r="77" spans="1:1" x14ac:dyDescent="0.25">
      <c r="A77" s="2" t="s">
        <v>802</v>
      </c>
    </row>
    <row r="78" spans="1:1" x14ac:dyDescent="0.25">
      <c r="A78" s="1" t="s">
        <v>813</v>
      </c>
    </row>
    <row r="79" spans="1:1" x14ac:dyDescent="0.25">
      <c r="A79" s="2" t="s">
        <v>822</v>
      </c>
    </row>
    <row r="80" spans="1:1" x14ac:dyDescent="0.25">
      <c r="A80" s="1" t="s">
        <v>833</v>
      </c>
    </row>
    <row r="81" spans="1:1" x14ac:dyDescent="0.25">
      <c r="A81" s="2" t="s">
        <v>843</v>
      </c>
    </row>
    <row r="82" spans="1:1" x14ac:dyDescent="0.25">
      <c r="A82" s="1" t="s">
        <v>854</v>
      </c>
    </row>
    <row r="83" spans="1:1" x14ac:dyDescent="0.25">
      <c r="A83" s="2" t="s">
        <v>864</v>
      </c>
    </row>
    <row r="84" spans="1:1" x14ac:dyDescent="0.25">
      <c r="A84" s="1" t="s">
        <v>874</v>
      </c>
    </row>
    <row r="85" spans="1:1" x14ac:dyDescent="0.25">
      <c r="A85" s="2" t="s">
        <v>883</v>
      </c>
    </row>
    <row r="86" spans="1:1" x14ac:dyDescent="0.25">
      <c r="A86" s="1" t="s">
        <v>893</v>
      </c>
    </row>
    <row r="87" spans="1:1" x14ac:dyDescent="0.25">
      <c r="A87" s="2" t="s">
        <v>901</v>
      </c>
    </row>
    <row r="88" spans="1:1" x14ac:dyDescent="0.25">
      <c r="A88" s="1" t="s">
        <v>912</v>
      </c>
    </row>
    <row r="89" spans="1:1" x14ac:dyDescent="0.25">
      <c r="A89" s="2" t="s">
        <v>922</v>
      </c>
    </row>
    <row r="90" spans="1:1" x14ac:dyDescent="0.25">
      <c r="A90" s="1" t="s">
        <v>928</v>
      </c>
    </row>
    <row r="91" spans="1:1" x14ac:dyDescent="0.25">
      <c r="A91" s="2" t="s">
        <v>935</v>
      </c>
    </row>
    <row r="92" spans="1:1" x14ac:dyDescent="0.25">
      <c r="A92" s="1" t="s">
        <v>945</v>
      </c>
    </row>
    <row r="93" spans="1:1" x14ac:dyDescent="0.25">
      <c r="A93" s="2" t="s">
        <v>955</v>
      </c>
    </row>
    <row r="94" spans="1:1" x14ac:dyDescent="0.25">
      <c r="A94" s="1" t="s">
        <v>965</v>
      </c>
    </row>
    <row r="95" spans="1:1" x14ac:dyDescent="0.25">
      <c r="A95" s="2" t="s">
        <v>973</v>
      </c>
    </row>
    <row r="96" spans="1:1" x14ac:dyDescent="0.25">
      <c r="A96" s="1" t="s">
        <v>984</v>
      </c>
    </row>
    <row r="97" spans="1:1" x14ac:dyDescent="0.25">
      <c r="A97" s="2" t="s">
        <v>994</v>
      </c>
    </row>
    <row r="98" spans="1:1" x14ac:dyDescent="0.25">
      <c r="A98" s="1" t="s">
        <v>1005</v>
      </c>
    </row>
    <row r="99" spans="1:1" x14ac:dyDescent="0.25">
      <c r="A99" s="2" t="s">
        <v>1014</v>
      </c>
    </row>
    <row r="100" spans="1:1" x14ac:dyDescent="0.25">
      <c r="A100" s="1" t="s">
        <v>1023</v>
      </c>
    </row>
    <row r="101" spans="1:1" x14ac:dyDescent="0.25">
      <c r="A101" s="2" t="s">
        <v>1034</v>
      </c>
    </row>
    <row r="102" spans="1:1" x14ac:dyDescent="0.25">
      <c r="A102" s="1" t="s">
        <v>1042</v>
      </c>
    </row>
    <row r="103" spans="1:1" x14ac:dyDescent="0.25">
      <c r="A103" s="2" t="s">
        <v>1051</v>
      </c>
    </row>
    <row r="104" spans="1:1" x14ac:dyDescent="0.25">
      <c r="A104" s="1" t="s">
        <v>1061</v>
      </c>
    </row>
    <row r="105" spans="1:1" x14ac:dyDescent="0.25">
      <c r="A105" s="2" t="s">
        <v>1072</v>
      </c>
    </row>
    <row r="106" spans="1:1" x14ac:dyDescent="0.25">
      <c r="A106" s="1" t="s">
        <v>1082</v>
      </c>
    </row>
    <row r="107" spans="1:1" x14ac:dyDescent="0.25">
      <c r="A107" s="2" t="s">
        <v>1088</v>
      </c>
    </row>
    <row r="108" spans="1:1" x14ac:dyDescent="0.25">
      <c r="A108" s="1" t="s">
        <v>1097</v>
      </c>
    </row>
    <row r="109" spans="1:1" x14ac:dyDescent="0.25">
      <c r="A109" s="2" t="s">
        <v>1105</v>
      </c>
    </row>
    <row r="110" spans="1:1" x14ac:dyDescent="0.25">
      <c r="A110" s="1" t="s">
        <v>1113</v>
      </c>
    </row>
    <row r="111" spans="1:1" x14ac:dyDescent="0.25">
      <c r="A111" s="2" t="s">
        <v>1122</v>
      </c>
    </row>
    <row r="112" spans="1:1" x14ac:dyDescent="0.25">
      <c r="A112" s="1" t="s">
        <v>1129</v>
      </c>
    </row>
    <row r="113" spans="1:1" x14ac:dyDescent="0.25">
      <c r="A113" s="2" t="s">
        <v>1140</v>
      </c>
    </row>
    <row r="114" spans="1:1" x14ac:dyDescent="0.25">
      <c r="A114" s="1" t="s">
        <v>1150</v>
      </c>
    </row>
    <row r="115" spans="1:1" x14ac:dyDescent="0.25">
      <c r="A115" s="2" t="s">
        <v>1159</v>
      </c>
    </row>
    <row r="116" spans="1:1" x14ac:dyDescent="0.25">
      <c r="A116" s="1" t="s">
        <v>1168</v>
      </c>
    </row>
    <row r="117" spans="1:1" x14ac:dyDescent="0.25">
      <c r="A117" s="2" t="s">
        <v>1176</v>
      </c>
    </row>
    <row r="118" spans="1:1" x14ac:dyDescent="0.25">
      <c r="A118" s="1" t="s">
        <v>1187</v>
      </c>
    </row>
    <row r="119" spans="1:1" x14ac:dyDescent="0.25">
      <c r="A119" s="2" t="s">
        <v>1197</v>
      </c>
    </row>
    <row r="120" spans="1:1" x14ac:dyDescent="0.25">
      <c r="A120" s="1" t="s">
        <v>1208</v>
      </c>
    </row>
    <row r="121" spans="1:1" x14ac:dyDescent="0.25">
      <c r="A121" s="2" t="s">
        <v>1217</v>
      </c>
    </row>
    <row r="122" spans="1:1" x14ac:dyDescent="0.25">
      <c r="A122" s="1" t="s">
        <v>1228</v>
      </c>
    </row>
    <row r="123" spans="1:1" x14ac:dyDescent="0.25">
      <c r="A123" s="2" t="s">
        <v>1236</v>
      </c>
    </row>
    <row r="124" spans="1:1" x14ac:dyDescent="0.25">
      <c r="A124" s="1" t="s">
        <v>1245</v>
      </c>
    </row>
    <row r="125" spans="1:1" x14ac:dyDescent="0.25">
      <c r="A125" s="2" t="s">
        <v>1255</v>
      </c>
    </row>
    <row r="126" spans="1:1" x14ac:dyDescent="0.25">
      <c r="A126" s="1" t="s">
        <v>1262</v>
      </c>
    </row>
    <row r="127" spans="1:1" x14ac:dyDescent="0.25">
      <c r="A127" s="2" t="s">
        <v>1272</v>
      </c>
    </row>
    <row r="128" spans="1:1" x14ac:dyDescent="0.25">
      <c r="A128" s="1" t="s">
        <v>1283</v>
      </c>
    </row>
    <row r="129" spans="1:1" x14ac:dyDescent="0.25">
      <c r="A129" s="2" t="s">
        <v>1291</v>
      </c>
    </row>
    <row r="130" spans="1:1" x14ac:dyDescent="0.25">
      <c r="A130" s="1" t="s">
        <v>1300</v>
      </c>
    </row>
    <row r="131" spans="1:1" x14ac:dyDescent="0.25">
      <c r="A131" s="2" t="s">
        <v>1306</v>
      </c>
    </row>
    <row r="132" spans="1:1" x14ac:dyDescent="0.25">
      <c r="A132" s="1" t="s">
        <v>1315</v>
      </c>
    </row>
    <row r="133" spans="1:1" x14ac:dyDescent="0.25">
      <c r="A133" s="2" t="s">
        <v>1324</v>
      </c>
    </row>
    <row r="134" spans="1:1" x14ac:dyDescent="0.25">
      <c r="A134" s="1" t="s">
        <v>1333</v>
      </c>
    </row>
    <row r="135" spans="1:1" x14ac:dyDescent="0.25">
      <c r="A135" s="2" t="s">
        <v>1344</v>
      </c>
    </row>
    <row r="136" spans="1:1" x14ac:dyDescent="0.25">
      <c r="A136" s="1" t="s">
        <v>1354</v>
      </c>
    </row>
    <row r="137" spans="1:1" x14ac:dyDescent="0.25">
      <c r="A137" s="2" t="s">
        <v>1362</v>
      </c>
    </row>
    <row r="138" spans="1:1" x14ac:dyDescent="0.25">
      <c r="A138" s="1" t="s">
        <v>1369</v>
      </c>
    </row>
    <row r="139" spans="1:1" x14ac:dyDescent="0.25">
      <c r="A139" s="2" t="s">
        <v>1379</v>
      </c>
    </row>
    <row r="140" spans="1:1" x14ac:dyDescent="0.25">
      <c r="A140" s="1" t="s">
        <v>1387</v>
      </c>
    </row>
    <row r="141" spans="1:1" x14ac:dyDescent="0.25">
      <c r="A141" s="2" t="s">
        <v>1395</v>
      </c>
    </row>
    <row r="142" spans="1:1" x14ac:dyDescent="0.25">
      <c r="A142" s="1" t="s">
        <v>1404</v>
      </c>
    </row>
    <row r="143" spans="1:1" x14ac:dyDescent="0.25">
      <c r="A143" s="2" t="s">
        <v>1413</v>
      </c>
    </row>
    <row r="144" spans="1:1" x14ac:dyDescent="0.25">
      <c r="A144" s="1" t="s">
        <v>1422</v>
      </c>
    </row>
    <row r="145" spans="1:1" x14ac:dyDescent="0.25">
      <c r="A145" s="2" t="s">
        <v>1433</v>
      </c>
    </row>
    <row r="146" spans="1:1" x14ac:dyDescent="0.25">
      <c r="A146" s="1" t="s">
        <v>1442</v>
      </c>
    </row>
    <row r="147" spans="1:1" x14ac:dyDescent="0.25">
      <c r="A147" s="2" t="s">
        <v>1451</v>
      </c>
    </row>
    <row r="148" spans="1:1" x14ac:dyDescent="0.25">
      <c r="A148" s="1" t="s">
        <v>1459</v>
      </c>
    </row>
    <row r="149" spans="1:1" x14ac:dyDescent="0.25">
      <c r="A149" s="2" t="s">
        <v>1469</v>
      </c>
    </row>
    <row r="150" spans="1:1" x14ac:dyDescent="0.25">
      <c r="A150" s="1" t="s">
        <v>378</v>
      </c>
    </row>
    <row r="151" spans="1:1" x14ac:dyDescent="0.25">
      <c r="A151" s="2" t="s">
        <v>1478</v>
      </c>
    </row>
    <row r="152" spans="1:1" x14ac:dyDescent="0.25">
      <c r="A152" s="1" t="s">
        <v>1489</v>
      </c>
    </row>
    <row r="153" spans="1:1" x14ac:dyDescent="0.25">
      <c r="A153" s="2" t="s">
        <v>1499</v>
      </c>
    </row>
    <row r="154" spans="1:1" x14ac:dyDescent="0.25">
      <c r="A154" s="1" t="s">
        <v>1506</v>
      </c>
    </row>
    <row r="155" spans="1:1" x14ac:dyDescent="0.25">
      <c r="A155" s="2" t="s">
        <v>1515</v>
      </c>
    </row>
    <row r="156" spans="1:1" x14ac:dyDescent="0.25">
      <c r="A156" s="1" t="s">
        <v>1523</v>
      </c>
    </row>
    <row r="157" spans="1:1" x14ac:dyDescent="0.25">
      <c r="A157" s="2" t="s">
        <v>1532</v>
      </c>
    </row>
    <row r="158" spans="1:1" x14ac:dyDescent="0.25">
      <c r="A158" s="1" t="s">
        <v>1542</v>
      </c>
    </row>
    <row r="159" spans="1:1" x14ac:dyDescent="0.25">
      <c r="A159" s="2" t="s">
        <v>1551</v>
      </c>
    </row>
    <row r="160" spans="1:1" x14ac:dyDescent="0.25">
      <c r="A160" s="1" t="s">
        <v>1560</v>
      </c>
    </row>
    <row r="161" spans="1:1" x14ac:dyDescent="0.25">
      <c r="A161" s="2" t="s">
        <v>1567</v>
      </c>
    </row>
    <row r="162" spans="1:1" x14ac:dyDescent="0.25">
      <c r="A162" s="1" t="s">
        <v>1574</v>
      </c>
    </row>
    <row r="163" spans="1:1" x14ac:dyDescent="0.25">
      <c r="A163" s="2" t="s">
        <v>1580</v>
      </c>
    </row>
    <row r="164" spans="1:1" x14ac:dyDescent="0.25">
      <c r="A164" s="1" t="s">
        <v>1588</v>
      </c>
    </row>
    <row r="165" spans="1:1" x14ac:dyDescent="0.25">
      <c r="A165" s="2" t="s">
        <v>1598</v>
      </c>
    </row>
    <row r="166" spans="1:1" x14ac:dyDescent="0.25">
      <c r="A166" s="1" t="s">
        <v>1605</v>
      </c>
    </row>
    <row r="167" spans="1:1" x14ac:dyDescent="0.25">
      <c r="A167" s="2" t="s">
        <v>1613</v>
      </c>
    </row>
    <row r="168" spans="1:1" x14ac:dyDescent="0.25">
      <c r="A168" s="1" t="s">
        <v>1621</v>
      </c>
    </row>
    <row r="169" spans="1:1" x14ac:dyDescent="0.25">
      <c r="A169" s="2" t="s">
        <v>1632</v>
      </c>
    </row>
    <row r="170" spans="1:1" x14ac:dyDescent="0.25">
      <c r="A170" s="1" t="s">
        <v>1640</v>
      </c>
    </row>
    <row r="171" spans="1:1" x14ac:dyDescent="0.25">
      <c r="A171" s="2" t="s">
        <v>1647</v>
      </c>
    </row>
    <row r="172" spans="1:1" x14ac:dyDescent="0.25">
      <c r="A172" s="1" t="s">
        <v>1655</v>
      </c>
    </row>
    <row r="173" spans="1:1" x14ac:dyDescent="0.25">
      <c r="A173" s="2" t="s">
        <v>1665</v>
      </c>
    </row>
    <row r="174" spans="1:1" x14ac:dyDescent="0.25">
      <c r="A174" s="1" t="s">
        <v>1674</v>
      </c>
    </row>
    <row r="175" spans="1:1" x14ac:dyDescent="0.25">
      <c r="A175" s="2" t="s">
        <v>1681</v>
      </c>
    </row>
    <row r="176" spans="1:1" x14ac:dyDescent="0.25">
      <c r="A176" s="1" t="s">
        <v>1688</v>
      </c>
    </row>
    <row r="177" spans="1:1" x14ac:dyDescent="0.25">
      <c r="A177" s="2" t="s">
        <v>1698</v>
      </c>
    </row>
    <row r="178" spans="1:1" x14ac:dyDescent="0.25">
      <c r="A178" s="1" t="s">
        <v>1705</v>
      </c>
    </row>
    <row r="179" spans="1:1" x14ac:dyDescent="0.25">
      <c r="A179" s="2" t="s">
        <v>1715</v>
      </c>
    </row>
    <row r="180" spans="1:1" x14ac:dyDescent="0.25">
      <c r="A180" s="1" t="s">
        <v>1721</v>
      </c>
    </row>
    <row r="181" spans="1:1" x14ac:dyDescent="0.25">
      <c r="A181" s="2" t="s">
        <v>1730</v>
      </c>
    </row>
    <row r="182" spans="1:1" x14ac:dyDescent="0.25">
      <c r="A182" s="1" t="s">
        <v>1741</v>
      </c>
    </row>
    <row r="183" spans="1:1" x14ac:dyDescent="0.25">
      <c r="A183" s="2" t="s">
        <v>1751</v>
      </c>
    </row>
    <row r="184" spans="1:1" x14ac:dyDescent="0.25">
      <c r="A184" s="1" t="s">
        <v>1762</v>
      </c>
    </row>
    <row r="185" spans="1:1" x14ac:dyDescent="0.25">
      <c r="A185" s="2" t="s">
        <v>1771</v>
      </c>
    </row>
    <row r="186" spans="1:1" x14ac:dyDescent="0.25">
      <c r="A186" s="1" t="s">
        <v>1782</v>
      </c>
    </row>
    <row r="187" spans="1:1" x14ac:dyDescent="0.25">
      <c r="A187" s="2" t="s">
        <v>1791</v>
      </c>
    </row>
    <row r="188" spans="1:1" x14ac:dyDescent="0.25">
      <c r="A188" s="1" t="s">
        <v>1800</v>
      </c>
    </row>
    <row r="189" spans="1:1" x14ac:dyDescent="0.25">
      <c r="A189" s="2" t="s">
        <v>1808</v>
      </c>
    </row>
    <row r="190" spans="1:1" x14ac:dyDescent="0.25">
      <c r="A190" s="1" t="s">
        <v>1818</v>
      </c>
    </row>
    <row r="191" spans="1:1" x14ac:dyDescent="0.25">
      <c r="A191" s="2" t="s">
        <v>1827</v>
      </c>
    </row>
    <row r="192" spans="1:1" x14ac:dyDescent="0.25">
      <c r="A192" s="1" t="s">
        <v>1838</v>
      </c>
    </row>
    <row r="193" spans="1:1" x14ac:dyDescent="0.25">
      <c r="A193" s="2" t="s">
        <v>1849</v>
      </c>
    </row>
    <row r="194" spans="1:1" x14ac:dyDescent="0.25">
      <c r="A194" s="1" t="s">
        <v>1858</v>
      </c>
    </row>
    <row r="195" spans="1:1" x14ac:dyDescent="0.25">
      <c r="A195" s="2" t="s">
        <v>1866</v>
      </c>
    </row>
    <row r="196" spans="1:1" x14ac:dyDescent="0.25">
      <c r="A196" s="1" t="s">
        <v>1875</v>
      </c>
    </row>
    <row r="197" spans="1:1" x14ac:dyDescent="0.25">
      <c r="A197" s="2" t="s">
        <v>1884</v>
      </c>
    </row>
    <row r="198" spans="1:1" x14ac:dyDescent="0.25">
      <c r="A198" s="1" t="s">
        <v>1893</v>
      </c>
    </row>
    <row r="199" spans="1:1" x14ac:dyDescent="0.25">
      <c r="A199" s="2" t="s">
        <v>1900</v>
      </c>
    </row>
    <row r="200" spans="1:1" x14ac:dyDescent="0.25">
      <c r="A200" s="1" t="s">
        <v>1908</v>
      </c>
    </row>
    <row r="201" spans="1:1" x14ac:dyDescent="0.25">
      <c r="A201" s="2" t="s">
        <v>1918</v>
      </c>
    </row>
    <row r="202" spans="1:1" x14ac:dyDescent="0.25">
      <c r="A202" s="1" t="s">
        <v>1924</v>
      </c>
    </row>
    <row r="203" spans="1:1" x14ac:dyDescent="0.25">
      <c r="A203" s="2" t="s">
        <v>1934</v>
      </c>
    </row>
    <row r="204" spans="1:1" x14ac:dyDescent="0.25">
      <c r="A204" s="1" t="s">
        <v>1944</v>
      </c>
    </row>
    <row r="205" spans="1:1" x14ac:dyDescent="0.25">
      <c r="A205" s="2" t="s">
        <v>1953</v>
      </c>
    </row>
    <row r="206" spans="1:1" x14ac:dyDescent="0.25">
      <c r="A206" s="1" t="s">
        <v>1961</v>
      </c>
    </row>
    <row r="207" spans="1:1" x14ac:dyDescent="0.25">
      <c r="A207" s="2" t="s">
        <v>1970</v>
      </c>
    </row>
    <row r="208" spans="1:1" x14ac:dyDescent="0.25">
      <c r="A208" s="1" t="s">
        <v>1977</v>
      </c>
    </row>
    <row r="209" spans="1:1" x14ac:dyDescent="0.25">
      <c r="A209" s="2" t="s">
        <v>1984</v>
      </c>
    </row>
    <row r="210" spans="1:1" x14ac:dyDescent="0.25">
      <c r="A210" s="1" t="s">
        <v>1992</v>
      </c>
    </row>
    <row r="211" spans="1:1" x14ac:dyDescent="0.25">
      <c r="A211" s="2" t="s">
        <v>2002</v>
      </c>
    </row>
    <row r="212" spans="1:1" x14ac:dyDescent="0.25">
      <c r="A212" s="1" t="s">
        <v>2013</v>
      </c>
    </row>
    <row r="213" spans="1:1" x14ac:dyDescent="0.25">
      <c r="A213" s="2" t="s">
        <v>2023</v>
      </c>
    </row>
    <row r="214" spans="1:1" x14ac:dyDescent="0.25">
      <c r="A214" s="1" t="s">
        <v>2031</v>
      </c>
    </row>
    <row r="215" spans="1:1" x14ac:dyDescent="0.25">
      <c r="A215" s="2" t="s">
        <v>2039</v>
      </c>
    </row>
    <row r="216" spans="1:1" x14ac:dyDescent="0.25">
      <c r="A216" s="1" t="s">
        <v>2046</v>
      </c>
    </row>
    <row r="217" spans="1:1" x14ac:dyDescent="0.25">
      <c r="A217" s="2" t="s">
        <v>2054</v>
      </c>
    </row>
    <row r="218" spans="1:1" x14ac:dyDescent="0.25">
      <c r="A218" s="1" t="s">
        <v>2062</v>
      </c>
    </row>
    <row r="219" spans="1:1" x14ac:dyDescent="0.25">
      <c r="A219" s="2" t="s">
        <v>2069</v>
      </c>
    </row>
    <row r="220" spans="1:1" x14ac:dyDescent="0.25">
      <c r="A220" s="1" t="s">
        <v>2078</v>
      </c>
    </row>
    <row r="221" spans="1:1" x14ac:dyDescent="0.25">
      <c r="A221" s="2" t="s">
        <v>2088</v>
      </c>
    </row>
    <row r="222" spans="1:1" x14ac:dyDescent="0.25">
      <c r="A222" s="1" t="s">
        <v>2097</v>
      </c>
    </row>
    <row r="223" spans="1:1" x14ac:dyDescent="0.25">
      <c r="A223" s="2" t="s">
        <v>2106</v>
      </c>
    </row>
    <row r="224" spans="1:1" x14ac:dyDescent="0.25">
      <c r="A224" s="1" t="s">
        <v>2117</v>
      </c>
    </row>
    <row r="225" spans="1:1" x14ac:dyDescent="0.25">
      <c r="A225" s="2" t="s">
        <v>2124</v>
      </c>
    </row>
    <row r="226" spans="1:1" x14ac:dyDescent="0.25">
      <c r="A226" s="1" t="s">
        <v>2132</v>
      </c>
    </row>
    <row r="227" spans="1:1" x14ac:dyDescent="0.25">
      <c r="A227" s="2" t="s">
        <v>2141</v>
      </c>
    </row>
    <row r="228" spans="1:1" x14ac:dyDescent="0.25">
      <c r="A228" s="1" t="s">
        <v>2148</v>
      </c>
    </row>
    <row r="229" spans="1:1" x14ac:dyDescent="0.25">
      <c r="A229" s="2" t="s">
        <v>2156</v>
      </c>
    </row>
    <row r="230" spans="1:1" x14ac:dyDescent="0.25">
      <c r="A230" s="1" t="s">
        <v>2166</v>
      </c>
    </row>
    <row r="231" spans="1:1" x14ac:dyDescent="0.25">
      <c r="A231" s="2" t="s">
        <v>2174</v>
      </c>
    </row>
    <row r="232" spans="1:1" x14ac:dyDescent="0.25">
      <c r="A232" s="1" t="s">
        <v>2184</v>
      </c>
    </row>
    <row r="233" spans="1:1" x14ac:dyDescent="0.25">
      <c r="A233" s="2" t="s">
        <v>2191</v>
      </c>
    </row>
    <row r="234" spans="1:1" x14ac:dyDescent="0.25">
      <c r="A234" s="1" t="s">
        <v>2200</v>
      </c>
    </row>
    <row r="235" spans="1:1" x14ac:dyDescent="0.25">
      <c r="A235" s="2" t="s">
        <v>2209</v>
      </c>
    </row>
    <row r="236" spans="1:1" x14ac:dyDescent="0.25">
      <c r="A236" s="1" t="s">
        <v>2217</v>
      </c>
    </row>
    <row r="237" spans="1:1" x14ac:dyDescent="0.25">
      <c r="A237" s="2" t="s">
        <v>2226</v>
      </c>
    </row>
    <row r="238" spans="1:1" x14ac:dyDescent="0.25">
      <c r="A238" s="1" t="s">
        <v>2232</v>
      </c>
    </row>
    <row r="239" spans="1:1" x14ac:dyDescent="0.25">
      <c r="A239" s="2" t="s">
        <v>2241</v>
      </c>
    </row>
    <row r="240" spans="1:1" x14ac:dyDescent="0.25">
      <c r="A240" s="1" t="s">
        <v>2251</v>
      </c>
    </row>
    <row r="241" spans="1:1" x14ac:dyDescent="0.25">
      <c r="A241" s="2" t="s">
        <v>2261</v>
      </c>
    </row>
    <row r="242" spans="1:1" x14ac:dyDescent="0.25">
      <c r="A242" s="1" t="s">
        <v>2267</v>
      </c>
    </row>
    <row r="243" spans="1:1" x14ac:dyDescent="0.25">
      <c r="A243" s="2" t="s">
        <v>2275</v>
      </c>
    </row>
    <row r="244" spans="1:1" x14ac:dyDescent="0.25">
      <c r="A244" s="1" t="s">
        <v>2283</v>
      </c>
    </row>
    <row r="245" spans="1:1" x14ac:dyDescent="0.25">
      <c r="A245" s="2" t="s">
        <v>2292</v>
      </c>
    </row>
    <row r="246" spans="1:1" x14ac:dyDescent="0.25">
      <c r="A246" s="1" t="s">
        <v>2300</v>
      </c>
    </row>
    <row r="247" spans="1:1" x14ac:dyDescent="0.25">
      <c r="A247" s="2" t="s">
        <v>2306</v>
      </c>
    </row>
    <row r="248" spans="1:1" x14ac:dyDescent="0.25">
      <c r="A248" s="1" t="s">
        <v>2313</v>
      </c>
    </row>
    <row r="249" spans="1:1" x14ac:dyDescent="0.25">
      <c r="A249" s="2" t="s">
        <v>2323</v>
      </c>
    </row>
    <row r="250" spans="1:1" x14ac:dyDescent="0.25">
      <c r="A250" s="1" t="s">
        <v>2329</v>
      </c>
    </row>
    <row r="251" spans="1:1" x14ac:dyDescent="0.25">
      <c r="A251" s="2" t="s">
        <v>2339</v>
      </c>
    </row>
    <row r="252" spans="1:1" x14ac:dyDescent="0.25">
      <c r="A252" s="1" t="s">
        <v>2349</v>
      </c>
    </row>
    <row r="253" spans="1:1" x14ac:dyDescent="0.25">
      <c r="A253" s="2" t="s">
        <v>2357</v>
      </c>
    </row>
    <row r="254" spans="1:1" x14ac:dyDescent="0.25">
      <c r="A254" s="1" t="s">
        <v>2366</v>
      </c>
    </row>
    <row r="255" spans="1:1" x14ac:dyDescent="0.25">
      <c r="A255" s="2" t="s">
        <v>2375</v>
      </c>
    </row>
    <row r="256" spans="1:1" x14ac:dyDescent="0.25">
      <c r="A256" s="1" t="s">
        <v>2383</v>
      </c>
    </row>
    <row r="257" spans="1:1" x14ac:dyDescent="0.25">
      <c r="A257" s="2" t="s">
        <v>2390</v>
      </c>
    </row>
    <row r="258" spans="1:1" x14ac:dyDescent="0.25">
      <c r="A258" s="1" t="s">
        <v>2400</v>
      </c>
    </row>
    <row r="259" spans="1:1" x14ac:dyDescent="0.25">
      <c r="A259" s="2" t="s">
        <v>2408</v>
      </c>
    </row>
    <row r="260" spans="1:1" x14ac:dyDescent="0.25">
      <c r="A260" s="1" t="s">
        <v>2416</v>
      </c>
    </row>
    <row r="261" spans="1:1" x14ac:dyDescent="0.25">
      <c r="A261" s="2" t="s">
        <v>2424</v>
      </c>
    </row>
    <row r="262" spans="1:1" x14ac:dyDescent="0.25">
      <c r="A262" s="1" t="s">
        <v>2432</v>
      </c>
    </row>
    <row r="263" spans="1:1" x14ac:dyDescent="0.25">
      <c r="A263" s="2" t="s">
        <v>2439</v>
      </c>
    </row>
    <row r="264" spans="1:1" x14ac:dyDescent="0.25">
      <c r="A264" s="1" t="s">
        <v>2448</v>
      </c>
    </row>
    <row r="265" spans="1:1" x14ac:dyDescent="0.25">
      <c r="A265" s="2" t="s">
        <v>2457</v>
      </c>
    </row>
    <row r="266" spans="1:1" x14ac:dyDescent="0.25">
      <c r="A266" s="1" t="s">
        <v>2463</v>
      </c>
    </row>
    <row r="267" spans="1:1" x14ac:dyDescent="0.25">
      <c r="A267" s="2" t="s">
        <v>2469</v>
      </c>
    </row>
    <row r="268" spans="1:1" x14ac:dyDescent="0.25">
      <c r="A268" s="1" t="s">
        <v>2478</v>
      </c>
    </row>
    <row r="269" spans="1:1" x14ac:dyDescent="0.25">
      <c r="A269" s="2" t="s">
        <v>2484</v>
      </c>
    </row>
    <row r="270" spans="1:1" x14ac:dyDescent="0.25">
      <c r="A270" s="1" t="s">
        <v>2493</v>
      </c>
    </row>
    <row r="271" spans="1:1" x14ac:dyDescent="0.25">
      <c r="A271" s="2" t="s">
        <v>2500</v>
      </c>
    </row>
    <row r="272" spans="1:1" x14ac:dyDescent="0.25">
      <c r="A272" s="1" t="s">
        <v>2509</v>
      </c>
    </row>
    <row r="273" spans="1:1" x14ac:dyDescent="0.25">
      <c r="A273" s="2" t="s">
        <v>2516</v>
      </c>
    </row>
    <row r="274" spans="1:1" x14ac:dyDescent="0.25">
      <c r="A274" s="1" t="s">
        <v>2525</v>
      </c>
    </row>
    <row r="275" spans="1:1" x14ac:dyDescent="0.25">
      <c r="A275" s="2" t="s">
        <v>2533</v>
      </c>
    </row>
    <row r="276" spans="1:1" x14ac:dyDescent="0.25">
      <c r="A276" s="1" t="s">
        <v>2542</v>
      </c>
    </row>
    <row r="277" spans="1:1" x14ac:dyDescent="0.25">
      <c r="A277" s="2" t="s">
        <v>2551</v>
      </c>
    </row>
    <row r="278" spans="1:1" x14ac:dyDescent="0.25">
      <c r="A278" s="1" t="s">
        <v>2560</v>
      </c>
    </row>
    <row r="279" spans="1:1" x14ac:dyDescent="0.25">
      <c r="A279" s="2" t="s">
        <v>2568</v>
      </c>
    </row>
    <row r="280" spans="1:1" x14ac:dyDescent="0.25">
      <c r="A280" s="1" t="s">
        <v>2576</v>
      </c>
    </row>
    <row r="281" spans="1:1" x14ac:dyDescent="0.25">
      <c r="A281" s="2" t="s">
        <v>2585</v>
      </c>
    </row>
    <row r="282" spans="1:1" x14ac:dyDescent="0.25">
      <c r="A282" s="1" t="s">
        <v>2592</v>
      </c>
    </row>
    <row r="283" spans="1:1" x14ac:dyDescent="0.25">
      <c r="A283" s="2" t="s">
        <v>2603</v>
      </c>
    </row>
    <row r="284" spans="1:1" x14ac:dyDescent="0.25">
      <c r="A284" s="1" t="s">
        <v>2611</v>
      </c>
    </row>
    <row r="285" spans="1:1" x14ac:dyDescent="0.25">
      <c r="A285" s="2" t="s">
        <v>2620</v>
      </c>
    </row>
    <row r="286" spans="1:1" x14ac:dyDescent="0.25">
      <c r="A286" s="1" t="s">
        <v>2629</v>
      </c>
    </row>
    <row r="287" spans="1:1" x14ac:dyDescent="0.25">
      <c r="A287" s="2" t="s">
        <v>2634</v>
      </c>
    </row>
    <row r="288" spans="1:1" x14ac:dyDescent="0.25">
      <c r="A288" s="1" t="s">
        <v>2641</v>
      </c>
    </row>
    <row r="289" spans="1:1" x14ac:dyDescent="0.25">
      <c r="A289" s="2" t="s">
        <v>2648</v>
      </c>
    </row>
    <row r="290" spans="1:1" x14ac:dyDescent="0.25">
      <c r="A290" s="1" t="s">
        <v>2657</v>
      </c>
    </row>
    <row r="291" spans="1:1" x14ac:dyDescent="0.25">
      <c r="A291" s="2" t="s">
        <v>2665</v>
      </c>
    </row>
    <row r="292" spans="1:1" x14ac:dyDescent="0.25">
      <c r="A292" s="1" t="s">
        <v>2675</v>
      </c>
    </row>
    <row r="293" spans="1:1" x14ac:dyDescent="0.25">
      <c r="A293" s="2" t="s">
        <v>2682</v>
      </c>
    </row>
    <row r="294" spans="1:1" x14ac:dyDescent="0.25">
      <c r="A294" s="1" t="s">
        <v>2688</v>
      </c>
    </row>
    <row r="295" spans="1:1" x14ac:dyDescent="0.25">
      <c r="A295" s="2" t="s">
        <v>2693</v>
      </c>
    </row>
    <row r="296" spans="1:1" x14ac:dyDescent="0.25">
      <c r="A296" s="1" t="s">
        <v>2702</v>
      </c>
    </row>
    <row r="297" spans="1:1" x14ac:dyDescent="0.25">
      <c r="A297" s="2" t="s">
        <v>2711</v>
      </c>
    </row>
    <row r="298" spans="1:1" x14ac:dyDescent="0.25">
      <c r="A298" s="1" t="s">
        <v>2719</v>
      </c>
    </row>
    <row r="299" spans="1:1" x14ac:dyDescent="0.25">
      <c r="A299" s="2" t="s">
        <v>2730</v>
      </c>
    </row>
    <row r="300" spans="1:1" x14ac:dyDescent="0.25">
      <c r="A300" s="1" t="s">
        <v>2738</v>
      </c>
    </row>
    <row r="301" spans="1:1" x14ac:dyDescent="0.25">
      <c r="A301" s="2" t="s">
        <v>2747</v>
      </c>
    </row>
    <row r="302" spans="1:1" x14ac:dyDescent="0.25">
      <c r="A302" s="1" t="s">
        <v>2756</v>
      </c>
    </row>
    <row r="303" spans="1:1" x14ac:dyDescent="0.25">
      <c r="A303" s="2" t="s">
        <v>2764</v>
      </c>
    </row>
    <row r="304" spans="1:1" x14ac:dyDescent="0.25">
      <c r="A304" s="1" t="s">
        <v>2773</v>
      </c>
    </row>
    <row r="305" spans="1:1" x14ac:dyDescent="0.25">
      <c r="A305" s="2" t="s">
        <v>2779</v>
      </c>
    </row>
    <row r="306" spans="1:1" x14ac:dyDescent="0.25">
      <c r="A306" s="1" t="s">
        <v>2788</v>
      </c>
    </row>
    <row r="307" spans="1:1" x14ac:dyDescent="0.25">
      <c r="A307" s="2" t="s">
        <v>2797</v>
      </c>
    </row>
    <row r="308" spans="1:1" x14ac:dyDescent="0.25">
      <c r="A308" s="1" t="s">
        <v>2807</v>
      </c>
    </row>
    <row r="309" spans="1:1" x14ac:dyDescent="0.25">
      <c r="A309" s="2" t="s">
        <v>2817</v>
      </c>
    </row>
    <row r="310" spans="1:1" x14ac:dyDescent="0.25">
      <c r="A310" s="1" t="s">
        <v>2825</v>
      </c>
    </row>
    <row r="311" spans="1:1" x14ac:dyDescent="0.25">
      <c r="A311" s="2" t="s">
        <v>2833</v>
      </c>
    </row>
    <row r="312" spans="1:1" x14ac:dyDescent="0.25">
      <c r="A312" s="1" t="s">
        <v>378</v>
      </c>
    </row>
    <row r="313" spans="1:1" x14ac:dyDescent="0.25">
      <c r="A313" s="2" t="s">
        <v>2841</v>
      </c>
    </row>
    <row r="314" spans="1:1" x14ac:dyDescent="0.25">
      <c r="A314" s="1" t="s">
        <v>2849</v>
      </c>
    </row>
    <row r="315" spans="1:1" x14ac:dyDescent="0.25">
      <c r="A315" s="2" t="s">
        <v>2859</v>
      </c>
    </row>
    <row r="316" spans="1:1" x14ac:dyDescent="0.25">
      <c r="A316" s="1" t="s">
        <v>2867</v>
      </c>
    </row>
    <row r="317" spans="1:1" x14ac:dyDescent="0.25">
      <c r="A317" s="2" t="s">
        <v>2876</v>
      </c>
    </row>
    <row r="318" spans="1:1" x14ac:dyDescent="0.25">
      <c r="A318" s="1" t="s">
        <v>2881</v>
      </c>
    </row>
    <row r="319" spans="1:1" x14ac:dyDescent="0.25">
      <c r="A319" s="2" t="s">
        <v>2885</v>
      </c>
    </row>
    <row r="320" spans="1:1" x14ac:dyDescent="0.25">
      <c r="A320" s="1" t="s">
        <v>2891</v>
      </c>
    </row>
    <row r="321" spans="1:1" x14ac:dyDescent="0.25">
      <c r="A321" s="2" t="s">
        <v>2898</v>
      </c>
    </row>
    <row r="322" spans="1:1" x14ac:dyDescent="0.25">
      <c r="A322" s="1" t="s">
        <v>2905</v>
      </c>
    </row>
    <row r="323" spans="1:1" x14ac:dyDescent="0.25">
      <c r="A323" s="2" t="s">
        <v>2912</v>
      </c>
    </row>
    <row r="324" spans="1:1" x14ac:dyDescent="0.25">
      <c r="A324" s="1" t="s">
        <v>2919</v>
      </c>
    </row>
    <row r="325" spans="1:1" x14ac:dyDescent="0.25">
      <c r="A325" s="2" t="s">
        <v>2929</v>
      </c>
    </row>
    <row r="326" spans="1:1" x14ac:dyDescent="0.25">
      <c r="A326" s="1" t="s">
        <v>2937</v>
      </c>
    </row>
    <row r="327" spans="1:1" x14ac:dyDescent="0.25">
      <c r="A327" s="2" t="s">
        <v>2943</v>
      </c>
    </row>
    <row r="328" spans="1:1" x14ac:dyDescent="0.25">
      <c r="A328" s="1" t="s">
        <v>2949</v>
      </c>
    </row>
    <row r="329" spans="1:1" x14ac:dyDescent="0.25">
      <c r="A329" s="2" t="s">
        <v>2960</v>
      </c>
    </row>
    <row r="330" spans="1:1" x14ac:dyDescent="0.25">
      <c r="A330" s="1" t="s">
        <v>2968</v>
      </c>
    </row>
    <row r="331" spans="1:1" x14ac:dyDescent="0.25">
      <c r="A331" s="2" t="s">
        <v>2976</v>
      </c>
    </row>
    <row r="332" spans="1:1" x14ac:dyDescent="0.25">
      <c r="A332" s="1" t="s">
        <v>2983</v>
      </c>
    </row>
    <row r="333" spans="1:1" x14ac:dyDescent="0.25">
      <c r="A333" s="2" t="s">
        <v>2990</v>
      </c>
    </row>
    <row r="334" spans="1:1" x14ac:dyDescent="0.25">
      <c r="A334" s="1" t="s">
        <v>2997</v>
      </c>
    </row>
    <row r="335" spans="1:1" x14ac:dyDescent="0.25">
      <c r="A335" s="2" t="s">
        <v>3003</v>
      </c>
    </row>
    <row r="336" spans="1:1" x14ac:dyDescent="0.25">
      <c r="A336" s="1" t="s">
        <v>3012</v>
      </c>
    </row>
    <row r="337" spans="1:1" x14ac:dyDescent="0.25">
      <c r="A337" s="2" t="s">
        <v>3020</v>
      </c>
    </row>
    <row r="338" spans="1:1" x14ac:dyDescent="0.25">
      <c r="A338" s="1" t="s">
        <v>3026</v>
      </c>
    </row>
    <row r="339" spans="1:1" x14ac:dyDescent="0.25">
      <c r="A339" s="2" t="s">
        <v>3032</v>
      </c>
    </row>
    <row r="340" spans="1:1" x14ac:dyDescent="0.25">
      <c r="A340" s="1" t="s">
        <v>3039</v>
      </c>
    </row>
    <row r="341" spans="1:1" x14ac:dyDescent="0.25">
      <c r="A341" s="2" t="s">
        <v>3043</v>
      </c>
    </row>
    <row r="342" spans="1:1" x14ac:dyDescent="0.25">
      <c r="A342" s="1" t="s">
        <v>3049</v>
      </c>
    </row>
    <row r="343" spans="1:1" x14ac:dyDescent="0.25">
      <c r="A343" s="2" t="s">
        <v>3060</v>
      </c>
    </row>
    <row r="344" spans="1:1" x14ac:dyDescent="0.25">
      <c r="A344" s="1" t="s">
        <v>3068</v>
      </c>
    </row>
    <row r="345" spans="1:1" x14ac:dyDescent="0.25">
      <c r="A345" s="2" t="s">
        <v>3072</v>
      </c>
    </row>
    <row r="346" spans="1:1" x14ac:dyDescent="0.25">
      <c r="A346" s="1" t="s">
        <v>3082</v>
      </c>
    </row>
    <row r="347" spans="1:1" x14ac:dyDescent="0.25">
      <c r="A347" s="2" t="s">
        <v>3090</v>
      </c>
    </row>
    <row r="348" spans="1:1" x14ac:dyDescent="0.25">
      <c r="A348" s="1" t="s">
        <v>3098</v>
      </c>
    </row>
    <row r="349" spans="1:1" x14ac:dyDescent="0.25">
      <c r="A349" s="2" t="s">
        <v>3105</v>
      </c>
    </row>
    <row r="350" spans="1:1" x14ac:dyDescent="0.25">
      <c r="A350" s="1" t="s">
        <v>3113</v>
      </c>
    </row>
    <row r="351" spans="1:1" x14ac:dyDescent="0.25">
      <c r="A351" s="2" t="s">
        <v>3121</v>
      </c>
    </row>
    <row r="352" spans="1:1" x14ac:dyDescent="0.25">
      <c r="A352" s="1" t="s">
        <v>3126</v>
      </c>
    </row>
    <row r="353" spans="1:1" x14ac:dyDescent="0.25">
      <c r="A353" s="2" t="s">
        <v>3135</v>
      </c>
    </row>
    <row r="354" spans="1:1" x14ac:dyDescent="0.25">
      <c r="A354" s="1" t="s">
        <v>3143</v>
      </c>
    </row>
    <row r="355" spans="1:1" x14ac:dyDescent="0.25">
      <c r="A355" s="2" t="s">
        <v>3148</v>
      </c>
    </row>
    <row r="356" spans="1:1" x14ac:dyDescent="0.25">
      <c r="A356" s="1" t="s">
        <v>3154</v>
      </c>
    </row>
    <row r="357" spans="1:1" x14ac:dyDescent="0.25">
      <c r="A357" s="2" t="s">
        <v>3162</v>
      </c>
    </row>
    <row r="358" spans="1:1" x14ac:dyDescent="0.25">
      <c r="A358" s="1" t="s">
        <v>3171</v>
      </c>
    </row>
    <row r="359" spans="1:1" x14ac:dyDescent="0.25">
      <c r="A359" s="2" t="s">
        <v>3177</v>
      </c>
    </row>
    <row r="360" spans="1:1" x14ac:dyDescent="0.25">
      <c r="A360" s="1" t="s">
        <v>3184</v>
      </c>
    </row>
    <row r="361" spans="1:1" x14ac:dyDescent="0.25">
      <c r="A361" s="2" t="s">
        <v>3192</v>
      </c>
    </row>
    <row r="362" spans="1:1" x14ac:dyDescent="0.25">
      <c r="A362" s="1" t="s">
        <v>3200</v>
      </c>
    </row>
    <row r="363" spans="1:1" x14ac:dyDescent="0.25">
      <c r="A363" s="2" t="s">
        <v>3205</v>
      </c>
    </row>
    <row r="364" spans="1:1" x14ac:dyDescent="0.25">
      <c r="A364" s="1" t="s">
        <v>3212</v>
      </c>
    </row>
    <row r="365" spans="1:1" x14ac:dyDescent="0.25">
      <c r="A365" s="2" t="s">
        <v>3220</v>
      </c>
    </row>
    <row r="366" spans="1:1" x14ac:dyDescent="0.25">
      <c r="A366" s="1" t="s">
        <v>3226</v>
      </c>
    </row>
    <row r="367" spans="1:1" x14ac:dyDescent="0.25">
      <c r="A367" s="2" t="s">
        <v>3233</v>
      </c>
    </row>
    <row r="368" spans="1:1" x14ac:dyDescent="0.25">
      <c r="A368" s="1" t="s">
        <v>3239</v>
      </c>
    </row>
    <row r="369" spans="1:1" x14ac:dyDescent="0.25">
      <c r="A369" s="2" t="s">
        <v>3246</v>
      </c>
    </row>
    <row r="370" spans="1:1" x14ac:dyDescent="0.25">
      <c r="A370" s="1" t="s">
        <v>3255</v>
      </c>
    </row>
    <row r="371" spans="1:1" x14ac:dyDescent="0.25">
      <c r="A371" s="2" t="s">
        <v>3263</v>
      </c>
    </row>
    <row r="372" spans="1:1" x14ac:dyDescent="0.25">
      <c r="A372" s="1" t="s">
        <v>3270</v>
      </c>
    </row>
    <row r="373" spans="1:1" x14ac:dyDescent="0.25">
      <c r="A373" s="2" t="s">
        <v>3278</v>
      </c>
    </row>
    <row r="374" spans="1:1" x14ac:dyDescent="0.25">
      <c r="A374" s="1" t="s">
        <v>3285</v>
      </c>
    </row>
    <row r="375" spans="1:1" x14ac:dyDescent="0.25">
      <c r="A375" s="2" t="s">
        <v>3294</v>
      </c>
    </row>
    <row r="376" spans="1:1" x14ac:dyDescent="0.25">
      <c r="A376" s="1" t="s">
        <v>3303</v>
      </c>
    </row>
    <row r="377" spans="1:1" x14ac:dyDescent="0.25">
      <c r="A377" s="2" t="s">
        <v>3310</v>
      </c>
    </row>
    <row r="378" spans="1:1" x14ac:dyDescent="0.25">
      <c r="A378" s="1" t="s">
        <v>3319</v>
      </c>
    </row>
    <row r="379" spans="1:1" x14ac:dyDescent="0.25">
      <c r="A379" s="2" t="s">
        <v>3326</v>
      </c>
    </row>
    <row r="380" spans="1:1" x14ac:dyDescent="0.25">
      <c r="A380" s="1" t="s">
        <v>3333</v>
      </c>
    </row>
    <row r="381" spans="1:1" x14ac:dyDescent="0.25">
      <c r="A381" s="2" t="s">
        <v>3341</v>
      </c>
    </row>
    <row r="382" spans="1:1" x14ac:dyDescent="0.25">
      <c r="A382" s="1" t="s">
        <v>3350</v>
      </c>
    </row>
    <row r="383" spans="1:1" x14ac:dyDescent="0.25">
      <c r="A383" s="2" t="s">
        <v>3358</v>
      </c>
    </row>
    <row r="384" spans="1:1" x14ac:dyDescent="0.25">
      <c r="A384" s="1" t="s">
        <v>3363</v>
      </c>
    </row>
    <row r="385" spans="1:1" x14ac:dyDescent="0.25">
      <c r="A385" s="2" t="s">
        <v>3371</v>
      </c>
    </row>
    <row r="386" spans="1:1" x14ac:dyDescent="0.25">
      <c r="A386" s="1" t="s">
        <v>3376</v>
      </c>
    </row>
    <row r="387" spans="1:1" x14ac:dyDescent="0.25">
      <c r="A387" s="2" t="s">
        <v>3383</v>
      </c>
    </row>
    <row r="388" spans="1:1" x14ac:dyDescent="0.25">
      <c r="A388" s="1" t="s">
        <v>3389</v>
      </c>
    </row>
    <row r="389" spans="1:1" x14ac:dyDescent="0.25">
      <c r="A389" s="2" t="s">
        <v>3397</v>
      </c>
    </row>
    <row r="390" spans="1:1" x14ac:dyDescent="0.25">
      <c r="A390" s="1" t="s">
        <v>3405</v>
      </c>
    </row>
    <row r="391" spans="1:1" x14ac:dyDescent="0.25">
      <c r="A391" s="2" t="s">
        <v>3414</v>
      </c>
    </row>
    <row r="392" spans="1:1" x14ac:dyDescent="0.25">
      <c r="A392" s="1" t="s">
        <v>3421</v>
      </c>
    </row>
    <row r="393" spans="1:1" x14ac:dyDescent="0.25">
      <c r="A393" s="2" t="s">
        <v>3425</v>
      </c>
    </row>
    <row r="394" spans="1:1" x14ac:dyDescent="0.25">
      <c r="A394" s="1" t="s">
        <v>3435</v>
      </c>
    </row>
    <row r="395" spans="1:1" x14ac:dyDescent="0.25">
      <c r="A395" s="2" t="s">
        <v>3442</v>
      </c>
    </row>
    <row r="396" spans="1:1" x14ac:dyDescent="0.25">
      <c r="A396" s="1" t="s">
        <v>3450</v>
      </c>
    </row>
    <row r="397" spans="1:1" x14ac:dyDescent="0.25">
      <c r="A397" s="2" t="s">
        <v>3456</v>
      </c>
    </row>
    <row r="398" spans="1:1" x14ac:dyDescent="0.25">
      <c r="A398" s="1" t="s">
        <v>3463</v>
      </c>
    </row>
    <row r="399" spans="1:1" x14ac:dyDescent="0.25">
      <c r="A399" s="2" t="s">
        <v>3470</v>
      </c>
    </row>
    <row r="400" spans="1:1" x14ac:dyDescent="0.25">
      <c r="A400" s="1" t="s">
        <v>3478</v>
      </c>
    </row>
    <row r="401" spans="1:1" x14ac:dyDescent="0.25">
      <c r="A401" s="2" t="s">
        <v>3482</v>
      </c>
    </row>
    <row r="402" spans="1:1" x14ac:dyDescent="0.25">
      <c r="A402" s="1" t="s">
        <v>3488</v>
      </c>
    </row>
    <row r="403" spans="1:1" x14ac:dyDescent="0.25">
      <c r="A403" s="2" t="s">
        <v>3498</v>
      </c>
    </row>
    <row r="404" spans="1:1" x14ac:dyDescent="0.25">
      <c r="A404" s="1" t="s">
        <v>3505</v>
      </c>
    </row>
    <row r="405" spans="1:1" x14ac:dyDescent="0.25">
      <c r="A405" s="2" t="s">
        <v>3511</v>
      </c>
    </row>
    <row r="406" spans="1:1" x14ac:dyDescent="0.25">
      <c r="A406" s="1" t="s">
        <v>3517</v>
      </c>
    </row>
    <row r="407" spans="1:1" x14ac:dyDescent="0.25">
      <c r="A407" s="2" t="s">
        <v>3525</v>
      </c>
    </row>
    <row r="408" spans="1:1" x14ac:dyDescent="0.25">
      <c r="A408" s="1" t="s">
        <v>3531</v>
      </c>
    </row>
    <row r="409" spans="1:1" x14ac:dyDescent="0.25">
      <c r="A409" s="2" t="s">
        <v>3540</v>
      </c>
    </row>
    <row r="410" spans="1:1" x14ac:dyDescent="0.25">
      <c r="A410" s="1" t="s">
        <v>3546</v>
      </c>
    </row>
    <row r="411" spans="1:1" x14ac:dyDescent="0.25">
      <c r="A411" s="2" t="s">
        <v>3555</v>
      </c>
    </row>
    <row r="412" spans="1:1" x14ac:dyDescent="0.25">
      <c r="A412" s="1" t="s">
        <v>3560</v>
      </c>
    </row>
    <row r="413" spans="1:1" x14ac:dyDescent="0.25">
      <c r="A413" s="2" t="s">
        <v>3569</v>
      </c>
    </row>
    <row r="414" spans="1:1" x14ac:dyDescent="0.25">
      <c r="A414" s="1" t="s">
        <v>3578</v>
      </c>
    </row>
    <row r="415" spans="1:1" x14ac:dyDescent="0.25">
      <c r="A415" s="2" t="s">
        <v>3584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362A8-BFB9-41E2-9C14-1A1CF1CFD708}">
  <dimension ref="A1:AQ415"/>
  <sheetViews>
    <sheetView workbookViewId="0">
      <selection activeCell="V4" sqref="V4"/>
    </sheetView>
  </sheetViews>
  <sheetFormatPr defaultRowHeight="15" x14ac:dyDescent="0.25"/>
  <cols>
    <col min="1" max="1" width="36.28515625" bestFit="1" customWidth="1"/>
    <col min="2" max="3" width="11.42578125" bestFit="1" customWidth="1"/>
    <col min="4" max="4" width="18.85546875" bestFit="1" customWidth="1"/>
    <col min="5" max="5" width="19.85546875" bestFit="1" customWidth="1"/>
    <col min="6" max="7" width="18.85546875" bestFit="1" customWidth="1"/>
    <col min="8" max="9" width="22" bestFit="1" customWidth="1"/>
    <col min="10" max="12" width="12.42578125" bestFit="1" customWidth="1"/>
    <col min="13" max="13" width="19.85546875" bestFit="1" customWidth="1"/>
    <col min="14" max="16" width="12.42578125" bestFit="1" customWidth="1"/>
    <col min="17" max="17" width="18.85546875" bestFit="1" customWidth="1"/>
    <col min="18" max="18" width="19.85546875" bestFit="1" customWidth="1"/>
    <col min="19" max="20" width="12.42578125" bestFit="1" customWidth="1"/>
    <col min="21" max="21" width="18.85546875" bestFit="1" customWidth="1"/>
    <col min="22" max="22" width="81.140625" bestFit="1" customWidth="1"/>
    <col min="23" max="23" width="18.5703125" bestFit="1" customWidth="1"/>
    <col min="24" max="24" width="19.7109375" bestFit="1" customWidth="1"/>
    <col min="25" max="25" width="18.85546875" bestFit="1" customWidth="1"/>
    <col min="26" max="26" width="21.7109375" bestFit="1" customWidth="1"/>
    <col min="27" max="28" width="18.85546875" bestFit="1" customWidth="1"/>
    <col min="29" max="29" width="21.28515625" bestFit="1" customWidth="1"/>
    <col min="30" max="30" width="20.85546875" bestFit="1" customWidth="1"/>
    <col min="31" max="31" width="22.140625" bestFit="1" customWidth="1"/>
    <col min="32" max="32" width="19.7109375" bestFit="1" customWidth="1"/>
    <col min="33" max="33" width="31.28515625" bestFit="1" customWidth="1"/>
    <col min="34" max="34" width="22.85546875" bestFit="1" customWidth="1"/>
    <col min="35" max="35" width="17.28515625" bestFit="1" customWidth="1"/>
    <col min="36" max="37" width="16.42578125" bestFit="1" customWidth="1"/>
    <col min="38" max="38" width="11.5703125" bestFit="1" customWidth="1"/>
    <col min="39" max="39" width="19.7109375" bestFit="1" customWidth="1"/>
    <col min="40" max="40" width="15.85546875" bestFit="1" customWidth="1"/>
    <col min="41" max="41" width="10.5703125" bestFit="1" customWidth="1"/>
    <col min="42" max="42" width="19.140625" bestFit="1" customWidth="1"/>
    <col min="43" max="43" width="81.140625" bestFit="1" customWidth="1"/>
  </cols>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t="s">
        <v>43</v>
      </c>
      <c r="B2">
        <v>122</v>
      </c>
      <c r="C2">
        <v>95</v>
      </c>
      <c r="D2" t="s">
        <v>44</v>
      </c>
      <c r="E2" t="s">
        <v>45</v>
      </c>
      <c r="F2" t="s">
        <v>46</v>
      </c>
      <c r="G2" t="s">
        <v>47</v>
      </c>
      <c r="H2" t="s">
        <v>48</v>
      </c>
      <c r="I2" t="s">
        <v>48</v>
      </c>
      <c r="J2">
        <v>2</v>
      </c>
      <c r="K2">
        <v>2</v>
      </c>
      <c r="L2">
        <v>4</v>
      </c>
      <c r="M2" t="s">
        <v>49</v>
      </c>
      <c r="N2">
        <v>67</v>
      </c>
      <c r="O2">
        <v>122</v>
      </c>
      <c r="P2">
        <v>8</v>
      </c>
      <c r="Q2" t="s">
        <v>50</v>
      </c>
      <c r="R2" t="s">
        <v>51</v>
      </c>
      <c r="S2">
        <v>15</v>
      </c>
      <c r="T2">
        <v>0</v>
      </c>
      <c r="U2" t="s">
        <v>52</v>
      </c>
      <c r="V2" t="s">
        <v>53</v>
      </c>
      <c r="W2" t="s">
        <v>54</v>
      </c>
      <c r="X2" t="s">
        <v>54</v>
      </c>
      <c r="Y2" t="s">
        <v>54</v>
      </c>
      <c r="Z2" t="s">
        <v>54</v>
      </c>
      <c r="AA2" t="s">
        <v>54</v>
      </c>
      <c r="AB2" t="s">
        <v>54</v>
      </c>
      <c r="AC2" t="s">
        <v>54</v>
      </c>
      <c r="AD2" t="s">
        <v>54</v>
      </c>
      <c r="AE2" t="s">
        <v>54</v>
      </c>
      <c r="AF2" t="s">
        <v>54</v>
      </c>
      <c r="AG2" t="s">
        <v>54</v>
      </c>
      <c r="AH2" t="s">
        <v>54</v>
      </c>
      <c r="AI2" t="s">
        <v>54</v>
      </c>
      <c r="AJ2" t="s">
        <v>54</v>
      </c>
      <c r="AK2" t="s">
        <v>54</v>
      </c>
      <c r="AL2" t="s">
        <v>54</v>
      </c>
      <c r="AM2" t="s">
        <v>54</v>
      </c>
      <c r="AN2" t="s">
        <v>54</v>
      </c>
      <c r="AO2" t="s">
        <v>54</v>
      </c>
      <c r="AP2" t="s">
        <v>54</v>
      </c>
      <c r="AQ2" t="s">
        <v>54</v>
      </c>
    </row>
    <row r="3" spans="1:43" x14ac:dyDescent="0.25">
      <c r="A3" t="s">
        <v>55</v>
      </c>
      <c r="B3">
        <v>227</v>
      </c>
      <c r="C3">
        <v>140</v>
      </c>
      <c r="D3" t="s">
        <v>56</v>
      </c>
      <c r="E3" t="s">
        <v>57</v>
      </c>
      <c r="F3" t="s">
        <v>58</v>
      </c>
      <c r="G3" t="s">
        <v>59</v>
      </c>
      <c r="H3" t="s">
        <v>60</v>
      </c>
      <c r="I3" t="s">
        <v>60</v>
      </c>
      <c r="J3">
        <v>1</v>
      </c>
      <c r="K3">
        <v>1</v>
      </c>
      <c r="L3">
        <v>2</v>
      </c>
      <c r="M3" t="s">
        <v>56</v>
      </c>
      <c r="N3">
        <v>140</v>
      </c>
      <c r="O3">
        <v>227</v>
      </c>
      <c r="P3">
        <v>10</v>
      </c>
      <c r="Q3" t="s">
        <v>61</v>
      </c>
      <c r="R3" t="s">
        <v>62</v>
      </c>
      <c r="S3">
        <v>21</v>
      </c>
      <c r="T3">
        <v>0</v>
      </c>
      <c r="U3" t="s">
        <v>52</v>
      </c>
      <c r="V3" t="s">
        <v>63</v>
      </c>
      <c r="W3" t="s">
        <v>54</v>
      </c>
      <c r="X3" t="s">
        <v>54</v>
      </c>
      <c r="Y3" t="s">
        <v>54</v>
      </c>
      <c r="Z3" t="s">
        <v>54</v>
      </c>
      <c r="AA3" t="s">
        <v>54</v>
      </c>
      <c r="AB3" t="s">
        <v>54</v>
      </c>
      <c r="AC3" t="s">
        <v>54</v>
      </c>
      <c r="AD3" t="s">
        <v>54</v>
      </c>
      <c r="AE3" t="s">
        <v>54</v>
      </c>
      <c r="AF3" t="s">
        <v>54</v>
      </c>
      <c r="AG3" t="s">
        <v>54</v>
      </c>
      <c r="AH3" t="s">
        <v>54</v>
      </c>
      <c r="AI3" t="s">
        <v>54</v>
      </c>
      <c r="AJ3" t="s">
        <v>54</v>
      </c>
      <c r="AK3" t="s">
        <v>54</v>
      </c>
      <c r="AL3" t="s">
        <v>54</v>
      </c>
      <c r="AM3" t="s">
        <v>54</v>
      </c>
      <c r="AN3" t="s">
        <v>54</v>
      </c>
      <c r="AO3" t="s">
        <v>54</v>
      </c>
      <c r="AP3" t="s">
        <v>54</v>
      </c>
      <c r="AQ3" t="s">
        <v>54</v>
      </c>
    </row>
    <row r="4" spans="1:43" x14ac:dyDescent="0.25">
      <c r="A4" t="s">
        <v>64</v>
      </c>
      <c r="B4">
        <v>171</v>
      </c>
      <c r="C4">
        <v>111</v>
      </c>
      <c r="D4" t="s">
        <v>65</v>
      </c>
      <c r="E4" t="s">
        <v>66</v>
      </c>
      <c r="F4" t="s">
        <v>67</v>
      </c>
      <c r="G4" t="s">
        <v>68</v>
      </c>
      <c r="H4" t="s">
        <v>69</v>
      </c>
      <c r="I4" t="s">
        <v>52</v>
      </c>
      <c r="J4">
        <v>8</v>
      </c>
      <c r="K4">
        <v>0</v>
      </c>
      <c r="L4">
        <v>4</v>
      </c>
      <c r="M4" t="s">
        <v>70</v>
      </c>
      <c r="N4">
        <v>88</v>
      </c>
      <c r="O4">
        <v>170</v>
      </c>
      <c r="P4">
        <v>13</v>
      </c>
      <c r="Q4" t="s">
        <v>71</v>
      </c>
      <c r="R4" t="s">
        <v>72</v>
      </c>
      <c r="S4">
        <v>20</v>
      </c>
      <c r="T4">
        <v>0</v>
      </c>
      <c r="U4" t="s">
        <v>52</v>
      </c>
      <c r="V4" t="s">
        <v>73</v>
      </c>
      <c r="W4" t="s">
        <v>54</v>
      </c>
      <c r="X4" t="s">
        <v>54</v>
      </c>
      <c r="Y4" t="s">
        <v>54</v>
      </c>
      <c r="Z4" t="s">
        <v>54</v>
      </c>
      <c r="AA4" t="s">
        <v>54</v>
      </c>
      <c r="AB4" t="s">
        <v>54</v>
      </c>
      <c r="AC4" t="s">
        <v>54</v>
      </c>
      <c r="AD4" t="s">
        <v>54</v>
      </c>
      <c r="AE4" t="s">
        <v>54</v>
      </c>
      <c r="AF4" t="s">
        <v>54</v>
      </c>
      <c r="AG4" t="s">
        <v>54</v>
      </c>
      <c r="AH4" t="s">
        <v>54</v>
      </c>
      <c r="AI4" t="s">
        <v>54</v>
      </c>
      <c r="AJ4" t="s">
        <v>54</v>
      </c>
      <c r="AK4" t="s">
        <v>54</v>
      </c>
      <c r="AL4" t="s">
        <v>54</v>
      </c>
      <c r="AM4" t="s">
        <v>54</v>
      </c>
      <c r="AN4" t="s">
        <v>54</v>
      </c>
      <c r="AO4" t="s">
        <v>54</v>
      </c>
      <c r="AP4" t="s">
        <v>54</v>
      </c>
      <c r="AQ4" t="s">
        <v>54</v>
      </c>
    </row>
    <row r="5" spans="1:43" x14ac:dyDescent="0.25">
      <c r="A5" t="s">
        <v>74</v>
      </c>
      <c r="B5">
        <v>175</v>
      </c>
      <c r="C5">
        <v>131</v>
      </c>
      <c r="D5" t="s">
        <v>75</v>
      </c>
      <c r="E5" t="s">
        <v>76</v>
      </c>
      <c r="F5" t="s">
        <v>77</v>
      </c>
      <c r="G5" t="s">
        <v>78</v>
      </c>
      <c r="H5" t="s">
        <v>79</v>
      </c>
      <c r="I5" t="s">
        <v>80</v>
      </c>
      <c r="J5">
        <v>5</v>
      </c>
      <c r="K5">
        <v>2</v>
      </c>
      <c r="L5">
        <v>4</v>
      </c>
      <c r="M5" t="s">
        <v>81</v>
      </c>
      <c r="N5">
        <v>97</v>
      </c>
      <c r="O5">
        <v>174</v>
      </c>
      <c r="P5">
        <v>13</v>
      </c>
      <c r="Q5" t="s">
        <v>82</v>
      </c>
      <c r="R5" t="s">
        <v>83</v>
      </c>
      <c r="S5">
        <v>25</v>
      </c>
      <c r="T5">
        <v>0</v>
      </c>
      <c r="U5" t="s">
        <v>52</v>
      </c>
      <c r="V5" t="s">
        <v>84</v>
      </c>
      <c r="W5" t="s">
        <v>54</v>
      </c>
      <c r="X5" t="s">
        <v>54</v>
      </c>
      <c r="Y5" t="s">
        <v>54</v>
      </c>
      <c r="Z5" t="s">
        <v>54</v>
      </c>
      <c r="AA5" t="s">
        <v>54</v>
      </c>
      <c r="AB5" t="s">
        <v>54</v>
      </c>
      <c r="AC5" t="s">
        <v>54</v>
      </c>
      <c r="AD5" t="s">
        <v>54</v>
      </c>
      <c r="AE5" t="s">
        <v>54</v>
      </c>
      <c r="AF5" t="s">
        <v>54</v>
      </c>
      <c r="AG5" t="s">
        <v>54</v>
      </c>
      <c r="AH5" t="s">
        <v>54</v>
      </c>
      <c r="AI5" t="s">
        <v>54</v>
      </c>
      <c r="AJ5" t="s">
        <v>54</v>
      </c>
      <c r="AK5" t="s">
        <v>54</v>
      </c>
      <c r="AL5" t="s">
        <v>54</v>
      </c>
      <c r="AM5" t="s">
        <v>54</v>
      </c>
      <c r="AN5" t="s">
        <v>54</v>
      </c>
      <c r="AO5" t="s">
        <v>54</v>
      </c>
      <c r="AP5" t="s">
        <v>54</v>
      </c>
      <c r="AQ5" t="s">
        <v>54</v>
      </c>
    </row>
    <row r="6" spans="1:43" x14ac:dyDescent="0.25">
      <c r="A6" t="s">
        <v>85</v>
      </c>
      <c r="B6">
        <v>230</v>
      </c>
      <c r="C6">
        <v>136</v>
      </c>
      <c r="D6" t="s">
        <v>86</v>
      </c>
      <c r="E6" t="s">
        <v>87</v>
      </c>
      <c r="F6" t="s">
        <v>88</v>
      </c>
      <c r="G6" t="s">
        <v>89</v>
      </c>
      <c r="H6" t="s">
        <v>90</v>
      </c>
      <c r="I6" t="s">
        <v>91</v>
      </c>
      <c r="J6">
        <v>8</v>
      </c>
      <c r="K6">
        <v>4</v>
      </c>
      <c r="L6">
        <v>4</v>
      </c>
      <c r="M6" t="s">
        <v>92</v>
      </c>
      <c r="N6">
        <v>106</v>
      </c>
      <c r="O6">
        <v>230</v>
      </c>
      <c r="P6">
        <v>6</v>
      </c>
      <c r="Q6" t="s">
        <v>93</v>
      </c>
      <c r="R6" t="s">
        <v>94</v>
      </c>
      <c r="S6">
        <v>36</v>
      </c>
      <c r="T6">
        <v>1</v>
      </c>
      <c r="U6" t="s">
        <v>95</v>
      </c>
      <c r="V6" t="s">
        <v>96</v>
      </c>
      <c r="W6" t="s">
        <v>54</v>
      </c>
      <c r="X6" t="s">
        <v>54</v>
      </c>
      <c r="Y6" t="s">
        <v>54</v>
      </c>
      <c r="Z6" t="s">
        <v>54</v>
      </c>
      <c r="AA6" t="s">
        <v>54</v>
      </c>
      <c r="AB6" t="s">
        <v>54</v>
      </c>
      <c r="AC6" t="s">
        <v>54</v>
      </c>
      <c r="AD6" t="s">
        <v>54</v>
      </c>
      <c r="AE6" t="s">
        <v>54</v>
      </c>
      <c r="AF6" t="s">
        <v>54</v>
      </c>
      <c r="AG6" t="s">
        <v>54</v>
      </c>
      <c r="AH6" t="s">
        <v>54</v>
      </c>
      <c r="AI6" t="s">
        <v>54</v>
      </c>
      <c r="AJ6" t="s">
        <v>54</v>
      </c>
      <c r="AK6" t="s">
        <v>54</v>
      </c>
      <c r="AL6" t="s">
        <v>54</v>
      </c>
      <c r="AM6" t="s">
        <v>54</v>
      </c>
      <c r="AN6" t="s">
        <v>54</v>
      </c>
      <c r="AO6" t="s">
        <v>54</v>
      </c>
      <c r="AP6" t="s">
        <v>54</v>
      </c>
      <c r="AQ6" t="s">
        <v>54</v>
      </c>
    </row>
    <row r="7" spans="1:43" x14ac:dyDescent="0.25">
      <c r="A7" t="s">
        <v>97</v>
      </c>
      <c r="B7">
        <v>197</v>
      </c>
      <c r="C7">
        <v>148</v>
      </c>
      <c r="D7" t="s">
        <v>98</v>
      </c>
      <c r="E7" t="s">
        <v>99</v>
      </c>
      <c r="F7" t="s">
        <v>100</v>
      </c>
      <c r="G7" t="s">
        <v>101</v>
      </c>
      <c r="H7" t="s">
        <v>102</v>
      </c>
      <c r="I7" t="s">
        <v>102</v>
      </c>
      <c r="J7">
        <v>3</v>
      </c>
      <c r="K7">
        <v>3</v>
      </c>
      <c r="L7">
        <v>4</v>
      </c>
      <c r="M7" t="s">
        <v>103</v>
      </c>
      <c r="N7">
        <v>122</v>
      </c>
      <c r="O7">
        <v>197</v>
      </c>
      <c r="P7">
        <v>10</v>
      </c>
      <c r="Q7" t="s">
        <v>104</v>
      </c>
      <c r="R7" t="s">
        <v>105</v>
      </c>
      <c r="S7">
        <v>22</v>
      </c>
      <c r="T7">
        <v>0</v>
      </c>
      <c r="U7" t="s">
        <v>52</v>
      </c>
      <c r="V7" t="s">
        <v>106</v>
      </c>
      <c r="W7" t="s">
        <v>54</v>
      </c>
      <c r="X7" t="s">
        <v>54</v>
      </c>
      <c r="Y7" t="s">
        <v>54</v>
      </c>
      <c r="Z7" t="s">
        <v>54</v>
      </c>
      <c r="AA7" t="s">
        <v>54</v>
      </c>
      <c r="AB7" t="s">
        <v>54</v>
      </c>
      <c r="AC7" t="s">
        <v>54</v>
      </c>
      <c r="AD7" t="s">
        <v>54</v>
      </c>
      <c r="AE7" t="s">
        <v>54</v>
      </c>
      <c r="AF7" t="s">
        <v>54</v>
      </c>
      <c r="AG7" t="s">
        <v>54</v>
      </c>
      <c r="AH7" t="s">
        <v>54</v>
      </c>
      <c r="AI7" t="s">
        <v>54</v>
      </c>
      <c r="AJ7" t="s">
        <v>54</v>
      </c>
      <c r="AK7" t="s">
        <v>54</v>
      </c>
      <c r="AL7" t="s">
        <v>54</v>
      </c>
      <c r="AM7" t="s">
        <v>54</v>
      </c>
      <c r="AN7" t="s">
        <v>54</v>
      </c>
      <c r="AO7" t="s">
        <v>54</v>
      </c>
      <c r="AP7" t="s">
        <v>54</v>
      </c>
      <c r="AQ7" t="s">
        <v>54</v>
      </c>
    </row>
    <row r="8" spans="1:43" x14ac:dyDescent="0.25">
      <c r="A8" t="s">
        <v>107</v>
      </c>
      <c r="B8">
        <v>201</v>
      </c>
      <c r="C8">
        <v>131</v>
      </c>
      <c r="D8" t="s">
        <v>108</v>
      </c>
      <c r="E8" t="s">
        <v>109</v>
      </c>
      <c r="F8" t="s">
        <v>110</v>
      </c>
      <c r="G8" t="s">
        <v>111</v>
      </c>
      <c r="H8" t="s">
        <v>112</v>
      </c>
      <c r="I8" t="s">
        <v>113</v>
      </c>
      <c r="J8">
        <v>3</v>
      </c>
      <c r="K8">
        <v>5</v>
      </c>
      <c r="L8">
        <v>3</v>
      </c>
      <c r="M8" t="s">
        <v>109</v>
      </c>
      <c r="N8">
        <v>97</v>
      </c>
      <c r="O8">
        <v>201</v>
      </c>
      <c r="P8">
        <v>26</v>
      </c>
      <c r="Q8" t="s">
        <v>114</v>
      </c>
      <c r="R8" t="s">
        <v>115</v>
      </c>
      <c r="S8">
        <v>20</v>
      </c>
      <c r="T8">
        <v>0</v>
      </c>
      <c r="U8" t="s">
        <v>52</v>
      </c>
      <c r="V8" t="s">
        <v>116</v>
      </c>
      <c r="W8" t="s">
        <v>54</v>
      </c>
      <c r="X8" t="s">
        <v>54</v>
      </c>
      <c r="Y8" t="s">
        <v>54</v>
      </c>
      <c r="Z8" t="s">
        <v>54</v>
      </c>
      <c r="AA8" t="s">
        <v>54</v>
      </c>
      <c r="AB8" t="s">
        <v>54</v>
      </c>
      <c r="AC8" t="s">
        <v>54</v>
      </c>
      <c r="AD8" t="s">
        <v>54</v>
      </c>
      <c r="AE8" t="s">
        <v>54</v>
      </c>
      <c r="AF8" t="s">
        <v>54</v>
      </c>
      <c r="AG8" t="s">
        <v>54</v>
      </c>
      <c r="AH8" t="s">
        <v>54</v>
      </c>
      <c r="AI8" t="s">
        <v>54</v>
      </c>
      <c r="AJ8" t="s">
        <v>54</v>
      </c>
      <c r="AK8" t="s">
        <v>54</v>
      </c>
      <c r="AL8" t="s">
        <v>54</v>
      </c>
      <c r="AM8" t="s">
        <v>54</v>
      </c>
      <c r="AN8" t="s">
        <v>54</v>
      </c>
      <c r="AO8" t="s">
        <v>54</v>
      </c>
      <c r="AP8" t="s">
        <v>54</v>
      </c>
      <c r="AQ8" t="s">
        <v>54</v>
      </c>
    </row>
    <row r="9" spans="1:43" x14ac:dyDescent="0.25">
      <c r="A9" t="s">
        <v>117</v>
      </c>
      <c r="B9">
        <v>180</v>
      </c>
      <c r="C9">
        <v>126</v>
      </c>
      <c r="D9" t="s">
        <v>118</v>
      </c>
      <c r="E9" t="s">
        <v>119</v>
      </c>
      <c r="F9" t="s">
        <v>120</v>
      </c>
      <c r="G9" t="s">
        <v>121</v>
      </c>
      <c r="H9" t="s">
        <v>122</v>
      </c>
      <c r="I9" t="s">
        <v>123</v>
      </c>
      <c r="J9">
        <v>2</v>
      </c>
      <c r="K9">
        <v>8</v>
      </c>
      <c r="L9">
        <v>3</v>
      </c>
      <c r="M9" t="s">
        <v>124</v>
      </c>
      <c r="N9">
        <v>96</v>
      </c>
      <c r="O9">
        <v>181</v>
      </c>
      <c r="P9">
        <v>12</v>
      </c>
      <c r="Q9" t="s">
        <v>125</v>
      </c>
      <c r="R9" t="s">
        <v>126</v>
      </c>
      <c r="S9">
        <v>27</v>
      </c>
      <c r="T9">
        <v>0</v>
      </c>
      <c r="U9" t="s">
        <v>52</v>
      </c>
      <c r="V9" t="s">
        <v>127</v>
      </c>
      <c r="W9" t="s">
        <v>54</v>
      </c>
      <c r="X9" t="s">
        <v>54</v>
      </c>
      <c r="Y9" t="s">
        <v>54</v>
      </c>
      <c r="Z9" t="s">
        <v>54</v>
      </c>
      <c r="AA9" t="s">
        <v>54</v>
      </c>
      <c r="AB9" t="s">
        <v>54</v>
      </c>
      <c r="AC9" t="s">
        <v>54</v>
      </c>
      <c r="AD9" t="s">
        <v>54</v>
      </c>
      <c r="AE9" t="s">
        <v>54</v>
      </c>
      <c r="AF9" t="s">
        <v>54</v>
      </c>
      <c r="AG9" t="s">
        <v>54</v>
      </c>
      <c r="AH9" t="s">
        <v>54</v>
      </c>
      <c r="AI9" t="s">
        <v>54</v>
      </c>
      <c r="AJ9" t="s">
        <v>54</v>
      </c>
      <c r="AK9" t="s">
        <v>54</v>
      </c>
      <c r="AL9" t="s">
        <v>54</v>
      </c>
      <c r="AM9" t="s">
        <v>54</v>
      </c>
      <c r="AN9" t="s">
        <v>54</v>
      </c>
      <c r="AO9" t="s">
        <v>54</v>
      </c>
      <c r="AP9" t="s">
        <v>54</v>
      </c>
      <c r="AQ9" t="s">
        <v>54</v>
      </c>
    </row>
    <row r="10" spans="1:43" x14ac:dyDescent="0.25">
      <c r="A10" t="s">
        <v>128</v>
      </c>
      <c r="B10">
        <v>273</v>
      </c>
      <c r="C10">
        <v>156</v>
      </c>
      <c r="D10" t="s">
        <v>129</v>
      </c>
      <c r="E10" t="s">
        <v>130</v>
      </c>
      <c r="F10" t="s">
        <v>115</v>
      </c>
      <c r="G10" t="s">
        <v>131</v>
      </c>
      <c r="H10" t="s">
        <v>132</v>
      </c>
      <c r="I10" t="s">
        <v>133</v>
      </c>
      <c r="J10">
        <v>4</v>
      </c>
      <c r="K10">
        <v>7</v>
      </c>
      <c r="L10">
        <v>4</v>
      </c>
      <c r="M10" t="s">
        <v>134</v>
      </c>
      <c r="N10">
        <v>123</v>
      </c>
      <c r="O10">
        <v>275</v>
      </c>
      <c r="P10">
        <v>10</v>
      </c>
      <c r="Q10" t="s">
        <v>135</v>
      </c>
      <c r="R10" t="s">
        <v>136</v>
      </c>
      <c r="S10">
        <v>48</v>
      </c>
      <c r="T10">
        <v>0</v>
      </c>
      <c r="U10" t="s">
        <v>52</v>
      </c>
      <c r="V10" t="s">
        <v>137</v>
      </c>
      <c r="W10" t="s">
        <v>54</v>
      </c>
      <c r="X10" t="s">
        <v>54</v>
      </c>
      <c r="Y10" t="s">
        <v>54</v>
      </c>
      <c r="Z10" t="s">
        <v>54</v>
      </c>
      <c r="AA10" t="s">
        <v>54</v>
      </c>
      <c r="AB10" t="s">
        <v>54</v>
      </c>
      <c r="AC10" t="s">
        <v>54</v>
      </c>
      <c r="AD10" t="s">
        <v>54</v>
      </c>
      <c r="AE10" t="s">
        <v>54</v>
      </c>
      <c r="AF10" t="s">
        <v>54</v>
      </c>
      <c r="AG10" t="s">
        <v>54</v>
      </c>
      <c r="AH10" t="s">
        <v>54</v>
      </c>
      <c r="AI10" t="s">
        <v>54</v>
      </c>
      <c r="AJ10" t="s">
        <v>54</v>
      </c>
      <c r="AK10" t="s">
        <v>54</v>
      </c>
      <c r="AL10" t="s">
        <v>54</v>
      </c>
      <c r="AM10" t="s">
        <v>54</v>
      </c>
      <c r="AN10" t="s">
        <v>54</v>
      </c>
      <c r="AO10" t="s">
        <v>54</v>
      </c>
      <c r="AP10" t="s">
        <v>54</v>
      </c>
      <c r="AQ10" t="s">
        <v>54</v>
      </c>
    </row>
    <row r="11" spans="1:43" x14ac:dyDescent="0.25">
      <c r="A11" t="s">
        <v>138</v>
      </c>
      <c r="B11">
        <v>133</v>
      </c>
      <c r="C11">
        <v>94</v>
      </c>
      <c r="D11" t="s">
        <v>139</v>
      </c>
      <c r="E11" t="s">
        <v>140</v>
      </c>
      <c r="F11" t="s">
        <v>141</v>
      </c>
      <c r="G11" t="s">
        <v>142</v>
      </c>
      <c r="H11" t="s">
        <v>52</v>
      </c>
      <c r="I11" t="s">
        <v>143</v>
      </c>
      <c r="J11">
        <v>0</v>
      </c>
      <c r="K11">
        <v>2</v>
      </c>
      <c r="L11">
        <v>2</v>
      </c>
      <c r="M11" t="s">
        <v>144</v>
      </c>
      <c r="N11">
        <v>72</v>
      </c>
      <c r="O11">
        <v>134</v>
      </c>
      <c r="P11">
        <v>8</v>
      </c>
      <c r="Q11" t="s">
        <v>145</v>
      </c>
      <c r="R11" t="s">
        <v>146</v>
      </c>
      <c r="S11">
        <v>16</v>
      </c>
      <c r="T11">
        <v>0</v>
      </c>
      <c r="U11" t="s">
        <v>52</v>
      </c>
      <c r="V11" t="s">
        <v>147</v>
      </c>
      <c r="W11" t="s">
        <v>54</v>
      </c>
      <c r="X11" t="s">
        <v>54</v>
      </c>
      <c r="Y11" t="s">
        <v>54</v>
      </c>
      <c r="Z11" t="s">
        <v>54</v>
      </c>
      <c r="AA11" t="s">
        <v>54</v>
      </c>
      <c r="AB11" t="s">
        <v>54</v>
      </c>
      <c r="AC11" t="s">
        <v>54</v>
      </c>
      <c r="AD11" t="s">
        <v>54</v>
      </c>
      <c r="AE11" t="s">
        <v>54</v>
      </c>
      <c r="AF11" t="s">
        <v>54</v>
      </c>
      <c r="AG11" t="s">
        <v>54</v>
      </c>
      <c r="AH11" t="s">
        <v>54</v>
      </c>
      <c r="AI11" t="s">
        <v>54</v>
      </c>
      <c r="AJ11" t="s">
        <v>54</v>
      </c>
      <c r="AK11" t="s">
        <v>54</v>
      </c>
      <c r="AL11" t="s">
        <v>54</v>
      </c>
      <c r="AM11" t="s">
        <v>54</v>
      </c>
      <c r="AN11" t="s">
        <v>54</v>
      </c>
      <c r="AO11" t="s">
        <v>54</v>
      </c>
      <c r="AP11" t="s">
        <v>54</v>
      </c>
      <c r="AQ11" t="s">
        <v>54</v>
      </c>
    </row>
    <row r="12" spans="1:43" x14ac:dyDescent="0.25">
      <c r="A12" t="s">
        <v>148</v>
      </c>
      <c r="B12">
        <v>194</v>
      </c>
      <c r="C12">
        <v>131</v>
      </c>
      <c r="D12" t="s">
        <v>149</v>
      </c>
      <c r="E12" t="s">
        <v>150</v>
      </c>
      <c r="F12" t="s">
        <v>151</v>
      </c>
      <c r="G12" t="s">
        <v>152</v>
      </c>
      <c r="H12" t="s">
        <v>153</v>
      </c>
      <c r="I12" t="s">
        <v>154</v>
      </c>
      <c r="J12">
        <v>4</v>
      </c>
      <c r="K12">
        <v>3</v>
      </c>
      <c r="L12">
        <v>4</v>
      </c>
      <c r="M12" t="s">
        <v>155</v>
      </c>
      <c r="N12">
        <v>103</v>
      </c>
      <c r="O12">
        <v>195</v>
      </c>
      <c r="P12">
        <v>6</v>
      </c>
      <c r="Q12" t="s">
        <v>156</v>
      </c>
      <c r="R12" t="s">
        <v>157</v>
      </c>
      <c r="S12">
        <v>25</v>
      </c>
      <c r="T12">
        <v>0</v>
      </c>
      <c r="U12" t="s">
        <v>52</v>
      </c>
      <c r="V12" t="s">
        <v>158</v>
      </c>
      <c r="W12" t="s">
        <v>54</v>
      </c>
      <c r="X12" t="s">
        <v>54</v>
      </c>
      <c r="Y12" t="s">
        <v>54</v>
      </c>
      <c r="Z12" t="s">
        <v>54</v>
      </c>
      <c r="AA12" t="s">
        <v>54</v>
      </c>
      <c r="AB12" t="s">
        <v>54</v>
      </c>
      <c r="AC12" t="s">
        <v>54</v>
      </c>
      <c r="AD12" t="s">
        <v>54</v>
      </c>
      <c r="AE12" t="s">
        <v>54</v>
      </c>
      <c r="AF12" t="s">
        <v>54</v>
      </c>
      <c r="AG12" t="s">
        <v>54</v>
      </c>
      <c r="AH12" t="s">
        <v>54</v>
      </c>
      <c r="AI12" t="s">
        <v>54</v>
      </c>
      <c r="AJ12" t="s">
        <v>54</v>
      </c>
      <c r="AK12" t="s">
        <v>54</v>
      </c>
      <c r="AL12" t="s">
        <v>54</v>
      </c>
      <c r="AM12" t="s">
        <v>54</v>
      </c>
      <c r="AN12" t="s">
        <v>54</v>
      </c>
      <c r="AO12" t="s">
        <v>54</v>
      </c>
      <c r="AP12" t="s">
        <v>54</v>
      </c>
      <c r="AQ12" t="s">
        <v>54</v>
      </c>
    </row>
    <row r="13" spans="1:43" x14ac:dyDescent="0.25">
      <c r="A13" t="s">
        <v>159</v>
      </c>
      <c r="B13">
        <v>165</v>
      </c>
      <c r="C13">
        <v>121</v>
      </c>
      <c r="D13" t="s">
        <v>160</v>
      </c>
      <c r="E13" t="s">
        <v>161</v>
      </c>
      <c r="F13" t="s">
        <v>162</v>
      </c>
      <c r="G13" t="s">
        <v>163</v>
      </c>
      <c r="H13" t="s">
        <v>164</v>
      </c>
      <c r="I13" t="s">
        <v>165</v>
      </c>
      <c r="J13">
        <v>2</v>
      </c>
      <c r="K13">
        <v>5</v>
      </c>
      <c r="L13">
        <v>3</v>
      </c>
      <c r="M13" t="s">
        <v>166</v>
      </c>
      <c r="N13">
        <v>94</v>
      </c>
      <c r="O13">
        <v>166</v>
      </c>
      <c r="P13">
        <v>8</v>
      </c>
      <c r="Q13" t="s">
        <v>167</v>
      </c>
      <c r="R13" t="s">
        <v>168</v>
      </c>
      <c r="S13">
        <v>24</v>
      </c>
      <c r="T13">
        <v>0</v>
      </c>
      <c r="U13" t="s">
        <v>52</v>
      </c>
      <c r="V13" t="s">
        <v>169</v>
      </c>
      <c r="W13" t="s">
        <v>54</v>
      </c>
      <c r="X13" t="s">
        <v>54</v>
      </c>
      <c r="Y13" t="s">
        <v>54</v>
      </c>
      <c r="Z13" t="s">
        <v>54</v>
      </c>
      <c r="AA13" t="s">
        <v>54</v>
      </c>
      <c r="AB13" t="s">
        <v>54</v>
      </c>
      <c r="AC13" t="s">
        <v>54</v>
      </c>
      <c r="AD13" t="s">
        <v>54</v>
      </c>
      <c r="AE13" t="s">
        <v>54</v>
      </c>
      <c r="AF13" t="s">
        <v>54</v>
      </c>
      <c r="AG13" t="s">
        <v>54</v>
      </c>
      <c r="AH13" t="s">
        <v>54</v>
      </c>
      <c r="AI13" t="s">
        <v>54</v>
      </c>
      <c r="AJ13" t="s">
        <v>54</v>
      </c>
      <c r="AK13" t="s">
        <v>54</v>
      </c>
      <c r="AL13" t="s">
        <v>54</v>
      </c>
      <c r="AM13" t="s">
        <v>54</v>
      </c>
      <c r="AN13" t="s">
        <v>54</v>
      </c>
      <c r="AO13" t="s">
        <v>54</v>
      </c>
      <c r="AP13" t="s">
        <v>54</v>
      </c>
      <c r="AQ13" t="s">
        <v>54</v>
      </c>
    </row>
    <row r="14" spans="1:43" x14ac:dyDescent="0.25">
      <c r="A14" t="s">
        <v>170</v>
      </c>
      <c r="B14">
        <v>256</v>
      </c>
      <c r="C14">
        <v>171</v>
      </c>
      <c r="D14" t="s">
        <v>171</v>
      </c>
      <c r="E14" t="s">
        <v>172</v>
      </c>
      <c r="F14" t="s">
        <v>173</v>
      </c>
      <c r="G14" t="s">
        <v>174</v>
      </c>
      <c r="H14" t="s">
        <v>175</v>
      </c>
      <c r="I14" t="s">
        <v>176</v>
      </c>
      <c r="J14">
        <v>4</v>
      </c>
      <c r="K14">
        <v>5</v>
      </c>
      <c r="L14">
        <v>4</v>
      </c>
      <c r="M14" t="s">
        <v>177</v>
      </c>
      <c r="N14">
        <v>133</v>
      </c>
      <c r="O14">
        <v>257</v>
      </c>
      <c r="P14">
        <v>8</v>
      </c>
      <c r="Q14" t="s">
        <v>178</v>
      </c>
      <c r="R14" t="s">
        <v>179</v>
      </c>
      <c r="S14">
        <v>37</v>
      </c>
      <c r="T14">
        <v>0</v>
      </c>
      <c r="U14" t="s">
        <v>52</v>
      </c>
      <c r="V14" t="s">
        <v>180</v>
      </c>
      <c r="W14" t="s">
        <v>54</v>
      </c>
      <c r="X14" t="s">
        <v>54</v>
      </c>
      <c r="Y14" t="s">
        <v>54</v>
      </c>
      <c r="Z14" t="s">
        <v>54</v>
      </c>
      <c r="AA14" t="s">
        <v>54</v>
      </c>
      <c r="AB14" t="s">
        <v>54</v>
      </c>
      <c r="AC14" t="s">
        <v>54</v>
      </c>
      <c r="AD14" t="s">
        <v>54</v>
      </c>
      <c r="AE14" t="s">
        <v>54</v>
      </c>
      <c r="AF14" t="s">
        <v>54</v>
      </c>
      <c r="AG14" t="s">
        <v>54</v>
      </c>
      <c r="AH14" t="s">
        <v>54</v>
      </c>
      <c r="AI14" t="s">
        <v>54</v>
      </c>
      <c r="AJ14" t="s">
        <v>54</v>
      </c>
      <c r="AK14" t="s">
        <v>54</v>
      </c>
      <c r="AL14" t="s">
        <v>54</v>
      </c>
      <c r="AM14" t="s">
        <v>54</v>
      </c>
      <c r="AN14" t="s">
        <v>54</v>
      </c>
      <c r="AO14" t="s">
        <v>54</v>
      </c>
      <c r="AP14" t="s">
        <v>54</v>
      </c>
      <c r="AQ14" t="s">
        <v>54</v>
      </c>
    </row>
    <row r="15" spans="1:43" x14ac:dyDescent="0.25">
      <c r="A15" t="s">
        <v>181</v>
      </c>
      <c r="B15">
        <v>231</v>
      </c>
      <c r="C15">
        <v>142</v>
      </c>
      <c r="D15" t="s">
        <v>182</v>
      </c>
      <c r="E15" t="s">
        <v>183</v>
      </c>
      <c r="F15" t="s">
        <v>184</v>
      </c>
      <c r="G15" t="s">
        <v>185</v>
      </c>
      <c r="H15" t="s">
        <v>186</v>
      </c>
      <c r="I15" t="s">
        <v>165</v>
      </c>
      <c r="J15">
        <v>5</v>
      </c>
      <c r="K15">
        <v>7</v>
      </c>
      <c r="L15">
        <v>5</v>
      </c>
      <c r="M15" t="s">
        <v>187</v>
      </c>
      <c r="N15">
        <v>116</v>
      </c>
      <c r="O15">
        <v>231</v>
      </c>
      <c r="P15">
        <v>10</v>
      </c>
      <c r="Q15" t="s">
        <v>188</v>
      </c>
      <c r="R15" t="s">
        <v>189</v>
      </c>
      <c r="S15">
        <v>45</v>
      </c>
      <c r="T15">
        <v>0</v>
      </c>
      <c r="U15" t="s">
        <v>52</v>
      </c>
      <c r="V15" t="s">
        <v>190</v>
      </c>
      <c r="W15" t="s">
        <v>54</v>
      </c>
      <c r="X15" t="s">
        <v>54</v>
      </c>
      <c r="Y15" t="s">
        <v>54</v>
      </c>
      <c r="Z15" t="s">
        <v>54</v>
      </c>
      <c r="AA15" t="s">
        <v>54</v>
      </c>
      <c r="AB15" t="s">
        <v>54</v>
      </c>
      <c r="AC15" t="s">
        <v>54</v>
      </c>
      <c r="AD15" t="s">
        <v>54</v>
      </c>
      <c r="AE15" t="s">
        <v>54</v>
      </c>
      <c r="AF15" t="s">
        <v>54</v>
      </c>
      <c r="AG15" t="s">
        <v>54</v>
      </c>
      <c r="AH15" t="s">
        <v>54</v>
      </c>
      <c r="AI15" t="s">
        <v>54</v>
      </c>
      <c r="AJ15" t="s">
        <v>54</v>
      </c>
      <c r="AK15" t="s">
        <v>54</v>
      </c>
      <c r="AL15" t="s">
        <v>54</v>
      </c>
      <c r="AM15" t="s">
        <v>54</v>
      </c>
      <c r="AN15" t="s">
        <v>54</v>
      </c>
      <c r="AO15" t="s">
        <v>54</v>
      </c>
      <c r="AP15" t="s">
        <v>54</v>
      </c>
      <c r="AQ15" t="s">
        <v>54</v>
      </c>
    </row>
    <row r="16" spans="1:43" x14ac:dyDescent="0.25">
      <c r="A16" t="s">
        <v>191</v>
      </c>
      <c r="B16">
        <v>183</v>
      </c>
      <c r="C16">
        <v>129</v>
      </c>
      <c r="D16" t="s">
        <v>192</v>
      </c>
      <c r="E16" t="s">
        <v>193</v>
      </c>
      <c r="F16" t="s">
        <v>194</v>
      </c>
      <c r="G16" t="s">
        <v>195</v>
      </c>
      <c r="H16" t="s">
        <v>196</v>
      </c>
      <c r="I16" t="s">
        <v>48</v>
      </c>
      <c r="J16">
        <v>4</v>
      </c>
      <c r="K16">
        <v>3</v>
      </c>
      <c r="L16">
        <v>2</v>
      </c>
      <c r="M16" t="s">
        <v>197</v>
      </c>
      <c r="N16">
        <v>99</v>
      </c>
      <c r="O16">
        <v>183</v>
      </c>
      <c r="P16">
        <v>10</v>
      </c>
      <c r="Q16" t="s">
        <v>198</v>
      </c>
      <c r="R16" t="s">
        <v>146</v>
      </c>
      <c r="S16">
        <v>20</v>
      </c>
      <c r="T16">
        <v>0</v>
      </c>
      <c r="U16" t="s">
        <v>52</v>
      </c>
      <c r="V16" t="s">
        <v>199</v>
      </c>
      <c r="W16" t="s">
        <v>54</v>
      </c>
      <c r="X16" t="s">
        <v>54</v>
      </c>
      <c r="Y16" t="s">
        <v>54</v>
      </c>
      <c r="Z16" t="s">
        <v>54</v>
      </c>
      <c r="AA16" t="s">
        <v>54</v>
      </c>
      <c r="AB16" t="s">
        <v>54</v>
      </c>
      <c r="AC16" t="s">
        <v>54</v>
      </c>
      <c r="AD16" t="s">
        <v>54</v>
      </c>
      <c r="AE16" t="s">
        <v>54</v>
      </c>
      <c r="AF16" t="s">
        <v>54</v>
      </c>
      <c r="AG16" t="s">
        <v>54</v>
      </c>
      <c r="AH16" t="s">
        <v>54</v>
      </c>
      <c r="AI16" t="s">
        <v>54</v>
      </c>
      <c r="AJ16" t="s">
        <v>54</v>
      </c>
      <c r="AK16" t="s">
        <v>54</v>
      </c>
      <c r="AL16" t="s">
        <v>54</v>
      </c>
      <c r="AM16" t="s">
        <v>54</v>
      </c>
      <c r="AN16" t="s">
        <v>54</v>
      </c>
      <c r="AO16" t="s">
        <v>54</v>
      </c>
      <c r="AP16" t="s">
        <v>54</v>
      </c>
      <c r="AQ16" t="s">
        <v>54</v>
      </c>
    </row>
    <row r="17" spans="1:43" x14ac:dyDescent="0.25">
      <c r="A17" t="s">
        <v>200</v>
      </c>
      <c r="B17">
        <v>255</v>
      </c>
      <c r="C17">
        <v>153</v>
      </c>
      <c r="D17" t="s">
        <v>201</v>
      </c>
      <c r="E17" t="s">
        <v>202</v>
      </c>
      <c r="F17" t="s">
        <v>203</v>
      </c>
      <c r="G17" t="s">
        <v>204</v>
      </c>
      <c r="H17" t="s">
        <v>205</v>
      </c>
      <c r="I17" t="s">
        <v>206</v>
      </c>
      <c r="J17">
        <v>11</v>
      </c>
      <c r="K17">
        <v>10</v>
      </c>
      <c r="L17">
        <v>3</v>
      </c>
      <c r="M17" t="s">
        <v>207</v>
      </c>
      <c r="N17">
        <v>125</v>
      </c>
      <c r="O17">
        <v>255</v>
      </c>
      <c r="P17">
        <v>9</v>
      </c>
      <c r="Q17" t="s">
        <v>208</v>
      </c>
      <c r="R17" t="s">
        <v>209</v>
      </c>
      <c r="S17">
        <v>36</v>
      </c>
      <c r="T17">
        <v>1</v>
      </c>
      <c r="U17" t="s">
        <v>210</v>
      </c>
      <c r="V17" t="s">
        <v>211</v>
      </c>
      <c r="W17" t="s">
        <v>54</v>
      </c>
      <c r="X17" t="s">
        <v>54</v>
      </c>
      <c r="Y17" t="s">
        <v>54</v>
      </c>
      <c r="Z17" t="s">
        <v>54</v>
      </c>
      <c r="AA17" t="s">
        <v>54</v>
      </c>
      <c r="AB17" t="s">
        <v>54</v>
      </c>
      <c r="AC17" t="s">
        <v>54</v>
      </c>
      <c r="AD17" t="s">
        <v>54</v>
      </c>
      <c r="AE17" t="s">
        <v>54</v>
      </c>
      <c r="AF17" t="s">
        <v>54</v>
      </c>
      <c r="AG17" t="s">
        <v>54</v>
      </c>
      <c r="AH17" t="s">
        <v>54</v>
      </c>
      <c r="AI17" t="s">
        <v>54</v>
      </c>
      <c r="AJ17" t="s">
        <v>54</v>
      </c>
      <c r="AK17" t="s">
        <v>54</v>
      </c>
      <c r="AL17" t="s">
        <v>54</v>
      </c>
      <c r="AM17" t="s">
        <v>54</v>
      </c>
      <c r="AN17" t="s">
        <v>54</v>
      </c>
      <c r="AO17" t="s">
        <v>54</v>
      </c>
      <c r="AP17" t="s">
        <v>54</v>
      </c>
      <c r="AQ17" t="s">
        <v>54</v>
      </c>
    </row>
    <row r="18" spans="1:43" x14ac:dyDescent="0.25">
      <c r="A18" t="s">
        <v>212</v>
      </c>
      <c r="B18">
        <v>125</v>
      </c>
      <c r="C18">
        <v>93</v>
      </c>
      <c r="D18" t="s">
        <v>213</v>
      </c>
      <c r="E18" t="s">
        <v>214</v>
      </c>
      <c r="F18" t="s">
        <v>215</v>
      </c>
      <c r="G18" t="s">
        <v>216</v>
      </c>
      <c r="H18" t="s">
        <v>217</v>
      </c>
      <c r="I18" t="s">
        <v>218</v>
      </c>
      <c r="J18">
        <v>3</v>
      </c>
      <c r="K18">
        <v>1</v>
      </c>
      <c r="L18">
        <v>3</v>
      </c>
      <c r="M18" t="s">
        <v>219</v>
      </c>
      <c r="N18">
        <v>65</v>
      </c>
      <c r="O18">
        <v>125</v>
      </c>
      <c r="P18">
        <v>11</v>
      </c>
      <c r="Q18" t="s">
        <v>220</v>
      </c>
      <c r="R18" t="s">
        <v>221</v>
      </c>
      <c r="S18">
        <v>15</v>
      </c>
      <c r="T18">
        <v>0</v>
      </c>
      <c r="U18" t="s">
        <v>52</v>
      </c>
      <c r="V18" t="s">
        <v>222</v>
      </c>
      <c r="W18" t="s">
        <v>54</v>
      </c>
      <c r="X18" t="s">
        <v>54</v>
      </c>
      <c r="Y18" t="s">
        <v>54</v>
      </c>
      <c r="Z18" t="s">
        <v>54</v>
      </c>
      <c r="AA18" t="s">
        <v>54</v>
      </c>
      <c r="AB18" t="s">
        <v>54</v>
      </c>
      <c r="AC18" t="s">
        <v>54</v>
      </c>
      <c r="AD18" t="s">
        <v>54</v>
      </c>
      <c r="AE18" t="s">
        <v>54</v>
      </c>
      <c r="AF18" t="s">
        <v>54</v>
      </c>
      <c r="AG18" t="s">
        <v>54</v>
      </c>
      <c r="AH18" t="s">
        <v>54</v>
      </c>
      <c r="AI18" t="s">
        <v>54</v>
      </c>
      <c r="AJ18" t="s">
        <v>54</v>
      </c>
      <c r="AK18" t="s">
        <v>54</v>
      </c>
      <c r="AL18" t="s">
        <v>54</v>
      </c>
      <c r="AM18" t="s">
        <v>54</v>
      </c>
      <c r="AN18" t="s">
        <v>54</v>
      </c>
      <c r="AO18" t="s">
        <v>54</v>
      </c>
      <c r="AP18" t="s">
        <v>54</v>
      </c>
      <c r="AQ18" t="s">
        <v>54</v>
      </c>
    </row>
    <row r="19" spans="1:43" x14ac:dyDescent="0.25">
      <c r="A19" t="s">
        <v>223</v>
      </c>
      <c r="B19">
        <v>156</v>
      </c>
      <c r="C19">
        <v>110</v>
      </c>
      <c r="D19" t="s">
        <v>224</v>
      </c>
      <c r="E19" t="s">
        <v>225</v>
      </c>
      <c r="F19" t="s">
        <v>226</v>
      </c>
      <c r="G19" t="s">
        <v>227</v>
      </c>
      <c r="H19" t="s">
        <v>228</v>
      </c>
      <c r="I19" t="s">
        <v>52</v>
      </c>
      <c r="J19">
        <v>1</v>
      </c>
      <c r="K19">
        <v>0</v>
      </c>
      <c r="L19">
        <v>4</v>
      </c>
      <c r="M19" t="s">
        <v>229</v>
      </c>
      <c r="N19">
        <v>86</v>
      </c>
      <c r="O19">
        <v>160</v>
      </c>
      <c r="P19">
        <v>7</v>
      </c>
      <c r="Q19" t="s">
        <v>230</v>
      </c>
      <c r="R19" t="s">
        <v>231</v>
      </c>
      <c r="S19">
        <v>17</v>
      </c>
      <c r="T19">
        <v>0</v>
      </c>
      <c r="U19" t="s">
        <v>52</v>
      </c>
      <c r="V19" t="s">
        <v>232</v>
      </c>
      <c r="W19" t="s">
        <v>54</v>
      </c>
      <c r="X19" t="s">
        <v>54</v>
      </c>
      <c r="Y19" t="s">
        <v>54</v>
      </c>
      <c r="Z19" t="s">
        <v>54</v>
      </c>
      <c r="AA19" t="s">
        <v>54</v>
      </c>
      <c r="AB19" t="s">
        <v>54</v>
      </c>
      <c r="AC19" t="s">
        <v>54</v>
      </c>
      <c r="AD19" t="s">
        <v>54</v>
      </c>
      <c r="AE19" t="s">
        <v>54</v>
      </c>
      <c r="AF19" t="s">
        <v>54</v>
      </c>
      <c r="AG19" t="s">
        <v>54</v>
      </c>
      <c r="AH19" t="s">
        <v>54</v>
      </c>
      <c r="AI19" t="s">
        <v>54</v>
      </c>
      <c r="AJ19" t="s">
        <v>54</v>
      </c>
      <c r="AK19" t="s">
        <v>54</v>
      </c>
      <c r="AL19" t="s">
        <v>54</v>
      </c>
      <c r="AM19" t="s">
        <v>54</v>
      </c>
      <c r="AN19" t="s">
        <v>54</v>
      </c>
      <c r="AO19" t="s">
        <v>54</v>
      </c>
      <c r="AP19" t="s">
        <v>54</v>
      </c>
      <c r="AQ19" t="s">
        <v>54</v>
      </c>
    </row>
    <row r="20" spans="1:43" x14ac:dyDescent="0.25">
      <c r="A20" t="s">
        <v>233</v>
      </c>
      <c r="B20">
        <v>162</v>
      </c>
      <c r="C20">
        <v>121</v>
      </c>
      <c r="D20" t="s">
        <v>234</v>
      </c>
      <c r="E20" t="s">
        <v>235</v>
      </c>
      <c r="F20" t="s">
        <v>236</v>
      </c>
      <c r="G20" t="s">
        <v>237</v>
      </c>
      <c r="H20" t="s">
        <v>238</v>
      </c>
      <c r="I20" t="s">
        <v>52</v>
      </c>
      <c r="J20">
        <v>2</v>
      </c>
      <c r="K20">
        <v>0</v>
      </c>
      <c r="L20">
        <v>3</v>
      </c>
      <c r="M20" t="s">
        <v>239</v>
      </c>
      <c r="N20">
        <v>89</v>
      </c>
      <c r="O20">
        <v>164</v>
      </c>
      <c r="P20">
        <v>14</v>
      </c>
      <c r="Q20" t="s">
        <v>240</v>
      </c>
      <c r="R20" t="s">
        <v>241</v>
      </c>
      <c r="S20">
        <v>23</v>
      </c>
      <c r="T20">
        <v>0</v>
      </c>
      <c r="U20" t="s">
        <v>52</v>
      </c>
      <c r="V20" t="s">
        <v>242</v>
      </c>
      <c r="W20" t="s">
        <v>54</v>
      </c>
      <c r="X20" t="s">
        <v>54</v>
      </c>
      <c r="Y20" t="s">
        <v>54</v>
      </c>
      <c r="Z20" t="s">
        <v>54</v>
      </c>
      <c r="AA20" t="s">
        <v>54</v>
      </c>
      <c r="AB20" t="s">
        <v>54</v>
      </c>
      <c r="AC20" t="s">
        <v>54</v>
      </c>
      <c r="AD20" t="s">
        <v>54</v>
      </c>
      <c r="AE20" t="s">
        <v>54</v>
      </c>
      <c r="AF20" t="s">
        <v>54</v>
      </c>
      <c r="AG20" t="s">
        <v>54</v>
      </c>
      <c r="AH20" t="s">
        <v>54</v>
      </c>
      <c r="AI20" t="s">
        <v>54</v>
      </c>
      <c r="AJ20" t="s">
        <v>54</v>
      </c>
      <c r="AK20" t="s">
        <v>54</v>
      </c>
      <c r="AL20" t="s">
        <v>54</v>
      </c>
      <c r="AM20" t="s">
        <v>54</v>
      </c>
      <c r="AN20" t="s">
        <v>54</v>
      </c>
      <c r="AO20" t="s">
        <v>54</v>
      </c>
      <c r="AP20" t="s">
        <v>54</v>
      </c>
      <c r="AQ20" t="s">
        <v>54</v>
      </c>
    </row>
    <row r="21" spans="1:43" x14ac:dyDescent="0.25">
      <c r="A21" t="s">
        <v>243</v>
      </c>
      <c r="B21">
        <v>154</v>
      </c>
      <c r="C21">
        <v>119</v>
      </c>
      <c r="D21" t="s">
        <v>244</v>
      </c>
      <c r="E21" t="s">
        <v>245</v>
      </c>
      <c r="F21" t="s">
        <v>246</v>
      </c>
      <c r="G21" t="s">
        <v>247</v>
      </c>
      <c r="H21" t="s">
        <v>248</v>
      </c>
      <c r="I21" t="s">
        <v>249</v>
      </c>
      <c r="J21">
        <v>4</v>
      </c>
      <c r="K21">
        <v>1</v>
      </c>
      <c r="L21">
        <v>3</v>
      </c>
      <c r="M21" t="s">
        <v>250</v>
      </c>
      <c r="N21">
        <v>88</v>
      </c>
      <c r="O21">
        <v>155</v>
      </c>
      <c r="P21">
        <v>14</v>
      </c>
      <c r="Q21" t="s">
        <v>251</v>
      </c>
      <c r="R21" t="s">
        <v>252</v>
      </c>
      <c r="S21">
        <v>20</v>
      </c>
      <c r="T21">
        <v>0</v>
      </c>
      <c r="U21" t="s">
        <v>52</v>
      </c>
      <c r="V21" t="s">
        <v>253</v>
      </c>
      <c r="W21" t="s">
        <v>54</v>
      </c>
      <c r="X21" t="s">
        <v>54</v>
      </c>
      <c r="Y21" t="s">
        <v>54</v>
      </c>
      <c r="Z21" t="s">
        <v>54</v>
      </c>
      <c r="AA21" t="s">
        <v>54</v>
      </c>
      <c r="AB21" t="s">
        <v>54</v>
      </c>
      <c r="AC21" t="s">
        <v>54</v>
      </c>
      <c r="AD21" t="s">
        <v>54</v>
      </c>
      <c r="AE21" t="s">
        <v>54</v>
      </c>
      <c r="AF21" t="s">
        <v>54</v>
      </c>
      <c r="AG21" t="s">
        <v>54</v>
      </c>
      <c r="AH21" t="s">
        <v>54</v>
      </c>
      <c r="AI21" t="s">
        <v>54</v>
      </c>
      <c r="AJ21" t="s">
        <v>54</v>
      </c>
      <c r="AK21" t="s">
        <v>54</v>
      </c>
      <c r="AL21" t="s">
        <v>54</v>
      </c>
      <c r="AM21" t="s">
        <v>54</v>
      </c>
      <c r="AN21" t="s">
        <v>54</v>
      </c>
      <c r="AO21" t="s">
        <v>54</v>
      </c>
      <c r="AP21" t="s">
        <v>54</v>
      </c>
      <c r="AQ21" t="s">
        <v>54</v>
      </c>
    </row>
    <row r="22" spans="1:43" x14ac:dyDescent="0.25">
      <c r="A22" t="s">
        <v>254</v>
      </c>
      <c r="B22">
        <v>154</v>
      </c>
      <c r="C22">
        <v>96</v>
      </c>
      <c r="D22" t="s">
        <v>255</v>
      </c>
      <c r="E22" t="s">
        <v>256</v>
      </c>
      <c r="F22" t="s">
        <v>257</v>
      </c>
      <c r="G22" t="s">
        <v>258</v>
      </c>
      <c r="H22" t="s">
        <v>248</v>
      </c>
      <c r="I22" t="s">
        <v>259</v>
      </c>
      <c r="J22">
        <v>4</v>
      </c>
      <c r="K22">
        <v>2</v>
      </c>
      <c r="L22">
        <v>2</v>
      </c>
      <c r="M22" t="s">
        <v>260</v>
      </c>
      <c r="N22">
        <v>81</v>
      </c>
      <c r="O22">
        <v>154</v>
      </c>
      <c r="P22">
        <v>11</v>
      </c>
      <c r="Q22" t="s">
        <v>261</v>
      </c>
      <c r="R22" t="s">
        <v>221</v>
      </c>
      <c r="S22">
        <v>15</v>
      </c>
      <c r="T22">
        <v>0</v>
      </c>
      <c r="U22" t="s">
        <v>52</v>
      </c>
      <c r="V22" t="s">
        <v>262</v>
      </c>
      <c r="W22" t="s">
        <v>54</v>
      </c>
      <c r="X22" t="s">
        <v>54</v>
      </c>
      <c r="Y22" t="s">
        <v>54</v>
      </c>
      <c r="Z22" t="s">
        <v>54</v>
      </c>
      <c r="AA22" t="s">
        <v>54</v>
      </c>
      <c r="AB22" t="s">
        <v>54</v>
      </c>
      <c r="AC22" t="s">
        <v>54</v>
      </c>
      <c r="AD22" t="s">
        <v>54</v>
      </c>
      <c r="AE22" t="s">
        <v>54</v>
      </c>
      <c r="AF22" t="s">
        <v>54</v>
      </c>
      <c r="AG22" t="s">
        <v>54</v>
      </c>
      <c r="AH22" t="s">
        <v>54</v>
      </c>
      <c r="AI22" t="s">
        <v>54</v>
      </c>
      <c r="AJ22" t="s">
        <v>54</v>
      </c>
      <c r="AK22" t="s">
        <v>54</v>
      </c>
      <c r="AL22" t="s">
        <v>54</v>
      </c>
      <c r="AM22" t="s">
        <v>54</v>
      </c>
      <c r="AN22" t="s">
        <v>54</v>
      </c>
      <c r="AO22" t="s">
        <v>54</v>
      </c>
      <c r="AP22" t="s">
        <v>54</v>
      </c>
      <c r="AQ22" t="s">
        <v>54</v>
      </c>
    </row>
    <row r="23" spans="1:43" x14ac:dyDescent="0.25">
      <c r="A23" t="s">
        <v>263</v>
      </c>
      <c r="B23">
        <v>192</v>
      </c>
      <c r="C23">
        <v>126</v>
      </c>
      <c r="D23" t="s">
        <v>264</v>
      </c>
      <c r="E23" t="s">
        <v>172</v>
      </c>
      <c r="F23" t="s">
        <v>265</v>
      </c>
      <c r="G23" t="s">
        <v>266</v>
      </c>
      <c r="H23" t="s">
        <v>267</v>
      </c>
      <c r="I23" t="s">
        <v>175</v>
      </c>
      <c r="J23">
        <v>8</v>
      </c>
      <c r="K23">
        <v>3</v>
      </c>
      <c r="L23">
        <v>3</v>
      </c>
      <c r="M23" t="s">
        <v>268</v>
      </c>
      <c r="N23">
        <v>98</v>
      </c>
      <c r="O23">
        <v>193</v>
      </c>
      <c r="P23">
        <v>13</v>
      </c>
      <c r="Q23" t="s">
        <v>269</v>
      </c>
      <c r="R23" t="s">
        <v>270</v>
      </c>
      <c r="S23">
        <v>34</v>
      </c>
      <c r="T23">
        <v>0</v>
      </c>
      <c r="U23" t="s">
        <v>52</v>
      </c>
      <c r="V23" t="s">
        <v>271</v>
      </c>
      <c r="W23" t="s">
        <v>54</v>
      </c>
      <c r="X23" t="s">
        <v>54</v>
      </c>
      <c r="Y23" t="s">
        <v>54</v>
      </c>
      <c r="Z23" t="s">
        <v>54</v>
      </c>
      <c r="AA23" t="s">
        <v>54</v>
      </c>
      <c r="AB23" t="s">
        <v>54</v>
      </c>
      <c r="AC23" t="s">
        <v>54</v>
      </c>
      <c r="AD23" t="s">
        <v>54</v>
      </c>
      <c r="AE23" t="s">
        <v>54</v>
      </c>
      <c r="AF23" t="s">
        <v>54</v>
      </c>
      <c r="AG23" t="s">
        <v>54</v>
      </c>
      <c r="AH23" t="s">
        <v>54</v>
      </c>
      <c r="AI23" t="s">
        <v>54</v>
      </c>
      <c r="AJ23" t="s">
        <v>54</v>
      </c>
      <c r="AK23" t="s">
        <v>54</v>
      </c>
      <c r="AL23" t="s">
        <v>54</v>
      </c>
      <c r="AM23" t="s">
        <v>54</v>
      </c>
      <c r="AN23" t="s">
        <v>54</v>
      </c>
      <c r="AO23" t="s">
        <v>54</v>
      </c>
      <c r="AP23" t="s">
        <v>54</v>
      </c>
      <c r="AQ23" t="s">
        <v>54</v>
      </c>
    </row>
    <row r="24" spans="1:43" x14ac:dyDescent="0.25">
      <c r="A24" t="s">
        <v>272</v>
      </c>
      <c r="B24">
        <v>95</v>
      </c>
      <c r="C24">
        <v>72</v>
      </c>
      <c r="D24" t="s">
        <v>273</v>
      </c>
      <c r="E24" t="s">
        <v>274</v>
      </c>
      <c r="F24" t="s">
        <v>275</v>
      </c>
      <c r="G24" t="s">
        <v>276</v>
      </c>
      <c r="H24" t="s">
        <v>52</v>
      </c>
      <c r="I24" t="s">
        <v>52</v>
      </c>
      <c r="J24">
        <v>0</v>
      </c>
      <c r="K24">
        <v>0</v>
      </c>
      <c r="L24">
        <v>3</v>
      </c>
      <c r="M24" t="s">
        <v>277</v>
      </c>
      <c r="N24">
        <v>60</v>
      </c>
      <c r="O24">
        <v>95</v>
      </c>
      <c r="P24">
        <v>14</v>
      </c>
      <c r="Q24" t="s">
        <v>278</v>
      </c>
      <c r="R24" t="s">
        <v>265</v>
      </c>
      <c r="S24">
        <v>11</v>
      </c>
      <c r="T24">
        <v>0</v>
      </c>
      <c r="U24" t="s">
        <v>52</v>
      </c>
      <c r="V24" t="s">
        <v>279</v>
      </c>
      <c r="W24" t="s">
        <v>54</v>
      </c>
      <c r="X24" t="s">
        <v>54</v>
      </c>
      <c r="Y24" t="s">
        <v>54</v>
      </c>
      <c r="Z24" t="s">
        <v>54</v>
      </c>
      <c r="AA24" t="s">
        <v>54</v>
      </c>
      <c r="AB24" t="s">
        <v>54</v>
      </c>
      <c r="AC24" t="s">
        <v>54</v>
      </c>
      <c r="AD24" t="s">
        <v>54</v>
      </c>
      <c r="AE24" t="s">
        <v>54</v>
      </c>
      <c r="AF24" t="s">
        <v>54</v>
      </c>
      <c r="AG24" t="s">
        <v>54</v>
      </c>
      <c r="AH24" t="s">
        <v>54</v>
      </c>
      <c r="AI24" t="s">
        <v>54</v>
      </c>
      <c r="AJ24" t="s">
        <v>54</v>
      </c>
      <c r="AK24" t="s">
        <v>54</v>
      </c>
      <c r="AL24" t="s">
        <v>54</v>
      </c>
      <c r="AM24" t="s">
        <v>54</v>
      </c>
      <c r="AN24" t="s">
        <v>54</v>
      </c>
      <c r="AO24" t="s">
        <v>54</v>
      </c>
      <c r="AP24" t="s">
        <v>54</v>
      </c>
      <c r="AQ24" t="s">
        <v>54</v>
      </c>
    </row>
    <row r="25" spans="1:43" x14ac:dyDescent="0.25">
      <c r="A25" t="s">
        <v>280</v>
      </c>
      <c r="B25">
        <v>109</v>
      </c>
      <c r="C25">
        <v>89</v>
      </c>
      <c r="D25" t="s">
        <v>281</v>
      </c>
      <c r="E25" t="s">
        <v>282</v>
      </c>
      <c r="F25" t="s">
        <v>283</v>
      </c>
      <c r="G25" t="s">
        <v>284</v>
      </c>
      <c r="H25" t="s">
        <v>285</v>
      </c>
      <c r="I25" t="s">
        <v>52</v>
      </c>
      <c r="J25">
        <v>3</v>
      </c>
      <c r="K25">
        <v>0</v>
      </c>
      <c r="L25">
        <v>2</v>
      </c>
      <c r="M25" t="s">
        <v>286</v>
      </c>
      <c r="N25">
        <v>60</v>
      </c>
      <c r="O25">
        <v>111</v>
      </c>
      <c r="P25">
        <v>3</v>
      </c>
      <c r="Q25" t="s">
        <v>287</v>
      </c>
      <c r="R25" t="s">
        <v>288</v>
      </c>
      <c r="S25">
        <v>14</v>
      </c>
      <c r="T25">
        <v>0</v>
      </c>
      <c r="U25" t="s">
        <v>52</v>
      </c>
      <c r="V25" t="s">
        <v>289</v>
      </c>
      <c r="W25" t="s">
        <v>54</v>
      </c>
      <c r="X25" t="s">
        <v>54</v>
      </c>
      <c r="Y25" t="s">
        <v>54</v>
      </c>
      <c r="Z25" t="s">
        <v>54</v>
      </c>
      <c r="AA25" t="s">
        <v>54</v>
      </c>
      <c r="AB25" t="s">
        <v>54</v>
      </c>
      <c r="AC25" t="s">
        <v>54</v>
      </c>
      <c r="AD25" t="s">
        <v>54</v>
      </c>
      <c r="AE25" t="s">
        <v>54</v>
      </c>
      <c r="AF25" t="s">
        <v>54</v>
      </c>
      <c r="AG25" t="s">
        <v>54</v>
      </c>
      <c r="AH25" t="s">
        <v>54</v>
      </c>
      <c r="AI25" t="s">
        <v>54</v>
      </c>
      <c r="AJ25" t="s">
        <v>54</v>
      </c>
      <c r="AK25" t="s">
        <v>54</v>
      </c>
      <c r="AL25" t="s">
        <v>54</v>
      </c>
      <c r="AM25" t="s">
        <v>54</v>
      </c>
      <c r="AN25" t="s">
        <v>54</v>
      </c>
      <c r="AO25" t="s">
        <v>54</v>
      </c>
      <c r="AP25" t="s">
        <v>54</v>
      </c>
      <c r="AQ25" t="s">
        <v>54</v>
      </c>
    </row>
    <row r="26" spans="1:43" x14ac:dyDescent="0.25">
      <c r="A26" t="s">
        <v>290</v>
      </c>
      <c r="B26">
        <v>182</v>
      </c>
      <c r="C26">
        <v>132</v>
      </c>
      <c r="D26" t="s">
        <v>291</v>
      </c>
      <c r="E26" t="s">
        <v>292</v>
      </c>
      <c r="F26" t="s">
        <v>293</v>
      </c>
      <c r="G26" t="s">
        <v>294</v>
      </c>
      <c r="H26" t="s">
        <v>295</v>
      </c>
      <c r="I26" t="s">
        <v>295</v>
      </c>
      <c r="J26">
        <v>4</v>
      </c>
      <c r="K26">
        <v>4</v>
      </c>
      <c r="L26">
        <v>2</v>
      </c>
      <c r="M26" t="s">
        <v>296</v>
      </c>
      <c r="N26">
        <v>100</v>
      </c>
      <c r="O26">
        <v>183</v>
      </c>
      <c r="P26">
        <v>16</v>
      </c>
      <c r="Q26" t="s">
        <v>297</v>
      </c>
      <c r="R26" t="s">
        <v>298</v>
      </c>
      <c r="S26">
        <v>27</v>
      </c>
      <c r="T26">
        <v>0</v>
      </c>
      <c r="U26" t="s">
        <v>52</v>
      </c>
      <c r="V26" t="s">
        <v>299</v>
      </c>
      <c r="W26" t="s">
        <v>54</v>
      </c>
      <c r="X26" t="s">
        <v>54</v>
      </c>
      <c r="Y26" t="s">
        <v>54</v>
      </c>
      <c r="Z26" t="s">
        <v>54</v>
      </c>
      <c r="AA26" t="s">
        <v>54</v>
      </c>
      <c r="AB26" t="s">
        <v>54</v>
      </c>
      <c r="AC26" t="s">
        <v>54</v>
      </c>
      <c r="AD26" t="s">
        <v>54</v>
      </c>
      <c r="AE26" t="s">
        <v>54</v>
      </c>
      <c r="AF26" t="s">
        <v>54</v>
      </c>
      <c r="AG26" t="s">
        <v>54</v>
      </c>
      <c r="AH26" t="s">
        <v>54</v>
      </c>
      <c r="AI26" t="s">
        <v>54</v>
      </c>
      <c r="AJ26" t="s">
        <v>54</v>
      </c>
      <c r="AK26" t="s">
        <v>54</v>
      </c>
      <c r="AL26" t="s">
        <v>54</v>
      </c>
      <c r="AM26" t="s">
        <v>54</v>
      </c>
      <c r="AN26" t="s">
        <v>54</v>
      </c>
      <c r="AO26" t="s">
        <v>54</v>
      </c>
      <c r="AP26" t="s">
        <v>54</v>
      </c>
      <c r="AQ26" t="s">
        <v>54</v>
      </c>
    </row>
    <row r="27" spans="1:43" x14ac:dyDescent="0.25">
      <c r="A27" t="s">
        <v>300</v>
      </c>
      <c r="B27">
        <v>129</v>
      </c>
      <c r="C27">
        <v>99</v>
      </c>
      <c r="D27" t="s">
        <v>301</v>
      </c>
      <c r="E27" t="s">
        <v>302</v>
      </c>
      <c r="F27" t="s">
        <v>303</v>
      </c>
      <c r="G27" t="s">
        <v>304</v>
      </c>
      <c r="H27" t="s">
        <v>305</v>
      </c>
      <c r="I27" t="s">
        <v>52</v>
      </c>
      <c r="J27">
        <v>3</v>
      </c>
      <c r="K27">
        <v>0</v>
      </c>
      <c r="L27">
        <v>3</v>
      </c>
      <c r="M27" t="s">
        <v>201</v>
      </c>
      <c r="N27">
        <v>75</v>
      </c>
      <c r="O27">
        <v>125</v>
      </c>
      <c r="P27">
        <v>14</v>
      </c>
      <c r="Q27" t="s">
        <v>306</v>
      </c>
      <c r="R27" t="s">
        <v>307</v>
      </c>
      <c r="S27">
        <v>10</v>
      </c>
      <c r="T27">
        <v>0</v>
      </c>
      <c r="U27" t="s">
        <v>52</v>
      </c>
      <c r="V27" t="s">
        <v>308</v>
      </c>
      <c r="W27" t="s">
        <v>54</v>
      </c>
      <c r="X27" t="s">
        <v>54</v>
      </c>
      <c r="Y27" t="s">
        <v>54</v>
      </c>
      <c r="Z27" t="s">
        <v>54</v>
      </c>
      <c r="AA27" t="s">
        <v>54</v>
      </c>
      <c r="AB27" t="s">
        <v>54</v>
      </c>
      <c r="AC27" t="s">
        <v>54</v>
      </c>
      <c r="AD27" t="s">
        <v>54</v>
      </c>
      <c r="AE27" t="s">
        <v>54</v>
      </c>
      <c r="AF27" t="s">
        <v>54</v>
      </c>
      <c r="AG27" t="s">
        <v>54</v>
      </c>
      <c r="AH27" t="s">
        <v>54</v>
      </c>
      <c r="AI27" t="s">
        <v>54</v>
      </c>
      <c r="AJ27" t="s">
        <v>54</v>
      </c>
      <c r="AK27" t="s">
        <v>54</v>
      </c>
      <c r="AL27" t="s">
        <v>54</v>
      </c>
      <c r="AM27" t="s">
        <v>54</v>
      </c>
      <c r="AN27" t="s">
        <v>54</v>
      </c>
      <c r="AO27" t="s">
        <v>54</v>
      </c>
      <c r="AP27" t="s">
        <v>54</v>
      </c>
      <c r="AQ27" t="s">
        <v>54</v>
      </c>
    </row>
    <row r="28" spans="1:43" x14ac:dyDescent="0.25">
      <c r="A28" t="s">
        <v>309</v>
      </c>
      <c r="B28">
        <v>166</v>
      </c>
      <c r="C28">
        <v>118</v>
      </c>
      <c r="D28" t="s">
        <v>310</v>
      </c>
      <c r="E28" t="s">
        <v>311</v>
      </c>
      <c r="F28" t="s">
        <v>312</v>
      </c>
      <c r="G28" t="s">
        <v>313</v>
      </c>
      <c r="H28" t="s">
        <v>314</v>
      </c>
      <c r="I28" t="s">
        <v>315</v>
      </c>
      <c r="J28">
        <v>2</v>
      </c>
      <c r="K28">
        <v>3</v>
      </c>
      <c r="L28">
        <v>4</v>
      </c>
      <c r="M28" t="s">
        <v>316</v>
      </c>
      <c r="N28">
        <v>96</v>
      </c>
      <c r="O28">
        <v>167</v>
      </c>
      <c r="P28">
        <v>9</v>
      </c>
      <c r="Q28" t="s">
        <v>317</v>
      </c>
      <c r="R28" t="s">
        <v>318</v>
      </c>
      <c r="S28">
        <v>23</v>
      </c>
      <c r="T28">
        <v>0</v>
      </c>
      <c r="U28" t="s">
        <v>52</v>
      </c>
      <c r="V28" t="s">
        <v>319</v>
      </c>
      <c r="W28" t="s">
        <v>54</v>
      </c>
      <c r="X28" t="s">
        <v>54</v>
      </c>
      <c r="Y28" t="s">
        <v>54</v>
      </c>
      <c r="Z28" t="s">
        <v>54</v>
      </c>
      <c r="AA28" t="s">
        <v>54</v>
      </c>
      <c r="AB28" t="s">
        <v>54</v>
      </c>
      <c r="AC28" t="s">
        <v>54</v>
      </c>
      <c r="AD28" t="s">
        <v>54</v>
      </c>
      <c r="AE28" t="s">
        <v>54</v>
      </c>
      <c r="AF28" t="s">
        <v>54</v>
      </c>
      <c r="AG28" t="s">
        <v>54</v>
      </c>
      <c r="AH28" t="s">
        <v>54</v>
      </c>
      <c r="AI28" t="s">
        <v>54</v>
      </c>
      <c r="AJ28" t="s">
        <v>54</v>
      </c>
      <c r="AK28" t="s">
        <v>54</v>
      </c>
      <c r="AL28" t="s">
        <v>54</v>
      </c>
      <c r="AM28" t="s">
        <v>54</v>
      </c>
      <c r="AN28" t="s">
        <v>54</v>
      </c>
      <c r="AO28" t="s">
        <v>54</v>
      </c>
      <c r="AP28" t="s">
        <v>54</v>
      </c>
      <c r="AQ28" t="s">
        <v>54</v>
      </c>
    </row>
    <row r="29" spans="1:43" x14ac:dyDescent="0.25">
      <c r="A29" t="s">
        <v>320</v>
      </c>
      <c r="B29">
        <v>178</v>
      </c>
      <c r="C29">
        <v>108</v>
      </c>
      <c r="D29" t="s">
        <v>321</v>
      </c>
      <c r="E29" t="s">
        <v>322</v>
      </c>
      <c r="F29" t="s">
        <v>323</v>
      </c>
      <c r="G29" t="s">
        <v>324</v>
      </c>
      <c r="H29" t="s">
        <v>325</v>
      </c>
      <c r="I29" t="s">
        <v>325</v>
      </c>
      <c r="J29">
        <v>2</v>
      </c>
      <c r="K29">
        <v>2</v>
      </c>
      <c r="L29">
        <v>3</v>
      </c>
      <c r="M29" t="s">
        <v>322</v>
      </c>
      <c r="N29">
        <v>96</v>
      </c>
      <c r="O29">
        <v>178</v>
      </c>
      <c r="P29">
        <v>8</v>
      </c>
      <c r="Q29" t="s">
        <v>326</v>
      </c>
      <c r="R29" t="s">
        <v>327</v>
      </c>
      <c r="S29">
        <v>19</v>
      </c>
      <c r="T29">
        <v>0</v>
      </c>
      <c r="U29" t="s">
        <v>52</v>
      </c>
      <c r="V29" t="s">
        <v>328</v>
      </c>
      <c r="W29" t="s">
        <v>54</v>
      </c>
      <c r="X29" t="s">
        <v>54</v>
      </c>
      <c r="Y29" t="s">
        <v>54</v>
      </c>
      <c r="Z29" t="s">
        <v>54</v>
      </c>
      <c r="AA29" t="s">
        <v>54</v>
      </c>
      <c r="AB29" t="s">
        <v>54</v>
      </c>
      <c r="AC29" t="s">
        <v>54</v>
      </c>
      <c r="AD29" t="s">
        <v>54</v>
      </c>
      <c r="AE29" t="s">
        <v>54</v>
      </c>
      <c r="AF29" t="s">
        <v>54</v>
      </c>
      <c r="AG29" t="s">
        <v>54</v>
      </c>
      <c r="AH29" t="s">
        <v>54</v>
      </c>
      <c r="AI29" t="s">
        <v>54</v>
      </c>
      <c r="AJ29" t="s">
        <v>54</v>
      </c>
      <c r="AK29" t="s">
        <v>54</v>
      </c>
      <c r="AL29" t="s">
        <v>54</v>
      </c>
      <c r="AM29" t="s">
        <v>54</v>
      </c>
      <c r="AN29" t="s">
        <v>54</v>
      </c>
      <c r="AO29" t="s">
        <v>54</v>
      </c>
      <c r="AP29" t="s">
        <v>54</v>
      </c>
      <c r="AQ29" t="s">
        <v>54</v>
      </c>
    </row>
    <row r="30" spans="1:43" x14ac:dyDescent="0.25">
      <c r="A30" t="s">
        <v>329</v>
      </c>
      <c r="B30">
        <v>103</v>
      </c>
      <c r="C30">
        <v>83</v>
      </c>
      <c r="D30" t="s">
        <v>330</v>
      </c>
      <c r="E30" t="s">
        <v>331</v>
      </c>
      <c r="F30" t="s">
        <v>332</v>
      </c>
      <c r="G30" t="s">
        <v>333</v>
      </c>
      <c r="H30" t="s">
        <v>52</v>
      </c>
      <c r="I30" t="s">
        <v>334</v>
      </c>
      <c r="J30">
        <v>0</v>
      </c>
      <c r="K30">
        <v>1</v>
      </c>
      <c r="L30">
        <v>3</v>
      </c>
      <c r="M30" t="s">
        <v>335</v>
      </c>
      <c r="N30">
        <v>61</v>
      </c>
      <c r="O30">
        <v>101</v>
      </c>
      <c r="P30">
        <v>1</v>
      </c>
      <c r="Q30" t="s">
        <v>336</v>
      </c>
      <c r="R30" t="s">
        <v>337</v>
      </c>
      <c r="S30">
        <v>12</v>
      </c>
      <c r="T30">
        <v>0</v>
      </c>
      <c r="U30" t="s">
        <v>52</v>
      </c>
      <c r="V30" t="s">
        <v>338</v>
      </c>
      <c r="W30" t="s">
        <v>54</v>
      </c>
      <c r="X30" t="s">
        <v>54</v>
      </c>
      <c r="Y30" t="s">
        <v>54</v>
      </c>
      <c r="Z30" t="s">
        <v>54</v>
      </c>
      <c r="AA30" t="s">
        <v>54</v>
      </c>
      <c r="AB30" t="s">
        <v>54</v>
      </c>
      <c r="AC30" t="s">
        <v>54</v>
      </c>
      <c r="AD30" t="s">
        <v>54</v>
      </c>
      <c r="AE30" t="s">
        <v>54</v>
      </c>
      <c r="AF30" t="s">
        <v>54</v>
      </c>
      <c r="AG30" t="s">
        <v>54</v>
      </c>
      <c r="AH30" t="s">
        <v>54</v>
      </c>
      <c r="AI30" t="s">
        <v>54</v>
      </c>
      <c r="AJ30" t="s">
        <v>54</v>
      </c>
      <c r="AK30" t="s">
        <v>54</v>
      </c>
      <c r="AL30" t="s">
        <v>54</v>
      </c>
      <c r="AM30" t="s">
        <v>54</v>
      </c>
      <c r="AN30" t="s">
        <v>54</v>
      </c>
      <c r="AO30" t="s">
        <v>54</v>
      </c>
      <c r="AP30" t="s">
        <v>54</v>
      </c>
      <c r="AQ30" t="s">
        <v>54</v>
      </c>
    </row>
    <row r="31" spans="1:43" x14ac:dyDescent="0.25">
      <c r="A31" t="s">
        <v>339</v>
      </c>
      <c r="B31">
        <v>110</v>
      </c>
      <c r="C31">
        <v>80</v>
      </c>
      <c r="D31" t="s">
        <v>340</v>
      </c>
      <c r="E31" t="s">
        <v>341</v>
      </c>
      <c r="F31" t="s">
        <v>342</v>
      </c>
      <c r="G31" t="s">
        <v>343</v>
      </c>
      <c r="H31" t="s">
        <v>52</v>
      </c>
      <c r="I31" t="s">
        <v>344</v>
      </c>
      <c r="J31">
        <v>0</v>
      </c>
      <c r="K31">
        <v>1</v>
      </c>
      <c r="L31">
        <v>3</v>
      </c>
      <c r="M31" t="s">
        <v>345</v>
      </c>
      <c r="N31">
        <v>65</v>
      </c>
      <c r="O31">
        <v>110</v>
      </c>
      <c r="P31">
        <v>4</v>
      </c>
      <c r="Q31" t="s">
        <v>346</v>
      </c>
      <c r="R31" t="s">
        <v>168</v>
      </c>
      <c r="S31">
        <v>12</v>
      </c>
      <c r="T31">
        <v>0</v>
      </c>
      <c r="U31" t="s">
        <v>52</v>
      </c>
      <c r="V31" t="s">
        <v>347</v>
      </c>
      <c r="W31" t="s">
        <v>54</v>
      </c>
      <c r="X31" t="s">
        <v>54</v>
      </c>
      <c r="Y31" t="s">
        <v>54</v>
      </c>
      <c r="Z31" t="s">
        <v>54</v>
      </c>
      <c r="AA31" t="s">
        <v>54</v>
      </c>
      <c r="AB31" t="s">
        <v>54</v>
      </c>
      <c r="AC31" t="s">
        <v>54</v>
      </c>
      <c r="AD31" t="s">
        <v>54</v>
      </c>
      <c r="AE31" t="s">
        <v>54</v>
      </c>
      <c r="AF31" t="s">
        <v>54</v>
      </c>
      <c r="AG31" t="s">
        <v>54</v>
      </c>
      <c r="AH31" t="s">
        <v>54</v>
      </c>
      <c r="AI31" t="s">
        <v>54</v>
      </c>
      <c r="AJ31" t="s">
        <v>54</v>
      </c>
      <c r="AK31" t="s">
        <v>54</v>
      </c>
      <c r="AL31" t="s">
        <v>54</v>
      </c>
      <c r="AM31" t="s">
        <v>54</v>
      </c>
      <c r="AN31" t="s">
        <v>54</v>
      </c>
      <c r="AO31" t="s">
        <v>54</v>
      </c>
      <c r="AP31" t="s">
        <v>54</v>
      </c>
      <c r="AQ31" t="s">
        <v>54</v>
      </c>
    </row>
    <row r="32" spans="1:43" x14ac:dyDescent="0.25">
      <c r="A32" t="s">
        <v>348</v>
      </c>
      <c r="B32">
        <v>148</v>
      </c>
      <c r="C32">
        <v>100</v>
      </c>
      <c r="D32" t="s">
        <v>349</v>
      </c>
      <c r="E32" t="s">
        <v>350</v>
      </c>
      <c r="F32" t="s">
        <v>351</v>
      </c>
      <c r="G32" t="s">
        <v>352</v>
      </c>
      <c r="H32" t="s">
        <v>52</v>
      </c>
      <c r="I32" t="s">
        <v>353</v>
      </c>
      <c r="J32">
        <v>0</v>
      </c>
      <c r="K32">
        <v>3</v>
      </c>
      <c r="L32">
        <v>3</v>
      </c>
      <c r="M32" t="s">
        <v>354</v>
      </c>
      <c r="N32">
        <v>77</v>
      </c>
      <c r="O32">
        <v>152</v>
      </c>
      <c r="P32">
        <v>10</v>
      </c>
      <c r="Q32" t="s">
        <v>355</v>
      </c>
      <c r="R32" t="s">
        <v>356</v>
      </c>
      <c r="S32">
        <v>29</v>
      </c>
      <c r="T32">
        <v>0</v>
      </c>
      <c r="U32" t="s">
        <v>52</v>
      </c>
      <c r="V32" t="s">
        <v>357</v>
      </c>
      <c r="W32" t="s">
        <v>54</v>
      </c>
      <c r="X32" t="s">
        <v>54</v>
      </c>
      <c r="Y32" t="s">
        <v>54</v>
      </c>
      <c r="Z32" t="s">
        <v>54</v>
      </c>
      <c r="AA32" t="s">
        <v>54</v>
      </c>
      <c r="AB32" t="s">
        <v>54</v>
      </c>
      <c r="AC32" t="s">
        <v>54</v>
      </c>
      <c r="AD32" t="s">
        <v>54</v>
      </c>
      <c r="AE32" t="s">
        <v>54</v>
      </c>
      <c r="AF32" t="s">
        <v>54</v>
      </c>
      <c r="AG32" t="s">
        <v>54</v>
      </c>
      <c r="AH32" t="s">
        <v>54</v>
      </c>
      <c r="AI32" t="s">
        <v>54</v>
      </c>
      <c r="AJ32" t="s">
        <v>54</v>
      </c>
      <c r="AK32" t="s">
        <v>54</v>
      </c>
      <c r="AL32" t="s">
        <v>54</v>
      </c>
      <c r="AM32" t="s">
        <v>54</v>
      </c>
      <c r="AN32" t="s">
        <v>54</v>
      </c>
      <c r="AO32" t="s">
        <v>54</v>
      </c>
      <c r="AP32" t="s">
        <v>54</v>
      </c>
      <c r="AQ32" t="s">
        <v>54</v>
      </c>
    </row>
    <row r="33" spans="1:43" x14ac:dyDescent="0.25">
      <c r="A33" t="s">
        <v>358</v>
      </c>
      <c r="B33">
        <v>87</v>
      </c>
      <c r="C33">
        <v>70</v>
      </c>
      <c r="D33" t="s">
        <v>359</v>
      </c>
      <c r="E33" t="s">
        <v>360</v>
      </c>
      <c r="F33" t="s">
        <v>361</v>
      </c>
      <c r="G33" t="s">
        <v>362</v>
      </c>
      <c r="H33" t="s">
        <v>363</v>
      </c>
      <c r="I33" t="s">
        <v>52</v>
      </c>
      <c r="J33">
        <v>1</v>
      </c>
      <c r="K33">
        <v>0</v>
      </c>
      <c r="L33">
        <v>1</v>
      </c>
      <c r="M33" t="s">
        <v>364</v>
      </c>
      <c r="N33">
        <v>54</v>
      </c>
      <c r="O33">
        <v>87</v>
      </c>
      <c r="P33">
        <v>9</v>
      </c>
      <c r="Q33" t="s">
        <v>365</v>
      </c>
      <c r="R33" t="s">
        <v>366</v>
      </c>
      <c r="S33">
        <v>9</v>
      </c>
      <c r="T33">
        <v>0</v>
      </c>
      <c r="U33" t="s">
        <v>52</v>
      </c>
      <c r="V33" t="s">
        <v>367</v>
      </c>
      <c r="W33" t="s">
        <v>54</v>
      </c>
      <c r="X33" t="s">
        <v>54</v>
      </c>
      <c r="Y33" t="s">
        <v>54</v>
      </c>
      <c r="Z33" t="s">
        <v>54</v>
      </c>
      <c r="AA33" t="s">
        <v>54</v>
      </c>
      <c r="AB33" t="s">
        <v>54</v>
      </c>
      <c r="AC33" t="s">
        <v>54</v>
      </c>
      <c r="AD33" t="s">
        <v>54</v>
      </c>
      <c r="AE33" t="s">
        <v>54</v>
      </c>
      <c r="AF33" t="s">
        <v>54</v>
      </c>
      <c r="AG33" t="s">
        <v>54</v>
      </c>
      <c r="AH33" t="s">
        <v>54</v>
      </c>
      <c r="AI33" t="s">
        <v>54</v>
      </c>
      <c r="AJ33" t="s">
        <v>54</v>
      </c>
      <c r="AK33" t="s">
        <v>54</v>
      </c>
      <c r="AL33" t="s">
        <v>54</v>
      </c>
      <c r="AM33" t="s">
        <v>54</v>
      </c>
      <c r="AN33" t="s">
        <v>54</v>
      </c>
      <c r="AO33" t="s">
        <v>54</v>
      </c>
      <c r="AP33" t="s">
        <v>54</v>
      </c>
      <c r="AQ33" t="s">
        <v>54</v>
      </c>
    </row>
    <row r="34" spans="1:43" x14ac:dyDescent="0.25">
      <c r="A34" t="s">
        <v>368</v>
      </c>
      <c r="B34">
        <v>114</v>
      </c>
      <c r="C34">
        <v>89</v>
      </c>
      <c r="D34" t="s">
        <v>369</v>
      </c>
      <c r="E34" t="s">
        <v>370</v>
      </c>
      <c r="F34" t="s">
        <v>371</v>
      </c>
      <c r="G34" t="s">
        <v>372</v>
      </c>
      <c r="H34" t="s">
        <v>373</v>
      </c>
      <c r="I34" t="s">
        <v>52</v>
      </c>
      <c r="J34">
        <v>4</v>
      </c>
      <c r="K34">
        <v>0</v>
      </c>
      <c r="L34">
        <v>1</v>
      </c>
      <c r="M34" t="s">
        <v>374</v>
      </c>
      <c r="N34">
        <v>59</v>
      </c>
      <c r="O34">
        <v>114</v>
      </c>
      <c r="P34">
        <v>5</v>
      </c>
      <c r="Q34" t="s">
        <v>375</v>
      </c>
      <c r="R34" t="s">
        <v>168</v>
      </c>
      <c r="S34">
        <v>15</v>
      </c>
      <c r="T34">
        <v>0</v>
      </c>
      <c r="U34" t="s">
        <v>52</v>
      </c>
      <c r="V34" t="s">
        <v>376</v>
      </c>
      <c r="W34" t="s">
        <v>54</v>
      </c>
      <c r="X34" t="s">
        <v>54</v>
      </c>
      <c r="Y34" t="s">
        <v>54</v>
      </c>
      <c r="Z34" t="s">
        <v>54</v>
      </c>
      <c r="AA34" t="s">
        <v>54</v>
      </c>
      <c r="AB34" t="s">
        <v>54</v>
      </c>
      <c r="AC34" t="s">
        <v>54</v>
      </c>
      <c r="AD34" t="s">
        <v>54</v>
      </c>
      <c r="AE34" t="s">
        <v>54</v>
      </c>
      <c r="AF34" t="s">
        <v>54</v>
      </c>
      <c r="AG34" t="s">
        <v>54</v>
      </c>
      <c r="AH34" t="s">
        <v>54</v>
      </c>
      <c r="AI34" t="s">
        <v>54</v>
      </c>
      <c r="AJ34" t="s">
        <v>54</v>
      </c>
      <c r="AK34" t="s">
        <v>54</v>
      </c>
      <c r="AL34" t="s">
        <v>54</v>
      </c>
      <c r="AM34" t="s">
        <v>54</v>
      </c>
      <c r="AN34" t="s">
        <v>54</v>
      </c>
      <c r="AO34" t="s">
        <v>54</v>
      </c>
      <c r="AP34" t="s">
        <v>54</v>
      </c>
      <c r="AQ34" t="s">
        <v>54</v>
      </c>
    </row>
    <row r="35" spans="1:43" x14ac:dyDescent="0.25">
      <c r="A35" t="s">
        <v>377</v>
      </c>
      <c r="W35" t="s">
        <v>378</v>
      </c>
      <c r="X35" t="s">
        <v>378</v>
      </c>
      <c r="Y35" t="s">
        <v>378</v>
      </c>
      <c r="Z35" t="s">
        <v>378</v>
      </c>
      <c r="AA35" t="s">
        <v>378</v>
      </c>
      <c r="AB35" t="s">
        <v>378</v>
      </c>
      <c r="AC35" t="s">
        <v>378</v>
      </c>
      <c r="AD35" t="s">
        <v>378</v>
      </c>
      <c r="AE35" t="s">
        <v>378</v>
      </c>
      <c r="AF35" t="s">
        <v>378</v>
      </c>
      <c r="AG35" t="s">
        <v>378</v>
      </c>
      <c r="AH35" t="s">
        <v>378</v>
      </c>
      <c r="AI35" t="s">
        <v>378</v>
      </c>
      <c r="AJ35" t="s">
        <v>378</v>
      </c>
      <c r="AK35" t="s">
        <v>378</v>
      </c>
      <c r="AL35" t="s">
        <v>378</v>
      </c>
      <c r="AM35" t="s">
        <v>378</v>
      </c>
      <c r="AN35" t="s">
        <v>378</v>
      </c>
      <c r="AO35" t="s">
        <v>378</v>
      </c>
      <c r="AP35" t="s">
        <v>378</v>
      </c>
      <c r="AQ35" t="s">
        <v>378</v>
      </c>
    </row>
    <row r="36" spans="1:43" x14ac:dyDescent="0.25">
      <c r="A36" t="s">
        <v>379</v>
      </c>
      <c r="B36">
        <v>124</v>
      </c>
      <c r="C36">
        <v>104</v>
      </c>
      <c r="D36" t="s">
        <v>380</v>
      </c>
      <c r="E36" t="s">
        <v>381</v>
      </c>
      <c r="F36" t="s">
        <v>382</v>
      </c>
      <c r="G36" t="s">
        <v>383</v>
      </c>
      <c r="H36" t="s">
        <v>384</v>
      </c>
      <c r="I36" t="s">
        <v>385</v>
      </c>
      <c r="J36">
        <v>2</v>
      </c>
      <c r="K36">
        <v>4</v>
      </c>
      <c r="L36">
        <v>3</v>
      </c>
      <c r="M36" t="s">
        <v>386</v>
      </c>
      <c r="N36">
        <v>70</v>
      </c>
      <c r="O36">
        <v>125</v>
      </c>
      <c r="P36">
        <v>13</v>
      </c>
      <c r="Q36" t="s">
        <v>387</v>
      </c>
      <c r="R36" t="s">
        <v>388</v>
      </c>
      <c r="S36">
        <v>15</v>
      </c>
      <c r="T36">
        <v>0</v>
      </c>
      <c r="U36" t="s">
        <v>52</v>
      </c>
      <c r="V36" t="s">
        <v>389</v>
      </c>
      <c r="W36" t="s">
        <v>54</v>
      </c>
      <c r="X36" t="s">
        <v>54</v>
      </c>
      <c r="Y36" t="s">
        <v>54</v>
      </c>
      <c r="Z36" t="s">
        <v>54</v>
      </c>
      <c r="AA36" t="s">
        <v>54</v>
      </c>
      <c r="AB36" t="s">
        <v>54</v>
      </c>
      <c r="AC36" t="s">
        <v>54</v>
      </c>
      <c r="AD36" t="s">
        <v>54</v>
      </c>
      <c r="AE36" t="s">
        <v>54</v>
      </c>
      <c r="AF36" t="s">
        <v>54</v>
      </c>
      <c r="AG36" t="s">
        <v>54</v>
      </c>
      <c r="AH36" t="s">
        <v>54</v>
      </c>
      <c r="AI36" t="s">
        <v>54</v>
      </c>
      <c r="AJ36" t="s">
        <v>54</v>
      </c>
      <c r="AK36" t="s">
        <v>54</v>
      </c>
      <c r="AL36" t="s">
        <v>54</v>
      </c>
      <c r="AM36" t="s">
        <v>54</v>
      </c>
      <c r="AN36" t="s">
        <v>54</v>
      </c>
      <c r="AO36" t="s">
        <v>54</v>
      </c>
      <c r="AP36" t="s">
        <v>54</v>
      </c>
      <c r="AQ36" t="s">
        <v>54</v>
      </c>
    </row>
    <row r="37" spans="1:43" x14ac:dyDescent="0.25">
      <c r="A37" t="s">
        <v>390</v>
      </c>
      <c r="B37">
        <v>113</v>
      </c>
      <c r="C37">
        <v>83</v>
      </c>
      <c r="D37" t="s">
        <v>391</v>
      </c>
      <c r="E37" t="s">
        <v>392</v>
      </c>
      <c r="F37" t="s">
        <v>393</v>
      </c>
      <c r="G37" t="s">
        <v>394</v>
      </c>
      <c r="H37" t="s">
        <v>52</v>
      </c>
      <c r="I37" t="s">
        <v>52</v>
      </c>
      <c r="J37">
        <v>0</v>
      </c>
      <c r="K37">
        <v>0</v>
      </c>
      <c r="L37">
        <v>3</v>
      </c>
      <c r="M37" t="s">
        <v>395</v>
      </c>
      <c r="N37">
        <v>67</v>
      </c>
      <c r="O37">
        <v>113</v>
      </c>
      <c r="P37">
        <v>12</v>
      </c>
      <c r="Q37" t="s">
        <v>396</v>
      </c>
      <c r="R37" t="s">
        <v>366</v>
      </c>
      <c r="S37">
        <v>12</v>
      </c>
      <c r="T37">
        <v>0</v>
      </c>
      <c r="U37" t="s">
        <v>52</v>
      </c>
      <c r="V37" t="s">
        <v>397</v>
      </c>
      <c r="W37" t="s">
        <v>54</v>
      </c>
      <c r="X37" t="s">
        <v>54</v>
      </c>
      <c r="Y37" t="s">
        <v>54</v>
      </c>
      <c r="Z37" t="s">
        <v>54</v>
      </c>
      <c r="AA37" t="s">
        <v>54</v>
      </c>
      <c r="AB37" t="s">
        <v>54</v>
      </c>
      <c r="AC37" t="s">
        <v>54</v>
      </c>
      <c r="AD37" t="s">
        <v>54</v>
      </c>
      <c r="AE37" t="s">
        <v>54</v>
      </c>
      <c r="AF37" t="s">
        <v>54</v>
      </c>
      <c r="AG37" t="s">
        <v>54</v>
      </c>
      <c r="AH37" t="s">
        <v>54</v>
      </c>
      <c r="AI37" t="s">
        <v>54</v>
      </c>
      <c r="AJ37" t="s">
        <v>54</v>
      </c>
      <c r="AK37" t="s">
        <v>54</v>
      </c>
      <c r="AL37" t="s">
        <v>54</v>
      </c>
      <c r="AM37" t="s">
        <v>54</v>
      </c>
      <c r="AN37" t="s">
        <v>54</v>
      </c>
      <c r="AO37" t="s">
        <v>54</v>
      </c>
      <c r="AP37" t="s">
        <v>54</v>
      </c>
      <c r="AQ37" t="s">
        <v>54</v>
      </c>
    </row>
    <row r="38" spans="1:43" x14ac:dyDescent="0.25">
      <c r="A38" t="s">
        <v>398</v>
      </c>
      <c r="B38">
        <v>205</v>
      </c>
      <c r="C38">
        <v>136</v>
      </c>
      <c r="D38" t="s">
        <v>399</v>
      </c>
      <c r="E38" t="s">
        <v>400</v>
      </c>
      <c r="F38" t="s">
        <v>401</v>
      </c>
      <c r="G38" t="s">
        <v>402</v>
      </c>
      <c r="H38" t="s">
        <v>403</v>
      </c>
      <c r="I38" t="s">
        <v>404</v>
      </c>
      <c r="J38">
        <v>6</v>
      </c>
      <c r="K38">
        <v>4</v>
      </c>
      <c r="L38">
        <v>3</v>
      </c>
      <c r="M38" t="s">
        <v>405</v>
      </c>
      <c r="N38">
        <v>110</v>
      </c>
      <c r="O38">
        <v>205</v>
      </c>
      <c r="P38">
        <v>18</v>
      </c>
      <c r="Q38" t="s">
        <v>406</v>
      </c>
      <c r="R38" t="s">
        <v>407</v>
      </c>
      <c r="S38">
        <v>29</v>
      </c>
      <c r="T38">
        <v>1</v>
      </c>
      <c r="U38" t="s">
        <v>408</v>
      </c>
      <c r="V38" t="s">
        <v>409</v>
      </c>
      <c r="W38" t="s">
        <v>54</v>
      </c>
      <c r="X38" t="s">
        <v>54</v>
      </c>
      <c r="Y38" t="s">
        <v>54</v>
      </c>
      <c r="Z38" t="s">
        <v>54</v>
      </c>
      <c r="AA38" t="s">
        <v>54</v>
      </c>
      <c r="AB38" t="s">
        <v>54</v>
      </c>
      <c r="AC38" t="s">
        <v>54</v>
      </c>
      <c r="AD38" t="s">
        <v>54</v>
      </c>
      <c r="AE38" t="s">
        <v>54</v>
      </c>
      <c r="AF38" t="s">
        <v>54</v>
      </c>
      <c r="AG38" t="s">
        <v>54</v>
      </c>
      <c r="AH38" t="s">
        <v>54</v>
      </c>
      <c r="AI38" t="s">
        <v>54</v>
      </c>
      <c r="AJ38" t="s">
        <v>54</v>
      </c>
      <c r="AK38" t="s">
        <v>54</v>
      </c>
      <c r="AL38" t="s">
        <v>54</v>
      </c>
      <c r="AM38" t="s">
        <v>54</v>
      </c>
      <c r="AN38" t="s">
        <v>54</v>
      </c>
      <c r="AO38" t="s">
        <v>54</v>
      </c>
      <c r="AP38" t="s">
        <v>54</v>
      </c>
      <c r="AQ38" t="s">
        <v>54</v>
      </c>
    </row>
    <row r="39" spans="1:43" x14ac:dyDescent="0.25">
      <c r="A39" t="s">
        <v>410</v>
      </c>
      <c r="B39">
        <v>173</v>
      </c>
      <c r="C39">
        <v>117</v>
      </c>
      <c r="D39" t="s">
        <v>411</v>
      </c>
      <c r="E39" t="s">
        <v>412</v>
      </c>
      <c r="F39" t="s">
        <v>413</v>
      </c>
      <c r="G39" t="s">
        <v>414</v>
      </c>
      <c r="H39" t="s">
        <v>415</v>
      </c>
      <c r="I39" t="s">
        <v>416</v>
      </c>
      <c r="J39">
        <v>7</v>
      </c>
      <c r="K39">
        <v>2</v>
      </c>
      <c r="L39">
        <v>3</v>
      </c>
      <c r="M39" t="s">
        <v>417</v>
      </c>
      <c r="N39">
        <v>94</v>
      </c>
      <c r="O39">
        <v>173</v>
      </c>
      <c r="P39">
        <v>14</v>
      </c>
      <c r="Q39" t="s">
        <v>418</v>
      </c>
      <c r="R39" t="s">
        <v>419</v>
      </c>
      <c r="S39">
        <v>19</v>
      </c>
      <c r="T39">
        <v>0</v>
      </c>
      <c r="U39" t="s">
        <v>52</v>
      </c>
      <c r="V39" t="s">
        <v>420</v>
      </c>
      <c r="W39" t="s">
        <v>54</v>
      </c>
      <c r="X39" t="s">
        <v>54</v>
      </c>
      <c r="Y39" t="s">
        <v>54</v>
      </c>
      <c r="Z39" t="s">
        <v>54</v>
      </c>
      <c r="AA39" t="s">
        <v>54</v>
      </c>
      <c r="AB39" t="s">
        <v>54</v>
      </c>
      <c r="AC39" t="s">
        <v>54</v>
      </c>
      <c r="AD39" t="s">
        <v>54</v>
      </c>
      <c r="AE39" t="s">
        <v>54</v>
      </c>
      <c r="AF39" t="s">
        <v>54</v>
      </c>
      <c r="AG39" t="s">
        <v>54</v>
      </c>
      <c r="AH39" t="s">
        <v>54</v>
      </c>
      <c r="AI39" t="s">
        <v>54</v>
      </c>
      <c r="AJ39" t="s">
        <v>54</v>
      </c>
      <c r="AK39" t="s">
        <v>54</v>
      </c>
      <c r="AL39" t="s">
        <v>54</v>
      </c>
      <c r="AM39" t="s">
        <v>54</v>
      </c>
      <c r="AN39" t="s">
        <v>54</v>
      </c>
      <c r="AO39" t="s">
        <v>54</v>
      </c>
      <c r="AP39" t="s">
        <v>54</v>
      </c>
      <c r="AQ39" t="s">
        <v>54</v>
      </c>
    </row>
    <row r="40" spans="1:43" x14ac:dyDescent="0.25">
      <c r="A40" t="s">
        <v>421</v>
      </c>
      <c r="B40">
        <v>129</v>
      </c>
      <c r="C40">
        <v>98</v>
      </c>
      <c r="D40" t="s">
        <v>422</v>
      </c>
      <c r="E40" t="s">
        <v>302</v>
      </c>
      <c r="F40" t="s">
        <v>423</v>
      </c>
      <c r="G40" t="s">
        <v>424</v>
      </c>
      <c r="H40" t="s">
        <v>425</v>
      </c>
      <c r="I40" t="s">
        <v>52</v>
      </c>
      <c r="J40">
        <v>5</v>
      </c>
      <c r="K40">
        <v>0</v>
      </c>
      <c r="L40">
        <v>4</v>
      </c>
      <c r="M40" t="s">
        <v>426</v>
      </c>
      <c r="N40">
        <v>67</v>
      </c>
      <c r="O40">
        <v>129</v>
      </c>
      <c r="P40">
        <v>7</v>
      </c>
      <c r="Q40" t="s">
        <v>427</v>
      </c>
      <c r="R40" t="s">
        <v>231</v>
      </c>
      <c r="S40">
        <v>17</v>
      </c>
      <c r="T40">
        <v>0</v>
      </c>
      <c r="U40" t="s">
        <v>52</v>
      </c>
      <c r="V40" t="s">
        <v>428</v>
      </c>
      <c r="W40" t="s">
        <v>54</v>
      </c>
      <c r="X40" t="s">
        <v>54</v>
      </c>
      <c r="Y40" t="s">
        <v>54</v>
      </c>
      <c r="Z40" t="s">
        <v>54</v>
      </c>
      <c r="AA40" t="s">
        <v>54</v>
      </c>
      <c r="AB40" t="s">
        <v>54</v>
      </c>
      <c r="AC40" t="s">
        <v>54</v>
      </c>
      <c r="AD40" t="s">
        <v>54</v>
      </c>
      <c r="AE40" t="s">
        <v>54</v>
      </c>
      <c r="AF40" t="s">
        <v>54</v>
      </c>
      <c r="AG40" t="s">
        <v>54</v>
      </c>
      <c r="AH40" t="s">
        <v>54</v>
      </c>
      <c r="AI40" t="s">
        <v>54</v>
      </c>
      <c r="AJ40" t="s">
        <v>54</v>
      </c>
      <c r="AK40" t="s">
        <v>54</v>
      </c>
      <c r="AL40" t="s">
        <v>54</v>
      </c>
      <c r="AM40" t="s">
        <v>54</v>
      </c>
      <c r="AN40" t="s">
        <v>54</v>
      </c>
      <c r="AO40" t="s">
        <v>54</v>
      </c>
      <c r="AP40" t="s">
        <v>54</v>
      </c>
      <c r="AQ40" t="s">
        <v>54</v>
      </c>
    </row>
    <row r="41" spans="1:43" x14ac:dyDescent="0.25">
      <c r="A41" t="s">
        <v>429</v>
      </c>
      <c r="B41">
        <v>149</v>
      </c>
      <c r="C41">
        <v>91</v>
      </c>
      <c r="D41" t="s">
        <v>430</v>
      </c>
      <c r="E41" t="s">
        <v>431</v>
      </c>
      <c r="F41" t="s">
        <v>307</v>
      </c>
      <c r="G41" t="s">
        <v>432</v>
      </c>
      <c r="H41" t="s">
        <v>52</v>
      </c>
      <c r="I41" t="s">
        <v>433</v>
      </c>
      <c r="J41">
        <v>0</v>
      </c>
      <c r="K41">
        <v>1</v>
      </c>
      <c r="L41">
        <v>4</v>
      </c>
      <c r="M41" t="s">
        <v>434</v>
      </c>
      <c r="N41">
        <v>87</v>
      </c>
      <c r="O41">
        <v>149</v>
      </c>
      <c r="P41">
        <v>12</v>
      </c>
      <c r="Q41" t="s">
        <v>435</v>
      </c>
      <c r="R41" t="s">
        <v>436</v>
      </c>
      <c r="S41">
        <v>17</v>
      </c>
      <c r="T41">
        <v>0</v>
      </c>
      <c r="U41" t="s">
        <v>52</v>
      </c>
      <c r="V41" t="s">
        <v>437</v>
      </c>
      <c r="W41" t="s">
        <v>54</v>
      </c>
      <c r="X41" t="s">
        <v>54</v>
      </c>
      <c r="Y41" t="s">
        <v>54</v>
      </c>
      <c r="Z41" t="s">
        <v>54</v>
      </c>
      <c r="AA41" t="s">
        <v>54</v>
      </c>
      <c r="AB41" t="s">
        <v>54</v>
      </c>
      <c r="AC41" t="s">
        <v>54</v>
      </c>
      <c r="AD41" t="s">
        <v>54</v>
      </c>
      <c r="AE41" t="s">
        <v>54</v>
      </c>
      <c r="AF41" t="s">
        <v>54</v>
      </c>
      <c r="AG41" t="s">
        <v>54</v>
      </c>
      <c r="AH41" t="s">
        <v>54</v>
      </c>
      <c r="AI41" t="s">
        <v>54</v>
      </c>
      <c r="AJ41" t="s">
        <v>54</v>
      </c>
      <c r="AK41" t="s">
        <v>54</v>
      </c>
      <c r="AL41" t="s">
        <v>54</v>
      </c>
      <c r="AM41" t="s">
        <v>54</v>
      </c>
      <c r="AN41" t="s">
        <v>54</v>
      </c>
      <c r="AO41" t="s">
        <v>54</v>
      </c>
      <c r="AP41" t="s">
        <v>54</v>
      </c>
      <c r="AQ41" t="s">
        <v>54</v>
      </c>
    </row>
    <row r="42" spans="1:43" x14ac:dyDescent="0.25">
      <c r="A42" t="s">
        <v>438</v>
      </c>
      <c r="B42">
        <v>107</v>
      </c>
      <c r="C42">
        <v>70</v>
      </c>
      <c r="D42" t="s">
        <v>439</v>
      </c>
      <c r="E42" t="s">
        <v>440</v>
      </c>
      <c r="F42" t="s">
        <v>441</v>
      </c>
      <c r="G42" t="s">
        <v>442</v>
      </c>
      <c r="H42" t="s">
        <v>443</v>
      </c>
      <c r="I42" t="s">
        <v>52</v>
      </c>
      <c r="J42">
        <v>1</v>
      </c>
      <c r="K42">
        <v>0</v>
      </c>
      <c r="L42">
        <v>4</v>
      </c>
      <c r="M42" t="s">
        <v>444</v>
      </c>
      <c r="N42">
        <v>52</v>
      </c>
      <c r="O42">
        <v>107</v>
      </c>
      <c r="P42">
        <v>9</v>
      </c>
      <c r="Q42" t="s">
        <v>445</v>
      </c>
      <c r="R42" t="s">
        <v>446</v>
      </c>
      <c r="S42">
        <v>17</v>
      </c>
      <c r="T42">
        <v>0</v>
      </c>
      <c r="U42" t="s">
        <v>52</v>
      </c>
      <c r="V42" t="s">
        <v>447</v>
      </c>
      <c r="W42" t="s">
        <v>54</v>
      </c>
      <c r="X42" t="s">
        <v>54</v>
      </c>
      <c r="Y42" t="s">
        <v>54</v>
      </c>
      <c r="Z42" t="s">
        <v>54</v>
      </c>
      <c r="AA42" t="s">
        <v>54</v>
      </c>
      <c r="AB42" t="s">
        <v>54</v>
      </c>
      <c r="AC42" t="s">
        <v>54</v>
      </c>
      <c r="AD42" t="s">
        <v>54</v>
      </c>
      <c r="AE42" t="s">
        <v>54</v>
      </c>
      <c r="AF42" t="s">
        <v>54</v>
      </c>
      <c r="AG42" t="s">
        <v>54</v>
      </c>
      <c r="AH42" t="s">
        <v>54</v>
      </c>
      <c r="AI42" t="s">
        <v>54</v>
      </c>
      <c r="AJ42" t="s">
        <v>54</v>
      </c>
      <c r="AK42" t="s">
        <v>54</v>
      </c>
      <c r="AL42" t="s">
        <v>54</v>
      </c>
      <c r="AM42" t="s">
        <v>54</v>
      </c>
      <c r="AN42" t="s">
        <v>54</v>
      </c>
      <c r="AO42" t="s">
        <v>54</v>
      </c>
      <c r="AP42" t="s">
        <v>54</v>
      </c>
      <c r="AQ42" t="s">
        <v>54</v>
      </c>
    </row>
    <row r="43" spans="1:43" x14ac:dyDescent="0.25">
      <c r="A43" t="s">
        <v>448</v>
      </c>
      <c r="B43">
        <v>167</v>
      </c>
      <c r="C43">
        <v>123</v>
      </c>
      <c r="D43" t="s">
        <v>449</v>
      </c>
      <c r="E43" t="s">
        <v>450</v>
      </c>
      <c r="F43" t="s">
        <v>451</v>
      </c>
      <c r="G43" t="s">
        <v>452</v>
      </c>
      <c r="H43" t="s">
        <v>453</v>
      </c>
      <c r="I43" t="s">
        <v>454</v>
      </c>
      <c r="J43">
        <v>1</v>
      </c>
      <c r="K43">
        <v>4</v>
      </c>
      <c r="L43">
        <v>4</v>
      </c>
      <c r="M43" t="s">
        <v>455</v>
      </c>
      <c r="N43">
        <v>105</v>
      </c>
      <c r="O43">
        <v>167</v>
      </c>
      <c r="P43">
        <v>12</v>
      </c>
      <c r="Q43" t="s">
        <v>456</v>
      </c>
      <c r="R43" t="s">
        <v>457</v>
      </c>
      <c r="S43">
        <v>26</v>
      </c>
      <c r="T43">
        <v>0</v>
      </c>
      <c r="U43" t="s">
        <v>52</v>
      </c>
      <c r="V43" t="s">
        <v>458</v>
      </c>
      <c r="W43" t="s">
        <v>54</v>
      </c>
      <c r="X43" t="s">
        <v>54</v>
      </c>
      <c r="Y43" t="s">
        <v>54</v>
      </c>
      <c r="Z43" t="s">
        <v>54</v>
      </c>
      <c r="AA43" t="s">
        <v>54</v>
      </c>
      <c r="AB43" t="s">
        <v>54</v>
      </c>
      <c r="AC43" t="s">
        <v>54</v>
      </c>
      <c r="AD43" t="s">
        <v>54</v>
      </c>
      <c r="AE43" t="s">
        <v>54</v>
      </c>
      <c r="AF43" t="s">
        <v>54</v>
      </c>
      <c r="AG43" t="s">
        <v>54</v>
      </c>
      <c r="AH43" t="s">
        <v>54</v>
      </c>
      <c r="AI43" t="s">
        <v>54</v>
      </c>
      <c r="AJ43" t="s">
        <v>54</v>
      </c>
      <c r="AK43" t="s">
        <v>54</v>
      </c>
      <c r="AL43" t="s">
        <v>54</v>
      </c>
      <c r="AM43" t="s">
        <v>54</v>
      </c>
      <c r="AN43" t="s">
        <v>54</v>
      </c>
      <c r="AO43" t="s">
        <v>54</v>
      </c>
      <c r="AP43" t="s">
        <v>54</v>
      </c>
      <c r="AQ43" t="s">
        <v>54</v>
      </c>
    </row>
    <row r="44" spans="1:43" x14ac:dyDescent="0.25">
      <c r="A44" t="s">
        <v>459</v>
      </c>
      <c r="B44">
        <v>188</v>
      </c>
      <c r="C44">
        <v>131</v>
      </c>
      <c r="D44" t="s">
        <v>460</v>
      </c>
      <c r="E44" t="s">
        <v>461</v>
      </c>
      <c r="F44" t="s">
        <v>462</v>
      </c>
      <c r="G44" t="s">
        <v>463</v>
      </c>
      <c r="H44" t="s">
        <v>52</v>
      </c>
      <c r="I44" t="s">
        <v>464</v>
      </c>
      <c r="J44">
        <v>0</v>
      </c>
      <c r="K44">
        <v>3</v>
      </c>
      <c r="L44">
        <v>2</v>
      </c>
      <c r="M44" t="s">
        <v>465</v>
      </c>
      <c r="N44">
        <v>104</v>
      </c>
      <c r="O44">
        <v>187</v>
      </c>
      <c r="P44">
        <v>13</v>
      </c>
      <c r="Q44" t="s">
        <v>466</v>
      </c>
      <c r="R44" t="s">
        <v>467</v>
      </c>
      <c r="S44">
        <v>16</v>
      </c>
      <c r="T44">
        <v>0</v>
      </c>
      <c r="U44" t="s">
        <v>52</v>
      </c>
      <c r="V44" t="s">
        <v>468</v>
      </c>
      <c r="W44" t="s">
        <v>54</v>
      </c>
      <c r="X44" t="s">
        <v>54</v>
      </c>
      <c r="Y44" t="s">
        <v>54</v>
      </c>
      <c r="Z44" t="s">
        <v>54</v>
      </c>
      <c r="AA44" t="s">
        <v>54</v>
      </c>
      <c r="AB44" t="s">
        <v>54</v>
      </c>
      <c r="AC44" t="s">
        <v>54</v>
      </c>
      <c r="AD44" t="s">
        <v>54</v>
      </c>
      <c r="AE44" t="s">
        <v>54</v>
      </c>
      <c r="AF44" t="s">
        <v>54</v>
      </c>
      <c r="AG44" t="s">
        <v>54</v>
      </c>
      <c r="AH44" t="s">
        <v>54</v>
      </c>
      <c r="AI44" t="s">
        <v>54</v>
      </c>
      <c r="AJ44" t="s">
        <v>54</v>
      </c>
      <c r="AK44" t="s">
        <v>54</v>
      </c>
      <c r="AL44" t="s">
        <v>54</v>
      </c>
      <c r="AM44" t="s">
        <v>54</v>
      </c>
      <c r="AN44" t="s">
        <v>54</v>
      </c>
      <c r="AO44" t="s">
        <v>54</v>
      </c>
      <c r="AP44" t="s">
        <v>54</v>
      </c>
      <c r="AQ44" t="s">
        <v>54</v>
      </c>
    </row>
    <row r="45" spans="1:43" x14ac:dyDescent="0.25">
      <c r="A45" t="s">
        <v>469</v>
      </c>
      <c r="B45">
        <v>136</v>
      </c>
      <c r="C45">
        <v>103</v>
      </c>
      <c r="D45" t="s">
        <v>470</v>
      </c>
      <c r="E45" t="s">
        <v>471</v>
      </c>
      <c r="F45" t="s">
        <v>472</v>
      </c>
      <c r="G45" t="s">
        <v>473</v>
      </c>
      <c r="H45" t="s">
        <v>474</v>
      </c>
      <c r="I45" t="s">
        <v>475</v>
      </c>
      <c r="J45">
        <v>6</v>
      </c>
      <c r="K45">
        <v>2</v>
      </c>
      <c r="L45">
        <v>4</v>
      </c>
      <c r="M45" t="s">
        <v>476</v>
      </c>
      <c r="N45">
        <v>74</v>
      </c>
      <c r="O45">
        <v>137</v>
      </c>
      <c r="P45">
        <v>10</v>
      </c>
      <c r="Q45" t="s">
        <v>477</v>
      </c>
      <c r="R45" t="s">
        <v>478</v>
      </c>
      <c r="S45">
        <v>19</v>
      </c>
      <c r="T45">
        <v>0</v>
      </c>
      <c r="U45" t="s">
        <v>52</v>
      </c>
      <c r="V45" t="s">
        <v>479</v>
      </c>
      <c r="W45" t="s">
        <v>54</v>
      </c>
      <c r="X45" t="s">
        <v>54</v>
      </c>
      <c r="Y45" t="s">
        <v>54</v>
      </c>
      <c r="Z45" t="s">
        <v>54</v>
      </c>
      <c r="AA45" t="s">
        <v>54</v>
      </c>
      <c r="AB45" t="s">
        <v>54</v>
      </c>
      <c r="AC45" t="s">
        <v>54</v>
      </c>
      <c r="AD45" t="s">
        <v>54</v>
      </c>
      <c r="AE45" t="s">
        <v>54</v>
      </c>
      <c r="AF45" t="s">
        <v>54</v>
      </c>
      <c r="AG45" t="s">
        <v>54</v>
      </c>
      <c r="AH45" t="s">
        <v>54</v>
      </c>
      <c r="AI45" t="s">
        <v>54</v>
      </c>
      <c r="AJ45" t="s">
        <v>54</v>
      </c>
      <c r="AK45" t="s">
        <v>54</v>
      </c>
      <c r="AL45" t="s">
        <v>54</v>
      </c>
      <c r="AM45" t="s">
        <v>54</v>
      </c>
      <c r="AN45" t="s">
        <v>54</v>
      </c>
      <c r="AO45" t="s">
        <v>54</v>
      </c>
      <c r="AP45" t="s">
        <v>54</v>
      </c>
      <c r="AQ45" t="s">
        <v>54</v>
      </c>
    </row>
    <row r="46" spans="1:43" x14ac:dyDescent="0.25">
      <c r="A46" t="s">
        <v>480</v>
      </c>
      <c r="B46">
        <v>188</v>
      </c>
      <c r="C46">
        <v>128</v>
      </c>
      <c r="D46" t="s">
        <v>481</v>
      </c>
      <c r="E46" t="s">
        <v>482</v>
      </c>
      <c r="F46" t="s">
        <v>483</v>
      </c>
      <c r="G46" t="s">
        <v>484</v>
      </c>
      <c r="H46" t="s">
        <v>485</v>
      </c>
      <c r="I46" t="s">
        <v>486</v>
      </c>
      <c r="J46">
        <v>2</v>
      </c>
      <c r="K46">
        <v>5</v>
      </c>
      <c r="L46">
        <v>4</v>
      </c>
      <c r="M46" t="s">
        <v>487</v>
      </c>
      <c r="N46">
        <v>91</v>
      </c>
      <c r="O46">
        <v>190</v>
      </c>
      <c r="P46">
        <v>10</v>
      </c>
      <c r="Q46" t="s">
        <v>488</v>
      </c>
      <c r="R46" t="s">
        <v>489</v>
      </c>
      <c r="S46">
        <v>25</v>
      </c>
      <c r="T46">
        <v>0</v>
      </c>
      <c r="U46" t="s">
        <v>52</v>
      </c>
      <c r="V46" t="s">
        <v>490</v>
      </c>
      <c r="W46" t="s">
        <v>54</v>
      </c>
      <c r="X46" t="s">
        <v>54</v>
      </c>
      <c r="Y46" t="s">
        <v>54</v>
      </c>
      <c r="Z46" t="s">
        <v>54</v>
      </c>
      <c r="AA46" t="s">
        <v>54</v>
      </c>
      <c r="AB46" t="s">
        <v>54</v>
      </c>
      <c r="AC46" t="s">
        <v>54</v>
      </c>
      <c r="AD46" t="s">
        <v>54</v>
      </c>
      <c r="AE46" t="s">
        <v>54</v>
      </c>
      <c r="AF46" t="s">
        <v>54</v>
      </c>
      <c r="AG46" t="s">
        <v>54</v>
      </c>
      <c r="AH46" t="s">
        <v>54</v>
      </c>
      <c r="AI46" t="s">
        <v>54</v>
      </c>
      <c r="AJ46" t="s">
        <v>54</v>
      </c>
      <c r="AK46" t="s">
        <v>54</v>
      </c>
      <c r="AL46" t="s">
        <v>54</v>
      </c>
      <c r="AM46" t="s">
        <v>54</v>
      </c>
      <c r="AN46" t="s">
        <v>54</v>
      </c>
      <c r="AO46" t="s">
        <v>54</v>
      </c>
      <c r="AP46" t="s">
        <v>54</v>
      </c>
      <c r="AQ46" t="s">
        <v>54</v>
      </c>
    </row>
    <row r="47" spans="1:43" x14ac:dyDescent="0.25">
      <c r="A47" t="s">
        <v>491</v>
      </c>
      <c r="B47">
        <v>163</v>
      </c>
      <c r="C47">
        <v>122</v>
      </c>
      <c r="D47" t="s">
        <v>492</v>
      </c>
      <c r="E47" t="s">
        <v>493</v>
      </c>
      <c r="F47" t="s">
        <v>494</v>
      </c>
      <c r="G47" t="s">
        <v>495</v>
      </c>
      <c r="H47" t="s">
        <v>496</v>
      </c>
      <c r="I47" t="s">
        <v>496</v>
      </c>
      <c r="J47">
        <v>3</v>
      </c>
      <c r="K47">
        <v>3</v>
      </c>
      <c r="L47">
        <v>4</v>
      </c>
      <c r="M47" t="s">
        <v>497</v>
      </c>
      <c r="N47">
        <v>106</v>
      </c>
      <c r="O47">
        <v>164</v>
      </c>
      <c r="P47">
        <v>19</v>
      </c>
      <c r="Q47" t="s">
        <v>498</v>
      </c>
      <c r="R47" t="s">
        <v>499</v>
      </c>
      <c r="S47">
        <v>13</v>
      </c>
      <c r="T47">
        <v>0</v>
      </c>
      <c r="U47" t="s">
        <v>52</v>
      </c>
      <c r="V47" t="s">
        <v>500</v>
      </c>
      <c r="W47" t="s">
        <v>54</v>
      </c>
      <c r="X47" t="s">
        <v>54</v>
      </c>
      <c r="Y47" t="s">
        <v>54</v>
      </c>
      <c r="Z47" t="s">
        <v>54</v>
      </c>
      <c r="AA47" t="s">
        <v>54</v>
      </c>
      <c r="AB47" t="s">
        <v>54</v>
      </c>
      <c r="AC47" t="s">
        <v>54</v>
      </c>
      <c r="AD47" t="s">
        <v>54</v>
      </c>
      <c r="AE47" t="s">
        <v>54</v>
      </c>
      <c r="AF47" t="s">
        <v>54</v>
      </c>
      <c r="AG47" t="s">
        <v>54</v>
      </c>
      <c r="AH47" t="s">
        <v>54</v>
      </c>
      <c r="AI47" t="s">
        <v>54</v>
      </c>
      <c r="AJ47" t="s">
        <v>54</v>
      </c>
      <c r="AK47" t="s">
        <v>54</v>
      </c>
      <c r="AL47" t="s">
        <v>54</v>
      </c>
      <c r="AM47" t="s">
        <v>54</v>
      </c>
      <c r="AN47" t="s">
        <v>54</v>
      </c>
      <c r="AO47" t="s">
        <v>54</v>
      </c>
      <c r="AP47" t="s">
        <v>54</v>
      </c>
      <c r="AQ47" t="s">
        <v>54</v>
      </c>
    </row>
    <row r="48" spans="1:43" x14ac:dyDescent="0.25">
      <c r="A48" t="s">
        <v>501</v>
      </c>
      <c r="B48">
        <v>143</v>
      </c>
      <c r="C48">
        <v>108</v>
      </c>
      <c r="D48" t="s">
        <v>502</v>
      </c>
      <c r="E48" t="s">
        <v>503</v>
      </c>
      <c r="F48" t="s">
        <v>504</v>
      </c>
      <c r="G48" t="s">
        <v>505</v>
      </c>
      <c r="H48" t="s">
        <v>52</v>
      </c>
      <c r="I48" t="s">
        <v>506</v>
      </c>
      <c r="J48">
        <v>0</v>
      </c>
      <c r="K48">
        <v>1</v>
      </c>
      <c r="L48">
        <v>3</v>
      </c>
      <c r="M48" t="s">
        <v>507</v>
      </c>
      <c r="N48">
        <v>84</v>
      </c>
      <c r="O48">
        <v>143</v>
      </c>
      <c r="P48">
        <v>21</v>
      </c>
      <c r="Q48" t="s">
        <v>508</v>
      </c>
      <c r="R48" t="s">
        <v>509</v>
      </c>
      <c r="S48">
        <v>13</v>
      </c>
      <c r="T48">
        <v>0</v>
      </c>
      <c r="U48" t="s">
        <v>52</v>
      </c>
      <c r="V48" t="s">
        <v>510</v>
      </c>
      <c r="W48" t="s">
        <v>54</v>
      </c>
      <c r="X48" t="s">
        <v>54</v>
      </c>
      <c r="Y48" t="s">
        <v>54</v>
      </c>
      <c r="Z48" t="s">
        <v>54</v>
      </c>
      <c r="AA48" t="s">
        <v>54</v>
      </c>
      <c r="AB48" t="s">
        <v>54</v>
      </c>
      <c r="AC48" t="s">
        <v>54</v>
      </c>
      <c r="AD48" t="s">
        <v>54</v>
      </c>
      <c r="AE48" t="s">
        <v>54</v>
      </c>
      <c r="AF48" t="s">
        <v>54</v>
      </c>
      <c r="AG48" t="s">
        <v>54</v>
      </c>
      <c r="AH48" t="s">
        <v>54</v>
      </c>
      <c r="AI48" t="s">
        <v>54</v>
      </c>
      <c r="AJ48" t="s">
        <v>54</v>
      </c>
      <c r="AK48" t="s">
        <v>54</v>
      </c>
      <c r="AL48" t="s">
        <v>54</v>
      </c>
      <c r="AM48" t="s">
        <v>54</v>
      </c>
      <c r="AN48" t="s">
        <v>54</v>
      </c>
      <c r="AO48" t="s">
        <v>54</v>
      </c>
      <c r="AP48" t="s">
        <v>54</v>
      </c>
      <c r="AQ48" t="s">
        <v>54</v>
      </c>
    </row>
    <row r="49" spans="1:43" x14ac:dyDescent="0.25">
      <c r="A49" t="s">
        <v>511</v>
      </c>
      <c r="W49" t="s">
        <v>512</v>
      </c>
      <c r="X49" t="s">
        <v>513</v>
      </c>
      <c r="Y49" t="s">
        <v>514</v>
      </c>
      <c r="Z49" t="s">
        <v>515</v>
      </c>
      <c r="AA49" t="s">
        <v>516</v>
      </c>
      <c r="AB49" t="s">
        <v>517</v>
      </c>
      <c r="AC49" t="s">
        <v>518</v>
      </c>
      <c r="AD49" t="s">
        <v>519</v>
      </c>
      <c r="AE49" t="s">
        <v>520</v>
      </c>
      <c r="AF49" t="s">
        <v>521</v>
      </c>
      <c r="AG49" t="s">
        <v>520</v>
      </c>
      <c r="AH49" t="s">
        <v>522</v>
      </c>
      <c r="AI49" t="s">
        <v>523</v>
      </c>
      <c r="AJ49" t="s">
        <v>524</v>
      </c>
      <c r="AK49" t="s">
        <v>525</v>
      </c>
      <c r="AL49" t="s">
        <v>526</v>
      </c>
      <c r="AM49" t="s">
        <v>527</v>
      </c>
      <c r="AN49" t="s">
        <v>528</v>
      </c>
      <c r="AO49" t="s">
        <v>529</v>
      </c>
      <c r="AP49" t="s">
        <v>52</v>
      </c>
      <c r="AQ49" t="s">
        <v>530</v>
      </c>
    </row>
    <row r="50" spans="1:43" x14ac:dyDescent="0.25">
      <c r="A50" t="s">
        <v>531</v>
      </c>
      <c r="B50">
        <v>138</v>
      </c>
      <c r="C50">
        <v>100</v>
      </c>
      <c r="D50" t="s">
        <v>532</v>
      </c>
      <c r="E50" t="s">
        <v>533</v>
      </c>
      <c r="F50" t="s">
        <v>534</v>
      </c>
      <c r="G50" t="s">
        <v>535</v>
      </c>
      <c r="H50" t="s">
        <v>536</v>
      </c>
      <c r="I50" t="s">
        <v>536</v>
      </c>
      <c r="J50">
        <v>2</v>
      </c>
      <c r="K50">
        <v>2</v>
      </c>
      <c r="L50">
        <v>3</v>
      </c>
      <c r="M50" t="s">
        <v>537</v>
      </c>
      <c r="N50">
        <v>76</v>
      </c>
      <c r="O50">
        <v>139</v>
      </c>
      <c r="P50">
        <v>13</v>
      </c>
      <c r="Q50" t="s">
        <v>538</v>
      </c>
      <c r="R50" t="s">
        <v>539</v>
      </c>
      <c r="S50">
        <v>17</v>
      </c>
      <c r="T50">
        <v>0</v>
      </c>
      <c r="U50" t="s">
        <v>52</v>
      </c>
      <c r="V50" t="s">
        <v>540</v>
      </c>
      <c r="W50" t="s">
        <v>54</v>
      </c>
      <c r="X50" t="s">
        <v>54</v>
      </c>
      <c r="Y50" t="s">
        <v>54</v>
      </c>
      <c r="Z50" t="s">
        <v>54</v>
      </c>
      <c r="AA50" t="s">
        <v>54</v>
      </c>
      <c r="AB50" t="s">
        <v>54</v>
      </c>
      <c r="AC50" t="s">
        <v>54</v>
      </c>
      <c r="AD50" t="s">
        <v>54</v>
      </c>
      <c r="AE50" t="s">
        <v>54</v>
      </c>
      <c r="AF50" t="s">
        <v>54</v>
      </c>
      <c r="AG50" t="s">
        <v>54</v>
      </c>
      <c r="AH50" t="s">
        <v>54</v>
      </c>
      <c r="AI50" t="s">
        <v>54</v>
      </c>
      <c r="AJ50" t="s">
        <v>54</v>
      </c>
      <c r="AK50" t="s">
        <v>54</v>
      </c>
      <c r="AL50" t="s">
        <v>54</v>
      </c>
      <c r="AM50" t="s">
        <v>54</v>
      </c>
      <c r="AN50" t="s">
        <v>54</v>
      </c>
      <c r="AO50" t="s">
        <v>54</v>
      </c>
      <c r="AP50" t="s">
        <v>54</v>
      </c>
      <c r="AQ50" t="s">
        <v>54</v>
      </c>
    </row>
    <row r="51" spans="1:43" x14ac:dyDescent="0.25">
      <c r="A51" t="s">
        <v>541</v>
      </c>
      <c r="B51">
        <v>156</v>
      </c>
      <c r="C51">
        <v>95</v>
      </c>
      <c r="D51" t="s">
        <v>542</v>
      </c>
      <c r="E51" t="s">
        <v>543</v>
      </c>
      <c r="F51" t="s">
        <v>544</v>
      </c>
      <c r="G51" t="s">
        <v>545</v>
      </c>
      <c r="H51" t="s">
        <v>52</v>
      </c>
      <c r="I51" t="s">
        <v>228</v>
      </c>
      <c r="J51">
        <v>0</v>
      </c>
      <c r="K51">
        <v>1</v>
      </c>
      <c r="L51">
        <v>2</v>
      </c>
      <c r="M51" t="s">
        <v>546</v>
      </c>
      <c r="N51">
        <v>84</v>
      </c>
      <c r="O51">
        <v>156</v>
      </c>
      <c r="P51">
        <v>7</v>
      </c>
      <c r="Q51" t="s">
        <v>230</v>
      </c>
      <c r="R51" t="s">
        <v>547</v>
      </c>
      <c r="S51">
        <v>24</v>
      </c>
      <c r="T51">
        <v>0</v>
      </c>
      <c r="U51" t="s">
        <v>52</v>
      </c>
      <c r="V51" t="s">
        <v>548</v>
      </c>
      <c r="W51" t="s">
        <v>54</v>
      </c>
      <c r="X51" t="s">
        <v>54</v>
      </c>
      <c r="Y51" t="s">
        <v>54</v>
      </c>
      <c r="Z51" t="s">
        <v>54</v>
      </c>
      <c r="AA51" t="s">
        <v>54</v>
      </c>
      <c r="AB51" t="s">
        <v>54</v>
      </c>
      <c r="AC51" t="s">
        <v>54</v>
      </c>
      <c r="AD51" t="s">
        <v>54</v>
      </c>
      <c r="AE51" t="s">
        <v>54</v>
      </c>
      <c r="AF51" t="s">
        <v>54</v>
      </c>
      <c r="AG51" t="s">
        <v>54</v>
      </c>
      <c r="AH51" t="s">
        <v>54</v>
      </c>
      <c r="AI51" t="s">
        <v>54</v>
      </c>
      <c r="AJ51" t="s">
        <v>54</v>
      </c>
      <c r="AK51" t="s">
        <v>54</v>
      </c>
      <c r="AL51" t="s">
        <v>54</v>
      </c>
      <c r="AM51" t="s">
        <v>54</v>
      </c>
      <c r="AN51" t="s">
        <v>54</v>
      </c>
      <c r="AO51" t="s">
        <v>54</v>
      </c>
      <c r="AP51" t="s">
        <v>54</v>
      </c>
      <c r="AQ51" t="s">
        <v>54</v>
      </c>
    </row>
    <row r="52" spans="1:43" x14ac:dyDescent="0.25">
      <c r="A52" t="s">
        <v>549</v>
      </c>
      <c r="B52">
        <v>157</v>
      </c>
      <c r="C52">
        <v>113</v>
      </c>
      <c r="D52" t="s">
        <v>550</v>
      </c>
      <c r="E52" t="s">
        <v>551</v>
      </c>
      <c r="F52" t="s">
        <v>552</v>
      </c>
      <c r="G52" t="s">
        <v>553</v>
      </c>
      <c r="H52" t="s">
        <v>52</v>
      </c>
      <c r="I52" t="s">
        <v>52</v>
      </c>
      <c r="J52">
        <v>0</v>
      </c>
      <c r="K52">
        <v>0</v>
      </c>
      <c r="L52">
        <v>3</v>
      </c>
      <c r="M52" t="s">
        <v>554</v>
      </c>
      <c r="N52">
        <v>76</v>
      </c>
      <c r="O52">
        <v>159</v>
      </c>
      <c r="P52">
        <v>9</v>
      </c>
      <c r="Q52" t="s">
        <v>555</v>
      </c>
      <c r="R52" t="s">
        <v>556</v>
      </c>
      <c r="S52">
        <v>19</v>
      </c>
      <c r="T52">
        <v>0</v>
      </c>
      <c r="U52" t="s">
        <v>52</v>
      </c>
      <c r="V52" t="s">
        <v>557</v>
      </c>
      <c r="W52" t="s">
        <v>54</v>
      </c>
      <c r="X52" t="s">
        <v>54</v>
      </c>
      <c r="Y52" t="s">
        <v>54</v>
      </c>
      <c r="Z52" t="s">
        <v>54</v>
      </c>
      <c r="AA52" t="s">
        <v>54</v>
      </c>
      <c r="AB52" t="s">
        <v>54</v>
      </c>
      <c r="AC52" t="s">
        <v>54</v>
      </c>
      <c r="AD52" t="s">
        <v>54</v>
      </c>
      <c r="AE52" t="s">
        <v>54</v>
      </c>
      <c r="AF52" t="s">
        <v>54</v>
      </c>
      <c r="AG52" t="s">
        <v>54</v>
      </c>
      <c r="AH52" t="s">
        <v>54</v>
      </c>
      <c r="AI52" t="s">
        <v>54</v>
      </c>
      <c r="AJ52" t="s">
        <v>54</v>
      </c>
      <c r="AK52" t="s">
        <v>54</v>
      </c>
      <c r="AL52" t="s">
        <v>54</v>
      </c>
      <c r="AM52" t="s">
        <v>54</v>
      </c>
      <c r="AN52" t="s">
        <v>54</v>
      </c>
      <c r="AO52" t="s">
        <v>54</v>
      </c>
      <c r="AP52" t="s">
        <v>54</v>
      </c>
      <c r="AQ52" t="s">
        <v>54</v>
      </c>
    </row>
    <row r="53" spans="1:43" x14ac:dyDescent="0.25">
      <c r="A53" t="s">
        <v>558</v>
      </c>
      <c r="B53">
        <v>161</v>
      </c>
      <c r="C53">
        <v>113</v>
      </c>
      <c r="D53" t="s">
        <v>559</v>
      </c>
      <c r="E53" t="s">
        <v>560</v>
      </c>
      <c r="F53" t="s">
        <v>561</v>
      </c>
      <c r="G53" t="s">
        <v>562</v>
      </c>
      <c r="H53" t="s">
        <v>563</v>
      </c>
      <c r="I53" t="s">
        <v>564</v>
      </c>
      <c r="J53">
        <v>2</v>
      </c>
      <c r="K53">
        <v>6</v>
      </c>
      <c r="L53">
        <v>1</v>
      </c>
      <c r="M53" t="s">
        <v>565</v>
      </c>
      <c r="N53">
        <v>97</v>
      </c>
      <c r="O53">
        <v>161</v>
      </c>
      <c r="P53">
        <v>7</v>
      </c>
      <c r="Q53" t="s">
        <v>528</v>
      </c>
      <c r="R53" t="s">
        <v>566</v>
      </c>
      <c r="S53">
        <v>26</v>
      </c>
      <c r="T53">
        <v>0</v>
      </c>
      <c r="U53" t="s">
        <v>52</v>
      </c>
      <c r="V53" t="s">
        <v>567</v>
      </c>
      <c r="W53" t="s">
        <v>54</v>
      </c>
      <c r="X53" t="s">
        <v>54</v>
      </c>
      <c r="Y53" t="s">
        <v>54</v>
      </c>
      <c r="Z53" t="s">
        <v>54</v>
      </c>
      <c r="AA53" t="s">
        <v>54</v>
      </c>
      <c r="AB53" t="s">
        <v>54</v>
      </c>
      <c r="AC53" t="s">
        <v>54</v>
      </c>
      <c r="AD53" t="s">
        <v>54</v>
      </c>
      <c r="AE53" t="s">
        <v>54</v>
      </c>
      <c r="AF53" t="s">
        <v>54</v>
      </c>
      <c r="AG53" t="s">
        <v>54</v>
      </c>
      <c r="AH53" t="s">
        <v>54</v>
      </c>
      <c r="AI53" t="s">
        <v>54</v>
      </c>
      <c r="AJ53" t="s">
        <v>54</v>
      </c>
      <c r="AK53" t="s">
        <v>54</v>
      </c>
      <c r="AL53" t="s">
        <v>54</v>
      </c>
      <c r="AM53" t="s">
        <v>54</v>
      </c>
      <c r="AN53" t="s">
        <v>54</v>
      </c>
      <c r="AO53" t="s">
        <v>54</v>
      </c>
      <c r="AP53" t="s">
        <v>54</v>
      </c>
      <c r="AQ53" t="s">
        <v>54</v>
      </c>
    </row>
    <row r="54" spans="1:43" x14ac:dyDescent="0.25">
      <c r="A54" t="s">
        <v>568</v>
      </c>
      <c r="B54">
        <v>228</v>
      </c>
      <c r="C54">
        <v>148</v>
      </c>
      <c r="D54" t="s">
        <v>65</v>
      </c>
      <c r="E54" t="s">
        <v>569</v>
      </c>
      <c r="F54" t="s">
        <v>100</v>
      </c>
      <c r="G54" t="s">
        <v>570</v>
      </c>
      <c r="H54" t="s">
        <v>571</v>
      </c>
      <c r="I54" t="s">
        <v>572</v>
      </c>
      <c r="J54">
        <v>9</v>
      </c>
      <c r="K54">
        <v>6</v>
      </c>
      <c r="L54">
        <v>3</v>
      </c>
      <c r="M54" t="s">
        <v>573</v>
      </c>
      <c r="N54">
        <v>122</v>
      </c>
      <c r="O54">
        <v>228</v>
      </c>
      <c r="P54">
        <v>13</v>
      </c>
      <c r="Q54" t="s">
        <v>574</v>
      </c>
      <c r="R54" t="s">
        <v>575</v>
      </c>
      <c r="S54">
        <v>42</v>
      </c>
      <c r="T54">
        <v>0</v>
      </c>
      <c r="U54" t="s">
        <v>52</v>
      </c>
      <c r="V54" t="s">
        <v>576</v>
      </c>
      <c r="W54" t="s">
        <v>54</v>
      </c>
      <c r="X54" t="s">
        <v>54</v>
      </c>
      <c r="Y54" t="s">
        <v>54</v>
      </c>
      <c r="Z54" t="s">
        <v>54</v>
      </c>
      <c r="AA54" t="s">
        <v>54</v>
      </c>
      <c r="AB54" t="s">
        <v>54</v>
      </c>
      <c r="AC54" t="s">
        <v>54</v>
      </c>
      <c r="AD54" t="s">
        <v>54</v>
      </c>
      <c r="AE54" t="s">
        <v>54</v>
      </c>
      <c r="AF54" t="s">
        <v>54</v>
      </c>
      <c r="AG54" t="s">
        <v>54</v>
      </c>
      <c r="AH54" t="s">
        <v>54</v>
      </c>
      <c r="AI54" t="s">
        <v>54</v>
      </c>
      <c r="AJ54" t="s">
        <v>54</v>
      </c>
      <c r="AK54" t="s">
        <v>54</v>
      </c>
      <c r="AL54" t="s">
        <v>54</v>
      </c>
      <c r="AM54" t="s">
        <v>54</v>
      </c>
      <c r="AN54" t="s">
        <v>54</v>
      </c>
      <c r="AO54" t="s">
        <v>54</v>
      </c>
      <c r="AP54" t="s">
        <v>54</v>
      </c>
      <c r="AQ54" t="s">
        <v>54</v>
      </c>
    </row>
    <row r="55" spans="1:43" x14ac:dyDescent="0.25">
      <c r="A55" t="s">
        <v>577</v>
      </c>
      <c r="B55">
        <v>153</v>
      </c>
      <c r="C55">
        <v>109</v>
      </c>
      <c r="D55" t="s">
        <v>578</v>
      </c>
      <c r="E55" t="s">
        <v>579</v>
      </c>
      <c r="F55" t="s">
        <v>580</v>
      </c>
      <c r="G55" t="s">
        <v>581</v>
      </c>
      <c r="H55" t="s">
        <v>582</v>
      </c>
      <c r="I55" t="s">
        <v>583</v>
      </c>
      <c r="J55">
        <v>5</v>
      </c>
      <c r="K55">
        <v>2</v>
      </c>
      <c r="L55">
        <v>1</v>
      </c>
      <c r="M55" t="s">
        <v>584</v>
      </c>
      <c r="N55">
        <v>72</v>
      </c>
      <c r="O55">
        <v>153</v>
      </c>
      <c r="P55">
        <v>11</v>
      </c>
      <c r="Q55" t="s">
        <v>585</v>
      </c>
      <c r="R55" t="s">
        <v>586</v>
      </c>
      <c r="S55">
        <v>28</v>
      </c>
      <c r="T55">
        <v>0</v>
      </c>
      <c r="U55" t="s">
        <v>52</v>
      </c>
      <c r="V55" t="s">
        <v>587</v>
      </c>
      <c r="W55" t="s">
        <v>54</v>
      </c>
      <c r="X55" t="s">
        <v>54</v>
      </c>
      <c r="Y55" t="s">
        <v>54</v>
      </c>
      <c r="Z55" t="s">
        <v>54</v>
      </c>
      <c r="AA55" t="s">
        <v>54</v>
      </c>
      <c r="AB55" t="s">
        <v>54</v>
      </c>
      <c r="AC55" t="s">
        <v>54</v>
      </c>
      <c r="AD55" t="s">
        <v>54</v>
      </c>
      <c r="AE55" t="s">
        <v>54</v>
      </c>
      <c r="AF55" t="s">
        <v>54</v>
      </c>
      <c r="AG55" t="s">
        <v>54</v>
      </c>
      <c r="AH55" t="s">
        <v>54</v>
      </c>
      <c r="AI55" t="s">
        <v>54</v>
      </c>
      <c r="AJ55" t="s">
        <v>54</v>
      </c>
      <c r="AK55" t="s">
        <v>54</v>
      </c>
      <c r="AL55" t="s">
        <v>54</v>
      </c>
      <c r="AM55" t="s">
        <v>54</v>
      </c>
      <c r="AN55" t="s">
        <v>54</v>
      </c>
      <c r="AO55" t="s">
        <v>54</v>
      </c>
      <c r="AP55" t="s">
        <v>54</v>
      </c>
      <c r="AQ55" t="s">
        <v>54</v>
      </c>
    </row>
    <row r="56" spans="1:43" x14ac:dyDescent="0.25">
      <c r="A56" t="s">
        <v>588</v>
      </c>
      <c r="B56">
        <v>224</v>
      </c>
      <c r="C56">
        <v>141</v>
      </c>
      <c r="D56" t="s">
        <v>589</v>
      </c>
      <c r="E56" t="s">
        <v>590</v>
      </c>
      <c r="F56" t="s">
        <v>591</v>
      </c>
      <c r="G56" t="s">
        <v>592</v>
      </c>
      <c r="H56" t="s">
        <v>593</v>
      </c>
      <c r="I56" t="s">
        <v>594</v>
      </c>
      <c r="J56">
        <v>4</v>
      </c>
      <c r="K56">
        <v>1</v>
      </c>
      <c r="L56">
        <v>3</v>
      </c>
      <c r="M56" t="s">
        <v>595</v>
      </c>
      <c r="N56">
        <v>114</v>
      </c>
      <c r="O56">
        <v>224</v>
      </c>
      <c r="P56">
        <v>18</v>
      </c>
      <c r="Q56" t="s">
        <v>596</v>
      </c>
      <c r="R56" t="s">
        <v>597</v>
      </c>
      <c r="S56">
        <v>28</v>
      </c>
      <c r="T56">
        <v>0</v>
      </c>
      <c r="U56" t="s">
        <v>52</v>
      </c>
      <c r="V56" t="s">
        <v>598</v>
      </c>
      <c r="W56" t="s">
        <v>54</v>
      </c>
      <c r="X56" t="s">
        <v>54</v>
      </c>
      <c r="Y56" t="s">
        <v>54</v>
      </c>
      <c r="Z56" t="s">
        <v>54</v>
      </c>
      <c r="AA56" t="s">
        <v>54</v>
      </c>
      <c r="AB56" t="s">
        <v>54</v>
      </c>
      <c r="AC56" t="s">
        <v>54</v>
      </c>
      <c r="AD56" t="s">
        <v>54</v>
      </c>
      <c r="AE56" t="s">
        <v>54</v>
      </c>
      <c r="AF56" t="s">
        <v>54</v>
      </c>
      <c r="AG56" t="s">
        <v>54</v>
      </c>
      <c r="AH56" t="s">
        <v>54</v>
      </c>
      <c r="AI56" t="s">
        <v>54</v>
      </c>
      <c r="AJ56" t="s">
        <v>54</v>
      </c>
      <c r="AK56" t="s">
        <v>54</v>
      </c>
      <c r="AL56" t="s">
        <v>54</v>
      </c>
      <c r="AM56" t="s">
        <v>54</v>
      </c>
      <c r="AN56" t="s">
        <v>54</v>
      </c>
      <c r="AO56" t="s">
        <v>54</v>
      </c>
      <c r="AP56" t="s">
        <v>54</v>
      </c>
      <c r="AQ56" t="s">
        <v>54</v>
      </c>
    </row>
    <row r="57" spans="1:43" x14ac:dyDescent="0.25">
      <c r="A57" t="s">
        <v>599</v>
      </c>
      <c r="B57">
        <v>150</v>
      </c>
      <c r="C57">
        <v>69</v>
      </c>
      <c r="D57" t="s">
        <v>600</v>
      </c>
      <c r="E57" t="s">
        <v>601</v>
      </c>
      <c r="F57" t="s">
        <v>602</v>
      </c>
      <c r="G57" t="s">
        <v>603</v>
      </c>
      <c r="H57" t="s">
        <v>52</v>
      </c>
      <c r="I57" t="s">
        <v>604</v>
      </c>
      <c r="J57">
        <v>0</v>
      </c>
      <c r="K57">
        <v>11</v>
      </c>
      <c r="L57">
        <v>4</v>
      </c>
      <c r="M57" t="s">
        <v>605</v>
      </c>
      <c r="N57">
        <v>93</v>
      </c>
      <c r="O57">
        <v>149</v>
      </c>
      <c r="P57">
        <v>16</v>
      </c>
      <c r="Q57" t="s">
        <v>606</v>
      </c>
      <c r="R57" t="s">
        <v>607</v>
      </c>
      <c r="S57">
        <v>28</v>
      </c>
      <c r="T57">
        <v>0</v>
      </c>
      <c r="U57" t="s">
        <v>52</v>
      </c>
      <c r="V57" t="s">
        <v>608</v>
      </c>
      <c r="W57" t="s">
        <v>54</v>
      </c>
      <c r="X57" t="s">
        <v>54</v>
      </c>
      <c r="Y57" t="s">
        <v>54</v>
      </c>
      <c r="Z57" t="s">
        <v>54</v>
      </c>
      <c r="AA57" t="s">
        <v>54</v>
      </c>
      <c r="AB57" t="s">
        <v>54</v>
      </c>
      <c r="AC57" t="s">
        <v>54</v>
      </c>
      <c r="AD57" t="s">
        <v>54</v>
      </c>
      <c r="AE57" t="s">
        <v>54</v>
      </c>
      <c r="AF57" t="s">
        <v>54</v>
      </c>
      <c r="AG57" t="s">
        <v>54</v>
      </c>
      <c r="AH57" t="s">
        <v>54</v>
      </c>
      <c r="AI57" t="s">
        <v>54</v>
      </c>
      <c r="AJ57" t="s">
        <v>54</v>
      </c>
      <c r="AK57" t="s">
        <v>54</v>
      </c>
      <c r="AL57" t="s">
        <v>54</v>
      </c>
      <c r="AM57" t="s">
        <v>54</v>
      </c>
      <c r="AN57" t="s">
        <v>54</v>
      </c>
      <c r="AO57" t="s">
        <v>54</v>
      </c>
      <c r="AP57" t="s">
        <v>54</v>
      </c>
      <c r="AQ57" t="s">
        <v>54</v>
      </c>
    </row>
    <row r="58" spans="1:43" x14ac:dyDescent="0.25">
      <c r="A58" t="s">
        <v>609</v>
      </c>
      <c r="B58">
        <v>155</v>
      </c>
      <c r="C58">
        <v>113</v>
      </c>
      <c r="D58" t="s">
        <v>610</v>
      </c>
      <c r="E58" t="s">
        <v>611</v>
      </c>
      <c r="F58" t="s">
        <v>612</v>
      </c>
      <c r="G58" t="s">
        <v>613</v>
      </c>
      <c r="H58" t="s">
        <v>614</v>
      </c>
      <c r="I58" t="s">
        <v>615</v>
      </c>
      <c r="J58">
        <v>1</v>
      </c>
      <c r="K58">
        <v>2</v>
      </c>
      <c r="L58">
        <v>2</v>
      </c>
      <c r="M58" t="s">
        <v>616</v>
      </c>
      <c r="N58">
        <v>85</v>
      </c>
      <c r="O58">
        <v>157</v>
      </c>
      <c r="P58">
        <v>6</v>
      </c>
      <c r="Q58" t="s">
        <v>617</v>
      </c>
      <c r="R58" t="s">
        <v>618</v>
      </c>
      <c r="S58">
        <v>22</v>
      </c>
      <c r="T58">
        <v>0</v>
      </c>
      <c r="U58" t="s">
        <v>52</v>
      </c>
      <c r="V58" t="s">
        <v>619</v>
      </c>
      <c r="W58" t="s">
        <v>54</v>
      </c>
      <c r="X58" t="s">
        <v>54</v>
      </c>
      <c r="Y58" t="s">
        <v>54</v>
      </c>
      <c r="Z58" t="s">
        <v>54</v>
      </c>
      <c r="AA58" t="s">
        <v>54</v>
      </c>
      <c r="AB58" t="s">
        <v>54</v>
      </c>
      <c r="AC58" t="s">
        <v>54</v>
      </c>
      <c r="AD58" t="s">
        <v>54</v>
      </c>
      <c r="AE58" t="s">
        <v>54</v>
      </c>
      <c r="AF58" t="s">
        <v>54</v>
      </c>
      <c r="AG58" t="s">
        <v>54</v>
      </c>
      <c r="AH58" t="s">
        <v>54</v>
      </c>
      <c r="AI58" t="s">
        <v>54</v>
      </c>
      <c r="AJ58" t="s">
        <v>54</v>
      </c>
      <c r="AK58" t="s">
        <v>54</v>
      </c>
      <c r="AL58" t="s">
        <v>54</v>
      </c>
      <c r="AM58" t="s">
        <v>54</v>
      </c>
      <c r="AN58" t="s">
        <v>54</v>
      </c>
      <c r="AO58" t="s">
        <v>54</v>
      </c>
      <c r="AP58" t="s">
        <v>54</v>
      </c>
      <c r="AQ58" t="s">
        <v>54</v>
      </c>
    </row>
    <row r="59" spans="1:43" x14ac:dyDescent="0.25">
      <c r="A59" t="s">
        <v>620</v>
      </c>
      <c r="B59">
        <v>197</v>
      </c>
      <c r="C59">
        <v>116</v>
      </c>
      <c r="D59" t="s">
        <v>621</v>
      </c>
      <c r="E59" t="s">
        <v>622</v>
      </c>
      <c r="F59" t="s">
        <v>623</v>
      </c>
      <c r="G59" t="s">
        <v>624</v>
      </c>
      <c r="H59" t="s">
        <v>625</v>
      </c>
      <c r="I59" t="s">
        <v>626</v>
      </c>
      <c r="J59">
        <v>9</v>
      </c>
      <c r="K59">
        <v>7</v>
      </c>
      <c r="L59">
        <v>4</v>
      </c>
      <c r="M59" t="s">
        <v>627</v>
      </c>
      <c r="N59">
        <v>90</v>
      </c>
      <c r="O59">
        <v>197</v>
      </c>
      <c r="P59">
        <v>6</v>
      </c>
      <c r="Q59" t="s">
        <v>628</v>
      </c>
      <c r="R59" t="s">
        <v>94</v>
      </c>
      <c r="S59">
        <v>36</v>
      </c>
      <c r="T59">
        <v>0</v>
      </c>
      <c r="U59" t="s">
        <v>52</v>
      </c>
      <c r="V59" t="s">
        <v>629</v>
      </c>
      <c r="W59" t="s">
        <v>54</v>
      </c>
      <c r="X59" t="s">
        <v>54</v>
      </c>
      <c r="Y59" t="s">
        <v>54</v>
      </c>
      <c r="Z59" t="s">
        <v>54</v>
      </c>
      <c r="AA59" t="s">
        <v>54</v>
      </c>
      <c r="AB59" t="s">
        <v>54</v>
      </c>
      <c r="AC59" t="s">
        <v>54</v>
      </c>
      <c r="AD59" t="s">
        <v>54</v>
      </c>
      <c r="AE59" t="s">
        <v>54</v>
      </c>
      <c r="AF59" t="s">
        <v>54</v>
      </c>
      <c r="AG59" t="s">
        <v>54</v>
      </c>
      <c r="AH59" t="s">
        <v>54</v>
      </c>
      <c r="AI59" t="s">
        <v>54</v>
      </c>
      <c r="AJ59" t="s">
        <v>54</v>
      </c>
      <c r="AK59" t="s">
        <v>54</v>
      </c>
      <c r="AL59" t="s">
        <v>54</v>
      </c>
      <c r="AM59" t="s">
        <v>54</v>
      </c>
      <c r="AN59" t="s">
        <v>54</v>
      </c>
      <c r="AO59" t="s">
        <v>54</v>
      </c>
      <c r="AP59" t="s">
        <v>54</v>
      </c>
      <c r="AQ59" t="s">
        <v>54</v>
      </c>
    </row>
    <row r="60" spans="1:43" x14ac:dyDescent="0.25">
      <c r="A60" t="s">
        <v>630</v>
      </c>
      <c r="B60">
        <v>80</v>
      </c>
      <c r="C60">
        <v>62</v>
      </c>
      <c r="D60" t="s">
        <v>631</v>
      </c>
      <c r="E60" t="s">
        <v>632</v>
      </c>
      <c r="F60" t="s">
        <v>633</v>
      </c>
      <c r="G60" t="s">
        <v>634</v>
      </c>
      <c r="H60" t="s">
        <v>635</v>
      </c>
      <c r="I60" t="s">
        <v>636</v>
      </c>
      <c r="J60">
        <v>1</v>
      </c>
      <c r="K60">
        <v>5</v>
      </c>
      <c r="L60">
        <v>2</v>
      </c>
      <c r="M60" t="s">
        <v>637</v>
      </c>
      <c r="N60">
        <v>44</v>
      </c>
      <c r="O60">
        <v>80</v>
      </c>
      <c r="P60">
        <v>8</v>
      </c>
      <c r="Q60" t="s">
        <v>638</v>
      </c>
      <c r="R60" t="s">
        <v>607</v>
      </c>
      <c r="S60">
        <v>14</v>
      </c>
      <c r="T60">
        <v>0</v>
      </c>
      <c r="U60" t="s">
        <v>52</v>
      </c>
      <c r="V60" t="s">
        <v>639</v>
      </c>
      <c r="W60" t="s">
        <v>54</v>
      </c>
      <c r="X60" t="s">
        <v>54</v>
      </c>
      <c r="Y60" t="s">
        <v>54</v>
      </c>
      <c r="Z60" t="s">
        <v>54</v>
      </c>
      <c r="AA60" t="s">
        <v>54</v>
      </c>
      <c r="AB60" t="s">
        <v>54</v>
      </c>
      <c r="AC60" t="s">
        <v>54</v>
      </c>
      <c r="AD60" t="s">
        <v>54</v>
      </c>
      <c r="AE60" t="s">
        <v>54</v>
      </c>
      <c r="AF60" t="s">
        <v>54</v>
      </c>
      <c r="AG60" t="s">
        <v>54</v>
      </c>
      <c r="AH60" t="s">
        <v>54</v>
      </c>
      <c r="AI60" t="s">
        <v>54</v>
      </c>
      <c r="AJ60" t="s">
        <v>54</v>
      </c>
      <c r="AK60" t="s">
        <v>54</v>
      </c>
      <c r="AL60" t="s">
        <v>54</v>
      </c>
      <c r="AM60" t="s">
        <v>54</v>
      </c>
      <c r="AN60" t="s">
        <v>54</v>
      </c>
      <c r="AO60" t="s">
        <v>54</v>
      </c>
      <c r="AP60" t="s">
        <v>54</v>
      </c>
      <c r="AQ60" t="s">
        <v>54</v>
      </c>
    </row>
    <row r="61" spans="1:43" x14ac:dyDescent="0.25">
      <c r="A61" t="s">
        <v>640</v>
      </c>
      <c r="B61">
        <v>175</v>
      </c>
      <c r="C61">
        <v>118</v>
      </c>
      <c r="D61" t="s">
        <v>641</v>
      </c>
      <c r="E61" t="s">
        <v>642</v>
      </c>
      <c r="F61" t="s">
        <v>643</v>
      </c>
      <c r="G61" t="s">
        <v>644</v>
      </c>
      <c r="H61" t="s">
        <v>79</v>
      </c>
      <c r="I61" t="s">
        <v>645</v>
      </c>
      <c r="J61">
        <v>5</v>
      </c>
      <c r="K61">
        <v>1</v>
      </c>
      <c r="L61">
        <v>3</v>
      </c>
      <c r="M61" t="s">
        <v>646</v>
      </c>
      <c r="N61">
        <v>85</v>
      </c>
      <c r="O61">
        <v>177</v>
      </c>
      <c r="P61">
        <v>19</v>
      </c>
      <c r="Q61" t="s">
        <v>647</v>
      </c>
      <c r="R61" t="s">
        <v>648</v>
      </c>
      <c r="S61">
        <v>16</v>
      </c>
      <c r="T61">
        <v>0</v>
      </c>
      <c r="U61" t="s">
        <v>52</v>
      </c>
      <c r="V61" t="s">
        <v>649</v>
      </c>
      <c r="W61" t="s">
        <v>54</v>
      </c>
      <c r="X61" t="s">
        <v>54</v>
      </c>
      <c r="Y61" t="s">
        <v>54</v>
      </c>
      <c r="Z61" t="s">
        <v>54</v>
      </c>
      <c r="AA61" t="s">
        <v>54</v>
      </c>
      <c r="AB61" t="s">
        <v>54</v>
      </c>
      <c r="AC61" t="s">
        <v>54</v>
      </c>
      <c r="AD61" t="s">
        <v>54</v>
      </c>
      <c r="AE61" t="s">
        <v>54</v>
      </c>
      <c r="AF61" t="s">
        <v>54</v>
      </c>
      <c r="AG61" t="s">
        <v>54</v>
      </c>
      <c r="AH61" t="s">
        <v>54</v>
      </c>
      <c r="AI61" t="s">
        <v>54</v>
      </c>
      <c r="AJ61" t="s">
        <v>54</v>
      </c>
      <c r="AK61" t="s">
        <v>54</v>
      </c>
      <c r="AL61" t="s">
        <v>54</v>
      </c>
      <c r="AM61" t="s">
        <v>54</v>
      </c>
      <c r="AN61" t="s">
        <v>54</v>
      </c>
      <c r="AO61" t="s">
        <v>54</v>
      </c>
      <c r="AP61" t="s">
        <v>54</v>
      </c>
      <c r="AQ61" t="s">
        <v>54</v>
      </c>
    </row>
    <row r="62" spans="1:43" x14ac:dyDescent="0.25">
      <c r="A62" t="s">
        <v>650</v>
      </c>
      <c r="B62">
        <v>153</v>
      </c>
      <c r="C62">
        <v>107</v>
      </c>
      <c r="D62" t="s">
        <v>203</v>
      </c>
      <c r="E62" t="s">
        <v>651</v>
      </c>
      <c r="F62" t="s">
        <v>652</v>
      </c>
      <c r="G62" t="s">
        <v>653</v>
      </c>
      <c r="H62" t="s">
        <v>654</v>
      </c>
      <c r="I62" t="s">
        <v>655</v>
      </c>
      <c r="J62">
        <v>1</v>
      </c>
      <c r="K62">
        <v>7</v>
      </c>
      <c r="L62">
        <v>4</v>
      </c>
      <c r="M62" t="s">
        <v>656</v>
      </c>
      <c r="N62">
        <v>84</v>
      </c>
      <c r="O62">
        <v>151</v>
      </c>
      <c r="P62">
        <v>1</v>
      </c>
      <c r="Q62" t="s">
        <v>657</v>
      </c>
      <c r="R62" t="s">
        <v>658</v>
      </c>
      <c r="S62">
        <v>19</v>
      </c>
      <c r="T62">
        <v>0</v>
      </c>
      <c r="U62" t="s">
        <v>52</v>
      </c>
      <c r="V62" t="s">
        <v>659</v>
      </c>
      <c r="W62" t="s">
        <v>54</v>
      </c>
      <c r="X62" t="s">
        <v>54</v>
      </c>
      <c r="Y62" t="s">
        <v>54</v>
      </c>
      <c r="Z62" t="s">
        <v>54</v>
      </c>
      <c r="AA62" t="s">
        <v>54</v>
      </c>
      <c r="AB62" t="s">
        <v>54</v>
      </c>
      <c r="AC62" t="s">
        <v>54</v>
      </c>
      <c r="AD62" t="s">
        <v>54</v>
      </c>
      <c r="AE62" t="s">
        <v>54</v>
      </c>
      <c r="AF62" t="s">
        <v>54</v>
      </c>
      <c r="AG62" t="s">
        <v>54</v>
      </c>
      <c r="AH62" t="s">
        <v>54</v>
      </c>
      <c r="AI62" t="s">
        <v>54</v>
      </c>
      <c r="AJ62" t="s">
        <v>54</v>
      </c>
      <c r="AK62" t="s">
        <v>54</v>
      </c>
      <c r="AL62" t="s">
        <v>54</v>
      </c>
      <c r="AM62" t="s">
        <v>54</v>
      </c>
      <c r="AN62" t="s">
        <v>54</v>
      </c>
      <c r="AO62" t="s">
        <v>54</v>
      </c>
      <c r="AP62" t="s">
        <v>54</v>
      </c>
      <c r="AQ62" t="s">
        <v>54</v>
      </c>
    </row>
    <row r="63" spans="1:43" x14ac:dyDescent="0.25">
      <c r="A63" t="s">
        <v>660</v>
      </c>
      <c r="B63">
        <v>184</v>
      </c>
      <c r="C63">
        <v>123</v>
      </c>
      <c r="D63" t="s">
        <v>661</v>
      </c>
      <c r="E63" t="s">
        <v>662</v>
      </c>
      <c r="F63" t="s">
        <v>663</v>
      </c>
      <c r="G63" t="s">
        <v>664</v>
      </c>
      <c r="H63" t="s">
        <v>665</v>
      </c>
      <c r="I63" t="s">
        <v>666</v>
      </c>
      <c r="J63">
        <v>3</v>
      </c>
      <c r="K63">
        <v>4</v>
      </c>
      <c r="L63">
        <v>2</v>
      </c>
      <c r="M63" t="s">
        <v>667</v>
      </c>
      <c r="N63">
        <v>98</v>
      </c>
      <c r="O63">
        <v>184</v>
      </c>
      <c r="P63">
        <v>7</v>
      </c>
      <c r="Q63" t="s">
        <v>668</v>
      </c>
      <c r="R63" t="s">
        <v>209</v>
      </c>
      <c r="S63">
        <v>28</v>
      </c>
      <c r="T63">
        <v>0</v>
      </c>
      <c r="U63" t="s">
        <v>52</v>
      </c>
      <c r="V63" t="s">
        <v>669</v>
      </c>
      <c r="W63" t="s">
        <v>54</v>
      </c>
      <c r="X63" t="s">
        <v>54</v>
      </c>
      <c r="Y63" t="s">
        <v>54</v>
      </c>
      <c r="Z63" t="s">
        <v>54</v>
      </c>
      <c r="AA63" t="s">
        <v>54</v>
      </c>
      <c r="AB63" t="s">
        <v>54</v>
      </c>
      <c r="AC63" t="s">
        <v>54</v>
      </c>
      <c r="AD63" t="s">
        <v>54</v>
      </c>
      <c r="AE63" t="s">
        <v>54</v>
      </c>
      <c r="AF63" t="s">
        <v>54</v>
      </c>
      <c r="AG63" t="s">
        <v>54</v>
      </c>
      <c r="AH63" t="s">
        <v>54</v>
      </c>
      <c r="AI63" t="s">
        <v>54</v>
      </c>
      <c r="AJ63" t="s">
        <v>54</v>
      </c>
      <c r="AK63" t="s">
        <v>54</v>
      </c>
      <c r="AL63" t="s">
        <v>54</v>
      </c>
      <c r="AM63" t="s">
        <v>54</v>
      </c>
      <c r="AN63" t="s">
        <v>54</v>
      </c>
      <c r="AO63" t="s">
        <v>54</v>
      </c>
      <c r="AP63" t="s">
        <v>54</v>
      </c>
      <c r="AQ63" t="s">
        <v>54</v>
      </c>
    </row>
    <row r="64" spans="1:43" x14ac:dyDescent="0.25">
      <c r="A64" t="s">
        <v>670</v>
      </c>
      <c r="B64">
        <v>206</v>
      </c>
      <c r="C64">
        <v>133</v>
      </c>
      <c r="D64" t="s">
        <v>671</v>
      </c>
      <c r="E64" t="s">
        <v>672</v>
      </c>
      <c r="F64" t="s">
        <v>673</v>
      </c>
      <c r="G64" t="s">
        <v>674</v>
      </c>
      <c r="H64" t="s">
        <v>52</v>
      </c>
      <c r="I64" t="s">
        <v>334</v>
      </c>
      <c r="J64">
        <v>0</v>
      </c>
      <c r="K64">
        <v>2</v>
      </c>
      <c r="L64">
        <v>2</v>
      </c>
      <c r="M64" t="s">
        <v>675</v>
      </c>
      <c r="N64">
        <v>120</v>
      </c>
      <c r="O64">
        <v>205</v>
      </c>
      <c r="P64">
        <v>16</v>
      </c>
      <c r="Q64" t="s">
        <v>676</v>
      </c>
      <c r="R64" t="s">
        <v>677</v>
      </c>
      <c r="S64">
        <v>23</v>
      </c>
      <c r="T64">
        <v>0</v>
      </c>
      <c r="U64" t="s">
        <v>52</v>
      </c>
      <c r="V64" t="s">
        <v>678</v>
      </c>
      <c r="W64" t="s">
        <v>54</v>
      </c>
      <c r="X64" t="s">
        <v>54</v>
      </c>
      <c r="Y64" t="s">
        <v>54</v>
      </c>
      <c r="Z64" t="s">
        <v>54</v>
      </c>
      <c r="AA64" t="s">
        <v>54</v>
      </c>
      <c r="AB64" t="s">
        <v>54</v>
      </c>
      <c r="AC64" t="s">
        <v>54</v>
      </c>
      <c r="AD64" t="s">
        <v>54</v>
      </c>
      <c r="AE64" t="s">
        <v>54</v>
      </c>
      <c r="AF64" t="s">
        <v>54</v>
      </c>
      <c r="AG64" t="s">
        <v>54</v>
      </c>
      <c r="AH64" t="s">
        <v>54</v>
      </c>
      <c r="AI64" t="s">
        <v>54</v>
      </c>
      <c r="AJ64" t="s">
        <v>54</v>
      </c>
      <c r="AK64" t="s">
        <v>54</v>
      </c>
      <c r="AL64" t="s">
        <v>54</v>
      </c>
      <c r="AM64" t="s">
        <v>54</v>
      </c>
      <c r="AN64" t="s">
        <v>54</v>
      </c>
      <c r="AO64" t="s">
        <v>54</v>
      </c>
      <c r="AP64" t="s">
        <v>54</v>
      </c>
      <c r="AQ64" t="s">
        <v>54</v>
      </c>
    </row>
    <row r="65" spans="1:43" x14ac:dyDescent="0.25">
      <c r="A65" t="s">
        <v>679</v>
      </c>
      <c r="B65">
        <v>169</v>
      </c>
      <c r="C65">
        <v>103</v>
      </c>
      <c r="D65" t="s">
        <v>680</v>
      </c>
      <c r="E65" t="s">
        <v>681</v>
      </c>
      <c r="F65" t="s">
        <v>682</v>
      </c>
      <c r="G65" t="s">
        <v>683</v>
      </c>
      <c r="H65" t="s">
        <v>684</v>
      </c>
      <c r="I65" t="s">
        <v>685</v>
      </c>
      <c r="J65">
        <v>7</v>
      </c>
      <c r="K65">
        <v>1</v>
      </c>
      <c r="L65">
        <v>2</v>
      </c>
      <c r="M65" t="s">
        <v>686</v>
      </c>
      <c r="N65">
        <v>79</v>
      </c>
      <c r="O65">
        <v>171</v>
      </c>
      <c r="P65">
        <v>7</v>
      </c>
      <c r="Q65" t="s">
        <v>687</v>
      </c>
      <c r="R65" t="s">
        <v>547</v>
      </c>
      <c r="S65">
        <v>24</v>
      </c>
      <c r="T65">
        <v>0</v>
      </c>
      <c r="U65" t="s">
        <v>52</v>
      </c>
      <c r="V65" t="s">
        <v>688</v>
      </c>
      <c r="W65" t="s">
        <v>54</v>
      </c>
      <c r="X65" t="s">
        <v>54</v>
      </c>
      <c r="Y65" t="s">
        <v>54</v>
      </c>
      <c r="Z65" t="s">
        <v>54</v>
      </c>
      <c r="AA65" t="s">
        <v>54</v>
      </c>
      <c r="AB65" t="s">
        <v>54</v>
      </c>
      <c r="AC65" t="s">
        <v>54</v>
      </c>
      <c r="AD65" t="s">
        <v>54</v>
      </c>
      <c r="AE65" t="s">
        <v>54</v>
      </c>
      <c r="AF65" t="s">
        <v>54</v>
      </c>
      <c r="AG65" t="s">
        <v>54</v>
      </c>
      <c r="AH65" t="s">
        <v>54</v>
      </c>
      <c r="AI65" t="s">
        <v>54</v>
      </c>
      <c r="AJ65" t="s">
        <v>54</v>
      </c>
      <c r="AK65" t="s">
        <v>54</v>
      </c>
      <c r="AL65" t="s">
        <v>54</v>
      </c>
      <c r="AM65" t="s">
        <v>54</v>
      </c>
      <c r="AN65" t="s">
        <v>54</v>
      </c>
      <c r="AO65" t="s">
        <v>54</v>
      </c>
      <c r="AP65" t="s">
        <v>54</v>
      </c>
      <c r="AQ65" t="s">
        <v>54</v>
      </c>
    </row>
    <row r="66" spans="1:43" x14ac:dyDescent="0.25">
      <c r="A66" t="s">
        <v>689</v>
      </c>
      <c r="B66">
        <v>184</v>
      </c>
      <c r="C66">
        <v>121</v>
      </c>
      <c r="D66" t="s">
        <v>690</v>
      </c>
      <c r="E66" t="s">
        <v>691</v>
      </c>
      <c r="F66" t="s">
        <v>692</v>
      </c>
      <c r="G66" t="s">
        <v>693</v>
      </c>
      <c r="H66" t="s">
        <v>694</v>
      </c>
      <c r="I66" t="s">
        <v>695</v>
      </c>
      <c r="J66">
        <v>5</v>
      </c>
      <c r="K66">
        <v>2</v>
      </c>
      <c r="L66">
        <v>3</v>
      </c>
      <c r="M66" t="s">
        <v>667</v>
      </c>
      <c r="N66">
        <v>98</v>
      </c>
      <c r="O66">
        <v>184</v>
      </c>
      <c r="P66">
        <v>4</v>
      </c>
      <c r="Q66" t="s">
        <v>696</v>
      </c>
      <c r="R66" t="s">
        <v>697</v>
      </c>
      <c r="S66">
        <v>22</v>
      </c>
      <c r="T66">
        <v>0</v>
      </c>
      <c r="U66" t="s">
        <v>52</v>
      </c>
      <c r="V66" t="s">
        <v>698</v>
      </c>
      <c r="W66" t="s">
        <v>54</v>
      </c>
      <c r="X66" t="s">
        <v>54</v>
      </c>
      <c r="Y66" t="s">
        <v>54</v>
      </c>
      <c r="Z66" t="s">
        <v>54</v>
      </c>
      <c r="AA66" t="s">
        <v>54</v>
      </c>
      <c r="AB66" t="s">
        <v>54</v>
      </c>
      <c r="AC66" t="s">
        <v>54</v>
      </c>
      <c r="AD66" t="s">
        <v>54</v>
      </c>
      <c r="AE66" t="s">
        <v>54</v>
      </c>
      <c r="AF66" t="s">
        <v>54</v>
      </c>
      <c r="AG66" t="s">
        <v>54</v>
      </c>
      <c r="AH66" t="s">
        <v>54</v>
      </c>
      <c r="AI66" t="s">
        <v>54</v>
      </c>
      <c r="AJ66" t="s">
        <v>54</v>
      </c>
      <c r="AK66" t="s">
        <v>54</v>
      </c>
      <c r="AL66" t="s">
        <v>54</v>
      </c>
      <c r="AM66" t="s">
        <v>54</v>
      </c>
      <c r="AN66" t="s">
        <v>54</v>
      </c>
      <c r="AO66" t="s">
        <v>54</v>
      </c>
      <c r="AP66" t="s">
        <v>54</v>
      </c>
      <c r="AQ66" t="s">
        <v>54</v>
      </c>
    </row>
    <row r="67" spans="1:43" x14ac:dyDescent="0.25">
      <c r="A67" t="s">
        <v>699</v>
      </c>
      <c r="B67">
        <v>142</v>
      </c>
      <c r="C67">
        <v>103</v>
      </c>
      <c r="D67" t="s">
        <v>700</v>
      </c>
      <c r="E67" t="s">
        <v>701</v>
      </c>
      <c r="F67" t="s">
        <v>702</v>
      </c>
      <c r="G67" t="s">
        <v>703</v>
      </c>
      <c r="H67" t="s">
        <v>704</v>
      </c>
      <c r="I67" t="s">
        <v>52</v>
      </c>
      <c r="J67">
        <v>2</v>
      </c>
      <c r="K67">
        <v>0</v>
      </c>
      <c r="L67">
        <v>1</v>
      </c>
      <c r="M67" t="s">
        <v>705</v>
      </c>
      <c r="N67">
        <v>78</v>
      </c>
      <c r="O67">
        <v>143</v>
      </c>
      <c r="P67">
        <v>12</v>
      </c>
      <c r="Q67" t="s">
        <v>706</v>
      </c>
      <c r="R67" t="s">
        <v>436</v>
      </c>
      <c r="S67">
        <v>17</v>
      </c>
      <c r="T67">
        <v>0</v>
      </c>
      <c r="U67" t="s">
        <v>52</v>
      </c>
      <c r="V67" t="s">
        <v>707</v>
      </c>
      <c r="W67" t="s">
        <v>54</v>
      </c>
      <c r="X67" t="s">
        <v>54</v>
      </c>
      <c r="Y67" t="s">
        <v>54</v>
      </c>
      <c r="Z67" t="s">
        <v>54</v>
      </c>
      <c r="AA67" t="s">
        <v>54</v>
      </c>
      <c r="AB67" t="s">
        <v>54</v>
      </c>
      <c r="AC67" t="s">
        <v>54</v>
      </c>
      <c r="AD67" t="s">
        <v>54</v>
      </c>
      <c r="AE67" t="s">
        <v>54</v>
      </c>
      <c r="AF67" t="s">
        <v>54</v>
      </c>
      <c r="AG67" t="s">
        <v>54</v>
      </c>
      <c r="AH67" t="s">
        <v>54</v>
      </c>
      <c r="AI67" t="s">
        <v>54</v>
      </c>
      <c r="AJ67" t="s">
        <v>54</v>
      </c>
      <c r="AK67" t="s">
        <v>54</v>
      </c>
      <c r="AL67" t="s">
        <v>54</v>
      </c>
      <c r="AM67" t="s">
        <v>54</v>
      </c>
      <c r="AN67" t="s">
        <v>54</v>
      </c>
      <c r="AO67" t="s">
        <v>54</v>
      </c>
      <c r="AP67" t="s">
        <v>54</v>
      </c>
      <c r="AQ67" t="s">
        <v>54</v>
      </c>
    </row>
    <row r="68" spans="1:43" x14ac:dyDescent="0.25">
      <c r="A68" t="s">
        <v>708</v>
      </c>
      <c r="B68">
        <v>216</v>
      </c>
      <c r="C68">
        <v>152</v>
      </c>
      <c r="D68" t="s">
        <v>709</v>
      </c>
      <c r="E68" t="s">
        <v>710</v>
      </c>
      <c r="F68" t="s">
        <v>711</v>
      </c>
      <c r="G68" t="s">
        <v>712</v>
      </c>
      <c r="H68" t="s">
        <v>713</v>
      </c>
      <c r="I68" t="s">
        <v>714</v>
      </c>
      <c r="J68">
        <v>1</v>
      </c>
      <c r="K68">
        <v>3</v>
      </c>
      <c r="L68">
        <v>4</v>
      </c>
      <c r="M68" t="s">
        <v>715</v>
      </c>
      <c r="N68">
        <v>115</v>
      </c>
      <c r="O68">
        <v>215</v>
      </c>
      <c r="P68">
        <v>15</v>
      </c>
      <c r="Q68" t="s">
        <v>716</v>
      </c>
      <c r="R68" t="s">
        <v>717</v>
      </c>
      <c r="S68">
        <v>27</v>
      </c>
      <c r="T68">
        <v>0</v>
      </c>
      <c r="U68" t="s">
        <v>52</v>
      </c>
      <c r="V68" t="s">
        <v>718</v>
      </c>
      <c r="W68" t="s">
        <v>54</v>
      </c>
      <c r="X68" t="s">
        <v>54</v>
      </c>
      <c r="Y68" t="s">
        <v>54</v>
      </c>
      <c r="Z68" t="s">
        <v>54</v>
      </c>
      <c r="AA68" t="s">
        <v>54</v>
      </c>
      <c r="AB68" t="s">
        <v>54</v>
      </c>
      <c r="AC68" t="s">
        <v>54</v>
      </c>
      <c r="AD68" t="s">
        <v>54</v>
      </c>
      <c r="AE68" t="s">
        <v>54</v>
      </c>
      <c r="AF68" t="s">
        <v>54</v>
      </c>
      <c r="AG68" t="s">
        <v>54</v>
      </c>
      <c r="AH68" t="s">
        <v>54</v>
      </c>
      <c r="AI68" t="s">
        <v>54</v>
      </c>
      <c r="AJ68" t="s">
        <v>54</v>
      </c>
      <c r="AK68" t="s">
        <v>54</v>
      </c>
      <c r="AL68" t="s">
        <v>54</v>
      </c>
      <c r="AM68" t="s">
        <v>54</v>
      </c>
      <c r="AN68" t="s">
        <v>54</v>
      </c>
      <c r="AO68" t="s">
        <v>54</v>
      </c>
      <c r="AP68" t="s">
        <v>54</v>
      </c>
      <c r="AQ68" t="s">
        <v>54</v>
      </c>
    </row>
    <row r="69" spans="1:43" x14ac:dyDescent="0.25">
      <c r="A69" t="s">
        <v>719</v>
      </c>
      <c r="B69">
        <v>156</v>
      </c>
      <c r="C69">
        <v>117</v>
      </c>
      <c r="D69" t="s">
        <v>720</v>
      </c>
      <c r="E69" t="s">
        <v>721</v>
      </c>
      <c r="F69" t="s">
        <v>722</v>
      </c>
      <c r="G69" t="s">
        <v>723</v>
      </c>
      <c r="H69" t="s">
        <v>52</v>
      </c>
      <c r="I69" t="s">
        <v>133</v>
      </c>
      <c r="J69">
        <v>0</v>
      </c>
      <c r="K69">
        <v>4</v>
      </c>
      <c r="L69">
        <v>3</v>
      </c>
      <c r="M69" t="s">
        <v>724</v>
      </c>
      <c r="N69">
        <v>107</v>
      </c>
      <c r="O69">
        <v>156</v>
      </c>
      <c r="P69">
        <v>10</v>
      </c>
      <c r="Q69" t="s">
        <v>725</v>
      </c>
      <c r="R69" t="s">
        <v>726</v>
      </c>
      <c r="S69">
        <v>9</v>
      </c>
      <c r="T69">
        <v>0</v>
      </c>
      <c r="U69" t="s">
        <v>52</v>
      </c>
      <c r="V69" t="s">
        <v>727</v>
      </c>
      <c r="W69" t="s">
        <v>54</v>
      </c>
      <c r="X69" t="s">
        <v>54</v>
      </c>
      <c r="Y69" t="s">
        <v>54</v>
      </c>
      <c r="Z69" t="s">
        <v>54</v>
      </c>
      <c r="AA69" t="s">
        <v>54</v>
      </c>
      <c r="AB69" t="s">
        <v>54</v>
      </c>
      <c r="AC69" t="s">
        <v>54</v>
      </c>
      <c r="AD69" t="s">
        <v>54</v>
      </c>
      <c r="AE69" t="s">
        <v>54</v>
      </c>
      <c r="AF69" t="s">
        <v>54</v>
      </c>
      <c r="AG69" t="s">
        <v>54</v>
      </c>
      <c r="AH69" t="s">
        <v>54</v>
      </c>
      <c r="AI69" t="s">
        <v>54</v>
      </c>
      <c r="AJ69" t="s">
        <v>54</v>
      </c>
      <c r="AK69" t="s">
        <v>54</v>
      </c>
      <c r="AL69" t="s">
        <v>54</v>
      </c>
      <c r="AM69" t="s">
        <v>54</v>
      </c>
      <c r="AN69" t="s">
        <v>54</v>
      </c>
      <c r="AO69" t="s">
        <v>54</v>
      </c>
      <c r="AP69" t="s">
        <v>54</v>
      </c>
      <c r="AQ69" t="s">
        <v>54</v>
      </c>
    </row>
    <row r="70" spans="1:43" x14ac:dyDescent="0.25">
      <c r="A70" t="s">
        <v>728</v>
      </c>
      <c r="B70">
        <v>239</v>
      </c>
      <c r="C70">
        <v>144</v>
      </c>
      <c r="D70" t="s">
        <v>729</v>
      </c>
      <c r="E70" t="s">
        <v>730</v>
      </c>
      <c r="F70" t="s">
        <v>731</v>
      </c>
      <c r="G70" t="s">
        <v>732</v>
      </c>
      <c r="H70" t="s">
        <v>733</v>
      </c>
      <c r="I70" t="s">
        <v>734</v>
      </c>
      <c r="J70">
        <v>1</v>
      </c>
      <c r="K70">
        <v>3</v>
      </c>
      <c r="L70">
        <v>4</v>
      </c>
      <c r="M70" t="s">
        <v>735</v>
      </c>
      <c r="N70">
        <v>131</v>
      </c>
      <c r="O70">
        <v>239</v>
      </c>
      <c r="P70">
        <v>11</v>
      </c>
      <c r="Q70" t="s">
        <v>736</v>
      </c>
      <c r="R70" t="s">
        <v>737</v>
      </c>
      <c r="S70">
        <v>30</v>
      </c>
      <c r="T70">
        <v>0</v>
      </c>
      <c r="U70" t="s">
        <v>52</v>
      </c>
      <c r="V70" t="s">
        <v>738</v>
      </c>
      <c r="W70" t="s">
        <v>54</v>
      </c>
      <c r="X70" t="s">
        <v>54</v>
      </c>
      <c r="Y70" t="s">
        <v>54</v>
      </c>
      <c r="Z70" t="s">
        <v>54</v>
      </c>
      <c r="AA70" t="s">
        <v>54</v>
      </c>
      <c r="AB70" t="s">
        <v>54</v>
      </c>
      <c r="AC70" t="s">
        <v>54</v>
      </c>
      <c r="AD70" t="s">
        <v>54</v>
      </c>
      <c r="AE70" t="s">
        <v>54</v>
      </c>
      <c r="AF70" t="s">
        <v>54</v>
      </c>
      <c r="AG70" t="s">
        <v>54</v>
      </c>
      <c r="AH70" t="s">
        <v>54</v>
      </c>
      <c r="AI70" t="s">
        <v>54</v>
      </c>
      <c r="AJ70" t="s">
        <v>54</v>
      </c>
      <c r="AK70" t="s">
        <v>54</v>
      </c>
      <c r="AL70" t="s">
        <v>54</v>
      </c>
      <c r="AM70" t="s">
        <v>54</v>
      </c>
      <c r="AN70" t="s">
        <v>54</v>
      </c>
      <c r="AO70" t="s">
        <v>54</v>
      </c>
      <c r="AP70" t="s">
        <v>54</v>
      </c>
      <c r="AQ70" t="s">
        <v>54</v>
      </c>
    </row>
    <row r="71" spans="1:43" x14ac:dyDescent="0.25">
      <c r="A71" t="s">
        <v>739</v>
      </c>
      <c r="B71">
        <v>166</v>
      </c>
      <c r="C71">
        <v>104</v>
      </c>
      <c r="D71" t="s">
        <v>740</v>
      </c>
      <c r="E71" t="s">
        <v>741</v>
      </c>
      <c r="F71" t="s">
        <v>720</v>
      </c>
      <c r="G71" t="s">
        <v>742</v>
      </c>
      <c r="H71" t="s">
        <v>743</v>
      </c>
      <c r="I71" t="s">
        <v>744</v>
      </c>
      <c r="J71">
        <v>5</v>
      </c>
      <c r="K71">
        <v>7</v>
      </c>
      <c r="L71">
        <v>3</v>
      </c>
      <c r="M71" t="s">
        <v>745</v>
      </c>
      <c r="N71">
        <v>84</v>
      </c>
      <c r="O71">
        <v>166</v>
      </c>
      <c r="P71">
        <v>10</v>
      </c>
      <c r="Q71" t="s">
        <v>746</v>
      </c>
      <c r="R71" t="s">
        <v>717</v>
      </c>
      <c r="S71">
        <v>18</v>
      </c>
      <c r="T71">
        <v>0</v>
      </c>
      <c r="U71" t="s">
        <v>52</v>
      </c>
      <c r="V71" t="s">
        <v>747</v>
      </c>
      <c r="W71" t="s">
        <v>54</v>
      </c>
      <c r="X71" t="s">
        <v>54</v>
      </c>
      <c r="Y71" t="s">
        <v>54</v>
      </c>
      <c r="Z71" t="s">
        <v>54</v>
      </c>
      <c r="AA71" t="s">
        <v>54</v>
      </c>
      <c r="AB71" t="s">
        <v>54</v>
      </c>
      <c r="AC71" t="s">
        <v>54</v>
      </c>
      <c r="AD71" t="s">
        <v>54</v>
      </c>
      <c r="AE71" t="s">
        <v>54</v>
      </c>
      <c r="AF71" t="s">
        <v>54</v>
      </c>
      <c r="AG71" t="s">
        <v>54</v>
      </c>
      <c r="AH71" t="s">
        <v>54</v>
      </c>
      <c r="AI71" t="s">
        <v>54</v>
      </c>
      <c r="AJ71" t="s">
        <v>54</v>
      </c>
      <c r="AK71" t="s">
        <v>54</v>
      </c>
      <c r="AL71" t="s">
        <v>54</v>
      </c>
      <c r="AM71" t="s">
        <v>54</v>
      </c>
      <c r="AN71" t="s">
        <v>54</v>
      </c>
      <c r="AO71" t="s">
        <v>54</v>
      </c>
      <c r="AP71" t="s">
        <v>54</v>
      </c>
      <c r="AQ71" t="s">
        <v>54</v>
      </c>
    </row>
    <row r="72" spans="1:43" x14ac:dyDescent="0.25">
      <c r="A72" t="s">
        <v>748</v>
      </c>
      <c r="B72">
        <v>144</v>
      </c>
      <c r="C72">
        <v>107</v>
      </c>
      <c r="D72" t="s">
        <v>749</v>
      </c>
      <c r="E72" t="s">
        <v>750</v>
      </c>
      <c r="F72" t="s">
        <v>751</v>
      </c>
      <c r="G72" t="s">
        <v>752</v>
      </c>
      <c r="H72" t="s">
        <v>753</v>
      </c>
      <c r="I72" t="s">
        <v>753</v>
      </c>
      <c r="J72">
        <v>1</v>
      </c>
      <c r="K72">
        <v>1</v>
      </c>
      <c r="L72">
        <v>5</v>
      </c>
      <c r="M72" t="s">
        <v>754</v>
      </c>
      <c r="N72">
        <v>87</v>
      </c>
      <c r="O72">
        <v>144</v>
      </c>
      <c r="P72">
        <v>10</v>
      </c>
      <c r="Q72" t="s">
        <v>716</v>
      </c>
      <c r="R72" t="s">
        <v>755</v>
      </c>
      <c r="S72">
        <v>17</v>
      </c>
      <c r="T72">
        <v>0</v>
      </c>
      <c r="U72" t="s">
        <v>52</v>
      </c>
      <c r="V72" t="s">
        <v>756</v>
      </c>
      <c r="W72" t="s">
        <v>54</v>
      </c>
      <c r="X72" t="s">
        <v>54</v>
      </c>
      <c r="Y72" t="s">
        <v>54</v>
      </c>
      <c r="Z72" t="s">
        <v>54</v>
      </c>
      <c r="AA72" t="s">
        <v>54</v>
      </c>
      <c r="AB72" t="s">
        <v>54</v>
      </c>
      <c r="AC72" t="s">
        <v>54</v>
      </c>
      <c r="AD72" t="s">
        <v>54</v>
      </c>
      <c r="AE72" t="s">
        <v>54</v>
      </c>
      <c r="AF72" t="s">
        <v>54</v>
      </c>
      <c r="AG72" t="s">
        <v>54</v>
      </c>
      <c r="AH72" t="s">
        <v>54</v>
      </c>
      <c r="AI72" t="s">
        <v>54</v>
      </c>
      <c r="AJ72" t="s">
        <v>54</v>
      </c>
      <c r="AK72" t="s">
        <v>54</v>
      </c>
      <c r="AL72" t="s">
        <v>54</v>
      </c>
      <c r="AM72" t="s">
        <v>54</v>
      </c>
      <c r="AN72" t="s">
        <v>54</v>
      </c>
      <c r="AO72" t="s">
        <v>54</v>
      </c>
      <c r="AP72" t="s">
        <v>54</v>
      </c>
      <c r="AQ72" t="s">
        <v>54</v>
      </c>
    </row>
    <row r="73" spans="1:43" x14ac:dyDescent="0.25">
      <c r="A73" t="s">
        <v>757</v>
      </c>
      <c r="B73">
        <v>68</v>
      </c>
      <c r="C73">
        <v>38</v>
      </c>
      <c r="D73" t="s">
        <v>758</v>
      </c>
      <c r="E73" t="s">
        <v>759</v>
      </c>
      <c r="F73" t="s">
        <v>760</v>
      </c>
      <c r="G73" t="s">
        <v>761</v>
      </c>
      <c r="H73" t="s">
        <v>52</v>
      </c>
      <c r="I73" t="s">
        <v>52</v>
      </c>
      <c r="J73">
        <v>0</v>
      </c>
      <c r="K73">
        <v>0</v>
      </c>
      <c r="L73">
        <v>2</v>
      </c>
      <c r="M73" t="s">
        <v>762</v>
      </c>
      <c r="N73">
        <v>40</v>
      </c>
      <c r="O73">
        <v>68</v>
      </c>
      <c r="P73">
        <v>9</v>
      </c>
      <c r="Q73" t="s">
        <v>763</v>
      </c>
      <c r="R73" t="s">
        <v>764</v>
      </c>
      <c r="S73">
        <v>2</v>
      </c>
      <c r="T73">
        <v>0</v>
      </c>
      <c r="U73" t="s">
        <v>52</v>
      </c>
      <c r="V73" t="s">
        <v>765</v>
      </c>
      <c r="W73" t="s">
        <v>54</v>
      </c>
      <c r="X73" t="s">
        <v>54</v>
      </c>
      <c r="Y73" t="s">
        <v>54</v>
      </c>
      <c r="Z73" t="s">
        <v>54</v>
      </c>
      <c r="AA73" t="s">
        <v>54</v>
      </c>
      <c r="AB73" t="s">
        <v>54</v>
      </c>
      <c r="AC73" t="s">
        <v>54</v>
      </c>
      <c r="AD73" t="s">
        <v>54</v>
      </c>
      <c r="AE73" t="s">
        <v>54</v>
      </c>
      <c r="AF73" t="s">
        <v>54</v>
      </c>
      <c r="AG73" t="s">
        <v>54</v>
      </c>
      <c r="AH73" t="s">
        <v>54</v>
      </c>
      <c r="AI73" t="s">
        <v>54</v>
      </c>
      <c r="AJ73" t="s">
        <v>54</v>
      </c>
      <c r="AK73" t="s">
        <v>54</v>
      </c>
      <c r="AL73" t="s">
        <v>54</v>
      </c>
      <c r="AM73" t="s">
        <v>54</v>
      </c>
      <c r="AN73" t="s">
        <v>54</v>
      </c>
      <c r="AO73" t="s">
        <v>54</v>
      </c>
      <c r="AP73" t="s">
        <v>54</v>
      </c>
      <c r="AQ73" t="s">
        <v>54</v>
      </c>
    </row>
    <row r="74" spans="1:43" x14ac:dyDescent="0.25">
      <c r="A74" t="s">
        <v>766</v>
      </c>
      <c r="B74">
        <v>208</v>
      </c>
      <c r="C74">
        <v>135</v>
      </c>
      <c r="D74" t="s">
        <v>767</v>
      </c>
      <c r="E74" t="s">
        <v>768</v>
      </c>
      <c r="F74" t="s">
        <v>709</v>
      </c>
      <c r="G74" t="s">
        <v>769</v>
      </c>
      <c r="H74" t="s">
        <v>770</v>
      </c>
      <c r="I74" t="s">
        <v>771</v>
      </c>
      <c r="J74">
        <v>4</v>
      </c>
      <c r="K74">
        <v>14</v>
      </c>
      <c r="L74">
        <v>2</v>
      </c>
      <c r="M74" t="s">
        <v>772</v>
      </c>
      <c r="N74">
        <v>107</v>
      </c>
      <c r="O74">
        <v>209</v>
      </c>
      <c r="P74">
        <v>8</v>
      </c>
      <c r="Q74" t="s">
        <v>773</v>
      </c>
      <c r="R74" t="s">
        <v>774</v>
      </c>
      <c r="S74">
        <v>34</v>
      </c>
      <c r="T74">
        <v>0</v>
      </c>
      <c r="U74" t="s">
        <v>52</v>
      </c>
      <c r="V74" t="s">
        <v>775</v>
      </c>
      <c r="W74" t="s">
        <v>54</v>
      </c>
      <c r="X74" t="s">
        <v>54</v>
      </c>
      <c r="Y74" t="s">
        <v>54</v>
      </c>
      <c r="Z74" t="s">
        <v>54</v>
      </c>
      <c r="AA74" t="s">
        <v>54</v>
      </c>
      <c r="AB74" t="s">
        <v>54</v>
      </c>
      <c r="AC74" t="s">
        <v>54</v>
      </c>
      <c r="AD74" t="s">
        <v>54</v>
      </c>
      <c r="AE74" t="s">
        <v>54</v>
      </c>
      <c r="AF74" t="s">
        <v>54</v>
      </c>
      <c r="AG74" t="s">
        <v>54</v>
      </c>
      <c r="AH74" t="s">
        <v>54</v>
      </c>
      <c r="AI74" t="s">
        <v>54</v>
      </c>
      <c r="AJ74" t="s">
        <v>54</v>
      </c>
      <c r="AK74" t="s">
        <v>54</v>
      </c>
      <c r="AL74" t="s">
        <v>54</v>
      </c>
      <c r="AM74" t="s">
        <v>54</v>
      </c>
      <c r="AN74" t="s">
        <v>54</v>
      </c>
      <c r="AO74" t="s">
        <v>54</v>
      </c>
      <c r="AP74" t="s">
        <v>54</v>
      </c>
      <c r="AQ74" t="s">
        <v>54</v>
      </c>
    </row>
    <row r="75" spans="1:43" x14ac:dyDescent="0.25">
      <c r="A75" t="s">
        <v>776</v>
      </c>
      <c r="B75">
        <v>175</v>
      </c>
      <c r="C75">
        <v>121</v>
      </c>
      <c r="D75" t="s">
        <v>777</v>
      </c>
      <c r="E75" t="s">
        <v>778</v>
      </c>
      <c r="F75" t="s">
        <v>779</v>
      </c>
      <c r="G75" t="s">
        <v>780</v>
      </c>
      <c r="H75" t="s">
        <v>80</v>
      </c>
      <c r="I75" t="s">
        <v>79</v>
      </c>
      <c r="J75">
        <v>2</v>
      </c>
      <c r="K75">
        <v>5</v>
      </c>
      <c r="L75">
        <v>3</v>
      </c>
      <c r="M75" t="s">
        <v>781</v>
      </c>
      <c r="N75">
        <v>83</v>
      </c>
      <c r="O75">
        <v>175</v>
      </c>
      <c r="P75">
        <v>8</v>
      </c>
      <c r="Q75" t="s">
        <v>782</v>
      </c>
      <c r="R75" t="s">
        <v>783</v>
      </c>
      <c r="S75">
        <v>25</v>
      </c>
      <c r="T75">
        <v>0</v>
      </c>
      <c r="U75" t="s">
        <v>52</v>
      </c>
      <c r="V75" t="s">
        <v>784</v>
      </c>
      <c r="W75" t="s">
        <v>54</v>
      </c>
      <c r="X75" t="s">
        <v>54</v>
      </c>
      <c r="Y75" t="s">
        <v>54</v>
      </c>
      <c r="Z75" t="s">
        <v>54</v>
      </c>
      <c r="AA75" t="s">
        <v>54</v>
      </c>
      <c r="AB75" t="s">
        <v>54</v>
      </c>
      <c r="AC75" t="s">
        <v>54</v>
      </c>
      <c r="AD75" t="s">
        <v>54</v>
      </c>
      <c r="AE75" t="s">
        <v>54</v>
      </c>
      <c r="AF75" t="s">
        <v>54</v>
      </c>
      <c r="AG75" t="s">
        <v>54</v>
      </c>
      <c r="AH75" t="s">
        <v>54</v>
      </c>
      <c r="AI75" t="s">
        <v>54</v>
      </c>
      <c r="AJ75" t="s">
        <v>54</v>
      </c>
      <c r="AK75" t="s">
        <v>54</v>
      </c>
      <c r="AL75" t="s">
        <v>54</v>
      </c>
      <c r="AM75" t="s">
        <v>54</v>
      </c>
      <c r="AN75" t="s">
        <v>54</v>
      </c>
      <c r="AO75" t="s">
        <v>54</v>
      </c>
      <c r="AP75" t="s">
        <v>54</v>
      </c>
      <c r="AQ75" t="s">
        <v>54</v>
      </c>
    </row>
    <row r="76" spans="1:43" x14ac:dyDescent="0.25">
      <c r="A76" t="s">
        <v>785</v>
      </c>
      <c r="B76">
        <v>148</v>
      </c>
      <c r="C76">
        <v>103</v>
      </c>
      <c r="D76" t="s">
        <v>786</v>
      </c>
      <c r="E76" t="s">
        <v>787</v>
      </c>
      <c r="F76" t="s">
        <v>330</v>
      </c>
      <c r="G76" t="s">
        <v>788</v>
      </c>
      <c r="H76" t="s">
        <v>52</v>
      </c>
      <c r="I76" t="s">
        <v>52</v>
      </c>
      <c r="J76">
        <v>0</v>
      </c>
      <c r="K76">
        <v>0</v>
      </c>
      <c r="L76">
        <v>3</v>
      </c>
      <c r="M76" t="s">
        <v>434</v>
      </c>
      <c r="N76">
        <v>87</v>
      </c>
      <c r="O76">
        <v>149</v>
      </c>
      <c r="P76">
        <v>9</v>
      </c>
      <c r="Q76" t="s">
        <v>789</v>
      </c>
      <c r="R76" t="s">
        <v>790</v>
      </c>
      <c r="S76">
        <v>20</v>
      </c>
      <c r="T76">
        <v>0</v>
      </c>
      <c r="U76" t="s">
        <v>52</v>
      </c>
      <c r="V76" t="s">
        <v>791</v>
      </c>
      <c r="W76" t="s">
        <v>54</v>
      </c>
      <c r="X76" t="s">
        <v>54</v>
      </c>
      <c r="Y76" t="s">
        <v>54</v>
      </c>
      <c r="Z76" t="s">
        <v>54</v>
      </c>
      <c r="AA76" t="s">
        <v>54</v>
      </c>
      <c r="AB76" t="s">
        <v>54</v>
      </c>
      <c r="AC76" t="s">
        <v>54</v>
      </c>
      <c r="AD76" t="s">
        <v>54</v>
      </c>
      <c r="AE76" t="s">
        <v>54</v>
      </c>
      <c r="AF76" t="s">
        <v>54</v>
      </c>
      <c r="AG76" t="s">
        <v>54</v>
      </c>
      <c r="AH76" t="s">
        <v>54</v>
      </c>
      <c r="AI76" t="s">
        <v>54</v>
      </c>
      <c r="AJ76" t="s">
        <v>54</v>
      </c>
      <c r="AK76" t="s">
        <v>54</v>
      </c>
      <c r="AL76" t="s">
        <v>54</v>
      </c>
      <c r="AM76" t="s">
        <v>54</v>
      </c>
      <c r="AN76" t="s">
        <v>54</v>
      </c>
      <c r="AO76" t="s">
        <v>54</v>
      </c>
      <c r="AP76" t="s">
        <v>54</v>
      </c>
      <c r="AQ76" t="s">
        <v>54</v>
      </c>
    </row>
    <row r="77" spans="1:43" x14ac:dyDescent="0.25">
      <c r="A77" t="s">
        <v>792</v>
      </c>
      <c r="B77">
        <v>203</v>
      </c>
      <c r="C77">
        <v>132</v>
      </c>
      <c r="D77" t="s">
        <v>793</v>
      </c>
      <c r="E77" t="s">
        <v>794</v>
      </c>
      <c r="F77" t="s">
        <v>795</v>
      </c>
      <c r="G77" t="s">
        <v>796</v>
      </c>
      <c r="H77" t="s">
        <v>797</v>
      </c>
      <c r="I77" t="s">
        <v>798</v>
      </c>
      <c r="J77">
        <v>6</v>
      </c>
      <c r="K77">
        <v>1</v>
      </c>
      <c r="L77">
        <v>1</v>
      </c>
      <c r="M77" t="s">
        <v>799</v>
      </c>
      <c r="N77">
        <v>112</v>
      </c>
      <c r="O77">
        <v>206</v>
      </c>
      <c r="P77">
        <v>7</v>
      </c>
      <c r="Q77" t="s">
        <v>800</v>
      </c>
      <c r="R77" t="s">
        <v>801</v>
      </c>
      <c r="S77">
        <v>27</v>
      </c>
      <c r="T77">
        <v>0</v>
      </c>
      <c r="U77" t="s">
        <v>52</v>
      </c>
      <c r="V77" t="s">
        <v>802</v>
      </c>
      <c r="W77" t="s">
        <v>54</v>
      </c>
      <c r="X77" t="s">
        <v>54</v>
      </c>
      <c r="Y77" t="s">
        <v>54</v>
      </c>
      <c r="Z77" t="s">
        <v>54</v>
      </c>
      <c r="AA77" t="s">
        <v>54</v>
      </c>
      <c r="AB77" t="s">
        <v>54</v>
      </c>
      <c r="AC77" t="s">
        <v>54</v>
      </c>
      <c r="AD77" t="s">
        <v>54</v>
      </c>
      <c r="AE77" t="s">
        <v>54</v>
      </c>
      <c r="AF77" t="s">
        <v>54</v>
      </c>
      <c r="AG77" t="s">
        <v>54</v>
      </c>
      <c r="AH77" t="s">
        <v>54</v>
      </c>
      <c r="AI77" t="s">
        <v>54</v>
      </c>
      <c r="AJ77" t="s">
        <v>54</v>
      </c>
      <c r="AK77" t="s">
        <v>54</v>
      </c>
      <c r="AL77" t="s">
        <v>54</v>
      </c>
      <c r="AM77" t="s">
        <v>54</v>
      </c>
      <c r="AN77" t="s">
        <v>54</v>
      </c>
      <c r="AO77" t="s">
        <v>54</v>
      </c>
      <c r="AP77" t="s">
        <v>54</v>
      </c>
      <c r="AQ77" t="s">
        <v>54</v>
      </c>
    </row>
    <row r="78" spans="1:43" x14ac:dyDescent="0.25">
      <c r="A78" t="s">
        <v>803</v>
      </c>
      <c r="B78">
        <v>218</v>
      </c>
      <c r="C78">
        <v>139</v>
      </c>
      <c r="D78" t="s">
        <v>804</v>
      </c>
      <c r="E78" t="s">
        <v>805</v>
      </c>
      <c r="F78" t="s">
        <v>806</v>
      </c>
      <c r="G78" t="s">
        <v>807</v>
      </c>
      <c r="H78" t="s">
        <v>808</v>
      </c>
      <c r="I78" t="s">
        <v>809</v>
      </c>
      <c r="J78">
        <v>2</v>
      </c>
      <c r="K78">
        <v>3</v>
      </c>
      <c r="L78">
        <v>2</v>
      </c>
      <c r="M78" t="s">
        <v>810</v>
      </c>
      <c r="N78">
        <v>123</v>
      </c>
      <c r="O78">
        <v>218</v>
      </c>
      <c r="P78">
        <v>28</v>
      </c>
      <c r="Q78" t="s">
        <v>811</v>
      </c>
      <c r="R78" t="s">
        <v>812</v>
      </c>
      <c r="S78">
        <v>18</v>
      </c>
      <c r="T78">
        <v>0</v>
      </c>
      <c r="U78" t="s">
        <v>52</v>
      </c>
      <c r="V78" t="s">
        <v>813</v>
      </c>
      <c r="W78" t="s">
        <v>54</v>
      </c>
      <c r="X78" t="s">
        <v>54</v>
      </c>
      <c r="Y78" t="s">
        <v>54</v>
      </c>
      <c r="Z78" t="s">
        <v>54</v>
      </c>
      <c r="AA78" t="s">
        <v>54</v>
      </c>
      <c r="AB78" t="s">
        <v>54</v>
      </c>
      <c r="AC78" t="s">
        <v>54</v>
      </c>
      <c r="AD78" t="s">
        <v>54</v>
      </c>
      <c r="AE78" t="s">
        <v>54</v>
      </c>
      <c r="AF78" t="s">
        <v>54</v>
      </c>
      <c r="AG78" t="s">
        <v>54</v>
      </c>
      <c r="AH78" t="s">
        <v>54</v>
      </c>
      <c r="AI78" t="s">
        <v>54</v>
      </c>
      <c r="AJ78" t="s">
        <v>54</v>
      </c>
      <c r="AK78" t="s">
        <v>54</v>
      </c>
      <c r="AL78" t="s">
        <v>54</v>
      </c>
      <c r="AM78" t="s">
        <v>54</v>
      </c>
      <c r="AN78" t="s">
        <v>54</v>
      </c>
      <c r="AO78" t="s">
        <v>54</v>
      </c>
      <c r="AP78" t="s">
        <v>54</v>
      </c>
      <c r="AQ78" t="s">
        <v>54</v>
      </c>
    </row>
    <row r="79" spans="1:43" x14ac:dyDescent="0.25">
      <c r="A79" t="s">
        <v>814</v>
      </c>
      <c r="B79">
        <v>176</v>
      </c>
      <c r="C79">
        <v>100</v>
      </c>
      <c r="D79" t="s">
        <v>815</v>
      </c>
      <c r="E79" t="s">
        <v>345</v>
      </c>
      <c r="F79" t="s">
        <v>816</v>
      </c>
      <c r="G79" t="s">
        <v>817</v>
      </c>
      <c r="H79" t="s">
        <v>818</v>
      </c>
      <c r="I79" t="s">
        <v>819</v>
      </c>
      <c r="J79">
        <v>6</v>
      </c>
      <c r="K79">
        <v>7</v>
      </c>
      <c r="L79">
        <v>5</v>
      </c>
      <c r="M79" t="s">
        <v>820</v>
      </c>
      <c r="N79">
        <v>83</v>
      </c>
      <c r="O79">
        <v>176</v>
      </c>
      <c r="P79">
        <v>8</v>
      </c>
      <c r="Q79" t="s">
        <v>821</v>
      </c>
      <c r="R79" t="s">
        <v>209</v>
      </c>
      <c r="S79">
        <v>32</v>
      </c>
      <c r="T79">
        <v>0</v>
      </c>
      <c r="U79" t="s">
        <v>52</v>
      </c>
      <c r="V79" t="s">
        <v>822</v>
      </c>
      <c r="W79" t="s">
        <v>54</v>
      </c>
      <c r="X79" t="s">
        <v>54</v>
      </c>
      <c r="Y79" t="s">
        <v>54</v>
      </c>
      <c r="Z79" t="s">
        <v>54</v>
      </c>
      <c r="AA79" t="s">
        <v>54</v>
      </c>
      <c r="AB79" t="s">
        <v>54</v>
      </c>
      <c r="AC79" t="s">
        <v>54</v>
      </c>
      <c r="AD79" t="s">
        <v>54</v>
      </c>
      <c r="AE79" t="s">
        <v>54</v>
      </c>
      <c r="AF79" t="s">
        <v>54</v>
      </c>
      <c r="AG79" t="s">
        <v>54</v>
      </c>
      <c r="AH79" t="s">
        <v>54</v>
      </c>
      <c r="AI79" t="s">
        <v>54</v>
      </c>
      <c r="AJ79" t="s">
        <v>54</v>
      </c>
      <c r="AK79" t="s">
        <v>54</v>
      </c>
      <c r="AL79" t="s">
        <v>54</v>
      </c>
      <c r="AM79" t="s">
        <v>54</v>
      </c>
      <c r="AN79" t="s">
        <v>54</v>
      </c>
      <c r="AO79" t="s">
        <v>54</v>
      </c>
      <c r="AP79" t="s">
        <v>54</v>
      </c>
      <c r="AQ79" t="s">
        <v>54</v>
      </c>
    </row>
    <row r="80" spans="1:43" x14ac:dyDescent="0.25">
      <c r="A80" t="s">
        <v>823</v>
      </c>
      <c r="B80">
        <v>226</v>
      </c>
      <c r="C80">
        <v>155</v>
      </c>
      <c r="D80" t="s">
        <v>824</v>
      </c>
      <c r="E80" t="s">
        <v>825</v>
      </c>
      <c r="F80" t="s">
        <v>826</v>
      </c>
      <c r="G80" t="s">
        <v>827</v>
      </c>
      <c r="H80" t="s">
        <v>828</v>
      </c>
      <c r="I80" t="s">
        <v>829</v>
      </c>
      <c r="J80">
        <v>4</v>
      </c>
      <c r="K80">
        <v>8</v>
      </c>
      <c r="L80">
        <v>4</v>
      </c>
      <c r="M80" t="s">
        <v>830</v>
      </c>
      <c r="N80">
        <v>126</v>
      </c>
      <c r="O80">
        <v>227</v>
      </c>
      <c r="P80">
        <v>14</v>
      </c>
      <c r="Q80" t="s">
        <v>831</v>
      </c>
      <c r="R80" t="s">
        <v>832</v>
      </c>
      <c r="S80">
        <v>40</v>
      </c>
      <c r="T80">
        <v>0</v>
      </c>
      <c r="U80" t="s">
        <v>52</v>
      </c>
      <c r="V80" t="s">
        <v>833</v>
      </c>
      <c r="W80" t="s">
        <v>54</v>
      </c>
      <c r="X80" t="s">
        <v>54</v>
      </c>
      <c r="Y80" t="s">
        <v>54</v>
      </c>
      <c r="Z80" t="s">
        <v>54</v>
      </c>
      <c r="AA80" t="s">
        <v>54</v>
      </c>
      <c r="AB80" t="s">
        <v>54</v>
      </c>
      <c r="AC80" t="s">
        <v>54</v>
      </c>
      <c r="AD80" t="s">
        <v>54</v>
      </c>
      <c r="AE80" t="s">
        <v>54</v>
      </c>
      <c r="AF80" t="s">
        <v>54</v>
      </c>
      <c r="AG80" t="s">
        <v>54</v>
      </c>
      <c r="AH80" t="s">
        <v>54</v>
      </c>
      <c r="AI80" t="s">
        <v>54</v>
      </c>
      <c r="AJ80" t="s">
        <v>54</v>
      </c>
      <c r="AK80" t="s">
        <v>54</v>
      </c>
      <c r="AL80" t="s">
        <v>54</v>
      </c>
      <c r="AM80" t="s">
        <v>54</v>
      </c>
      <c r="AN80" t="s">
        <v>54</v>
      </c>
      <c r="AO80" t="s">
        <v>54</v>
      </c>
      <c r="AP80" t="s">
        <v>54</v>
      </c>
      <c r="AQ80" t="s">
        <v>54</v>
      </c>
    </row>
    <row r="81" spans="1:43" x14ac:dyDescent="0.25">
      <c r="A81" t="s">
        <v>834</v>
      </c>
      <c r="B81">
        <v>196</v>
      </c>
      <c r="C81">
        <v>142</v>
      </c>
      <c r="D81" t="s">
        <v>835</v>
      </c>
      <c r="E81" t="s">
        <v>836</v>
      </c>
      <c r="F81" t="s">
        <v>837</v>
      </c>
      <c r="G81" t="s">
        <v>838</v>
      </c>
      <c r="H81" t="s">
        <v>839</v>
      </c>
      <c r="I81" t="s">
        <v>518</v>
      </c>
      <c r="J81">
        <v>6</v>
      </c>
      <c r="K81">
        <v>4</v>
      </c>
      <c r="L81">
        <v>2</v>
      </c>
      <c r="M81" t="s">
        <v>840</v>
      </c>
      <c r="N81">
        <v>109</v>
      </c>
      <c r="O81">
        <v>197</v>
      </c>
      <c r="P81">
        <v>13</v>
      </c>
      <c r="Q81" t="s">
        <v>841</v>
      </c>
      <c r="R81" t="s">
        <v>842</v>
      </c>
      <c r="S81">
        <v>22</v>
      </c>
      <c r="T81">
        <v>0</v>
      </c>
      <c r="U81" t="s">
        <v>52</v>
      </c>
      <c r="V81" t="s">
        <v>843</v>
      </c>
      <c r="W81" t="s">
        <v>54</v>
      </c>
      <c r="X81" t="s">
        <v>54</v>
      </c>
      <c r="Y81" t="s">
        <v>54</v>
      </c>
      <c r="Z81" t="s">
        <v>54</v>
      </c>
      <c r="AA81" t="s">
        <v>54</v>
      </c>
      <c r="AB81" t="s">
        <v>54</v>
      </c>
      <c r="AC81" t="s">
        <v>54</v>
      </c>
      <c r="AD81" t="s">
        <v>54</v>
      </c>
      <c r="AE81" t="s">
        <v>54</v>
      </c>
      <c r="AF81" t="s">
        <v>54</v>
      </c>
      <c r="AG81" t="s">
        <v>54</v>
      </c>
      <c r="AH81" t="s">
        <v>54</v>
      </c>
      <c r="AI81" t="s">
        <v>54</v>
      </c>
      <c r="AJ81" t="s">
        <v>54</v>
      </c>
      <c r="AK81" t="s">
        <v>54</v>
      </c>
      <c r="AL81" t="s">
        <v>54</v>
      </c>
      <c r="AM81" t="s">
        <v>54</v>
      </c>
      <c r="AN81" t="s">
        <v>54</v>
      </c>
      <c r="AO81" t="s">
        <v>54</v>
      </c>
      <c r="AP81" t="s">
        <v>54</v>
      </c>
      <c r="AQ81" t="s">
        <v>54</v>
      </c>
    </row>
    <row r="82" spans="1:43" x14ac:dyDescent="0.25">
      <c r="A82" t="s">
        <v>844</v>
      </c>
      <c r="B82">
        <v>270</v>
      </c>
      <c r="C82">
        <v>143</v>
      </c>
      <c r="D82" t="s">
        <v>845</v>
      </c>
      <c r="E82" t="s">
        <v>846</v>
      </c>
      <c r="F82" t="s">
        <v>847</v>
      </c>
      <c r="G82" t="s">
        <v>848</v>
      </c>
      <c r="H82" t="s">
        <v>849</v>
      </c>
      <c r="I82" t="s">
        <v>850</v>
      </c>
      <c r="J82">
        <v>6</v>
      </c>
      <c r="K82">
        <v>19</v>
      </c>
      <c r="L82">
        <v>2</v>
      </c>
      <c r="M82" t="s">
        <v>851</v>
      </c>
      <c r="N82">
        <v>124</v>
      </c>
      <c r="O82">
        <v>270</v>
      </c>
      <c r="P82">
        <v>12</v>
      </c>
      <c r="Q82" t="s">
        <v>852</v>
      </c>
      <c r="R82" t="s">
        <v>157</v>
      </c>
      <c r="S82">
        <v>50</v>
      </c>
      <c r="T82">
        <v>1</v>
      </c>
      <c r="U82" t="s">
        <v>853</v>
      </c>
      <c r="V82" t="s">
        <v>854</v>
      </c>
      <c r="W82" t="s">
        <v>54</v>
      </c>
      <c r="X82" t="s">
        <v>54</v>
      </c>
      <c r="Y82" t="s">
        <v>54</v>
      </c>
      <c r="Z82" t="s">
        <v>54</v>
      </c>
      <c r="AA82" t="s">
        <v>54</v>
      </c>
      <c r="AB82" t="s">
        <v>54</v>
      </c>
      <c r="AC82" t="s">
        <v>54</v>
      </c>
      <c r="AD82" t="s">
        <v>54</v>
      </c>
      <c r="AE82" t="s">
        <v>54</v>
      </c>
      <c r="AF82" t="s">
        <v>54</v>
      </c>
      <c r="AG82" t="s">
        <v>54</v>
      </c>
      <c r="AH82" t="s">
        <v>54</v>
      </c>
      <c r="AI82" t="s">
        <v>54</v>
      </c>
      <c r="AJ82" t="s">
        <v>54</v>
      </c>
      <c r="AK82" t="s">
        <v>54</v>
      </c>
      <c r="AL82" t="s">
        <v>54</v>
      </c>
      <c r="AM82" t="s">
        <v>54</v>
      </c>
      <c r="AN82" t="s">
        <v>54</v>
      </c>
      <c r="AO82" t="s">
        <v>54</v>
      </c>
      <c r="AP82" t="s">
        <v>54</v>
      </c>
      <c r="AQ82" t="s">
        <v>54</v>
      </c>
    </row>
    <row r="83" spans="1:43" x14ac:dyDescent="0.25">
      <c r="A83" t="s">
        <v>855</v>
      </c>
      <c r="B83">
        <v>113</v>
      </c>
      <c r="C83">
        <v>95</v>
      </c>
      <c r="D83" t="s">
        <v>856</v>
      </c>
      <c r="E83" t="s">
        <v>857</v>
      </c>
      <c r="F83" t="s">
        <v>858</v>
      </c>
      <c r="G83" t="s">
        <v>859</v>
      </c>
      <c r="H83" t="s">
        <v>860</v>
      </c>
      <c r="I83" t="s">
        <v>52</v>
      </c>
      <c r="J83">
        <v>3</v>
      </c>
      <c r="K83">
        <v>0</v>
      </c>
      <c r="L83">
        <v>2</v>
      </c>
      <c r="M83" t="s">
        <v>861</v>
      </c>
      <c r="N83">
        <v>73</v>
      </c>
      <c r="O83">
        <v>113</v>
      </c>
      <c r="P83">
        <v>17</v>
      </c>
      <c r="Q83" t="s">
        <v>862</v>
      </c>
      <c r="R83" t="s">
        <v>863</v>
      </c>
      <c r="S83">
        <v>6</v>
      </c>
      <c r="T83">
        <v>0</v>
      </c>
      <c r="U83" t="s">
        <v>52</v>
      </c>
      <c r="V83" t="s">
        <v>864</v>
      </c>
      <c r="W83" t="s">
        <v>54</v>
      </c>
      <c r="X83" t="s">
        <v>54</v>
      </c>
      <c r="Y83" t="s">
        <v>54</v>
      </c>
      <c r="Z83" t="s">
        <v>54</v>
      </c>
      <c r="AA83" t="s">
        <v>54</v>
      </c>
      <c r="AB83" t="s">
        <v>54</v>
      </c>
      <c r="AC83" t="s">
        <v>54</v>
      </c>
      <c r="AD83" t="s">
        <v>54</v>
      </c>
      <c r="AE83" t="s">
        <v>54</v>
      </c>
      <c r="AF83" t="s">
        <v>54</v>
      </c>
      <c r="AG83" t="s">
        <v>54</v>
      </c>
      <c r="AH83" t="s">
        <v>54</v>
      </c>
      <c r="AI83" t="s">
        <v>54</v>
      </c>
      <c r="AJ83" t="s">
        <v>54</v>
      </c>
      <c r="AK83" t="s">
        <v>54</v>
      </c>
      <c r="AL83" t="s">
        <v>54</v>
      </c>
      <c r="AM83" t="s">
        <v>54</v>
      </c>
      <c r="AN83" t="s">
        <v>54</v>
      </c>
      <c r="AO83" t="s">
        <v>54</v>
      </c>
      <c r="AP83" t="s">
        <v>54</v>
      </c>
      <c r="AQ83" t="s">
        <v>54</v>
      </c>
    </row>
    <row r="84" spans="1:43" x14ac:dyDescent="0.25">
      <c r="A84" t="s">
        <v>865</v>
      </c>
      <c r="B84">
        <v>130</v>
      </c>
      <c r="C84">
        <v>89</v>
      </c>
      <c r="D84" t="s">
        <v>866</v>
      </c>
      <c r="E84" t="s">
        <v>867</v>
      </c>
      <c r="F84" t="s">
        <v>868</v>
      </c>
      <c r="G84" t="s">
        <v>869</v>
      </c>
      <c r="H84" t="s">
        <v>870</v>
      </c>
      <c r="I84" t="s">
        <v>871</v>
      </c>
      <c r="J84">
        <v>3</v>
      </c>
      <c r="K84">
        <v>2</v>
      </c>
      <c r="L84">
        <v>3</v>
      </c>
      <c r="M84" t="s">
        <v>872</v>
      </c>
      <c r="N84">
        <v>71</v>
      </c>
      <c r="O84">
        <v>130</v>
      </c>
      <c r="P84">
        <v>4</v>
      </c>
      <c r="Q84" t="s">
        <v>873</v>
      </c>
      <c r="R84" t="s">
        <v>527</v>
      </c>
      <c r="S84">
        <v>23</v>
      </c>
      <c r="T84">
        <v>0</v>
      </c>
      <c r="U84" t="s">
        <v>52</v>
      </c>
      <c r="V84" t="s">
        <v>874</v>
      </c>
      <c r="W84" t="s">
        <v>54</v>
      </c>
      <c r="X84" t="s">
        <v>54</v>
      </c>
      <c r="Y84" t="s">
        <v>54</v>
      </c>
      <c r="Z84" t="s">
        <v>54</v>
      </c>
      <c r="AA84" t="s">
        <v>54</v>
      </c>
      <c r="AB84" t="s">
        <v>54</v>
      </c>
      <c r="AC84" t="s">
        <v>54</v>
      </c>
      <c r="AD84" t="s">
        <v>54</v>
      </c>
      <c r="AE84" t="s">
        <v>54</v>
      </c>
      <c r="AF84" t="s">
        <v>54</v>
      </c>
      <c r="AG84" t="s">
        <v>54</v>
      </c>
      <c r="AH84" t="s">
        <v>54</v>
      </c>
      <c r="AI84" t="s">
        <v>54</v>
      </c>
      <c r="AJ84" t="s">
        <v>54</v>
      </c>
      <c r="AK84" t="s">
        <v>54</v>
      </c>
      <c r="AL84" t="s">
        <v>54</v>
      </c>
      <c r="AM84" t="s">
        <v>54</v>
      </c>
      <c r="AN84" t="s">
        <v>54</v>
      </c>
      <c r="AO84" t="s">
        <v>54</v>
      </c>
      <c r="AP84" t="s">
        <v>54</v>
      </c>
      <c r="AQ84" t="s">
        <v>54</v>
      </c>
    </row>
    <row r="85" spans="1:43" x14ac:dyDescent="0.25">
      <c r="A85" t="s">
        <v>875</v>
      </c>
      <c r="B85">
        <v>156</v>
      </c>
      <c r="C85">
        <v>102</v>
      </c>
      <c r="D85" t="s">
        <v>876</v>
      </c>
      <c r="E85" t="s">
        <v>877</v>
      </c>
      <c r="F85" t="s">
        <v>878</v>
      </c>
      <c r="G85" t="s">
        <v>879</v>
      </c>
      <c r="H85" t="s">
        <v>880</v>
      </c>
      <c r="I85" t="s">
        <v>770</v>
      </c>
      <c r="J85">
        <v>2</v>
      </c>
      <c r="K85">
        <v>3</v>
      </c>
      <c r="L85">
        <v>3</v>
      </c>
      <c r="M85" t="s">
        <v>881</v>
      </c>
      <c r="N85">
        <v>72</v>
      </c>
      <c r="O85">
        <v>156</v>
      </c>
      <c r="P85">
        <v>10</v>
      </c>
      <c r="Q85" t="s">
        <v>725</v>
      </c>
      <c r="R85" t="s">
        <v>882</v>
      </c>
      <c r="S85">
        <v>26</v>
      </c>
      <c r="T85">
        <v>0</v>
      </c>
      <c r="U85" t="s">
        <v>52</v>
      </c>
      <c r="V85" t="s">
        <v>883</v>
      </c>
      <c r="W85" t="s">
        <v>54</v>
      </c>
      <c r="X85" t="s">
        <v>54</v>
      </c>
      <c r="Y85" t="s">
        <v>54</v>
      </c>
      <c r="Z85" t="s">
        <v>54</v>
      </c>
      <c r="AA85" t="s">
        <v>54</v>
      </c>
      <c r="AB85" t="s">
        <v>54</v>
      </c>
      <c r="AC85" t="s">
        <v>54</v>
      </c>
      <c r="AD85" t="s">
        <v>54</v>
      </c>
      <c r="AE85" t="s">
        <v>54</v>
      </c>
      <c r="AF85" t="s">
        <v>54</v>
      </c>
      <c r="AG85" t="s">
        <v>54</v>
      </c>
      <c r="AH85" t="s">
        <v>54</v>
      </c>
      <c r="AI85" t="s">
        <v>54</v>
      </c>
      <c r="AJ85" t="s">
        <v>54</v>
      </c>
      <c r="AK85" t="s">
        <v>54</v>
      </c>
      <c r="AL85" t="s">
        <v>54</v>
      </c>
      <c r="AM85" t="s">
        <v>54</v>
      </c>
      <c r="AN85" t="s">
        <v>54</v>
      </c>
      <c r="AO85" t="s">
        <v>54</v>
      </c>
      <c r="AP85" t="s">
        <v>54</v>
      </c>
      <c r="AQ85" t="s">
        <v>54</v>
      </c>
    </row>
    <row r="86" spans="1:43" x14ac:dyDescent="0.25">
      <c r="A86" t="s">
        <v>884</v>
      </c>
      <c r="B86">
        <v>230</v>
      </c>
      <c r="C86">
        <v>131</v>
      </c>
      <c r="D86" t="s">
        <v>885</v>
      </c>
      <c r="E86" t="s">
        <v>886</v>
      </c>
      <c r="F86" t="s">
        <v>887</v>
      </c>
      <c r="G86" t="s">
        <v>888</v>
      </c>
      <c r="H86" t="s">
        <v>666</v>
      </c>
      <c r="I86" t="s">
        <v>889</v>
      </c>
      <c r="J86">
        <v>5</v>
      </c>
      <c r="K86">
        <v>3</v>
      </c>
      <c r="L86">
        <v>5</v>
      </c>
      <c r="M86" t="s">
        <v>890</v>
      </c>
      <c r="N86">
        <v>122</v>
      </c>
      <c r="O86">
        <v>231</v>
      </c>
      <c r="P86">
        <v>2</v>
      </c>
      <c r="Q86" t="s">
        <v>891</v>
      </c>
      <c r="R86" t="s">
        <v>892</v>
      </c>
      <c r="S86">
        <v>32</v>
      </c>
      <c r="T86">
        <v>0</v>
      </c>
      <c r="U86" t="s">
        <v>52</v>
      </c>
      <c r="V86" t="s">
        <v>893</v>
      </c>
      <c r="W86" t="s">
        <v>54</v>
      </c>
      <c r="X86" t="s">
        <v>54</v>
      </c>
      <c r="Y86" t="s">
        <v>54</v>
      </c>
      <c r="Z86" t="s">
        <v>54</v>
      </c>
      <c r="AA86" t="s">
        <v>54</v>
      </c>
      <c r="AB86" t="s">
        <v>54</v>
      </c>
      <c r="AC86" t="s">
        <v>54</v>
      </c>
      <c r="AD86" t="s">
        <v>54</v>
      </c>
      <c r="AE86" t="s">
        <v>54</v>
      </c>
      <c r="AF86" t="s">
        <v>54</v>
      </c>
      <c r="AG86" t="s">
        <v>54</v>
      </c>
      <c r="AH86" t="s">
        <v>54</v>
      </c>
      <c r="AI86" t="s">
        <v>54</v>
      </c>
      <c r="AJ86" t="s">
        <v>54</v>
      </c>
      <c r="AK86" t="s">
        <v>54</v>
      </c>
      <c r="AL86" t="s">
        <v>54</v>
      </c>
      <c r="AM86" t="s">
        <v>54</v>
      </c>
      <c r="AN86" t="s">
        <v>54</v>
      </c>
      <c r="AO86" t="s">
        <v>54</v>
      </c>
      <c r="AP86" t="s">
        <v>54</v>
      </c>
      <c r="AQ86" t="s">
        <v>54</v>
      </c>
    </row>
    <row r="87" spans="1:43" x14ac:dyDescent="0.25">
      <c r="A87" t="s">
        <v>894</v>
      </c>
      <c r="B87">
        <v>160</v>
      </c>
      <c r="C87">
        <v>107</v>
      </c>
      <c r="D87" t="s">
        <v>895</v>
      </c>
      <c r="E87" t="s">
        <v>896</v>
      </c>
      <c r="F87" t="s">
        <v>652</v>
      </c>
      <c r="G87" t="s">
        <v>897</v>
      </c>
      <c r="H87" t="s">
        <v>635</v>
      </c>
      <c r="I87" t="s">
        <v>898</v>
      </c>
      <c r="J87">
        <v>2</v>
      </c>
      <c r="K87">
        <v>1</v>
      </c>
      <c r="L87">
        <v>4</v>
      </c>
      <c r="M87" t="s">
        <v>899</v>
      </c>
      <c r="N87">
        <v>74</v>
      </c>
      <c r="O87">
        <v>160</v>
      </c>
      <c r="P87">
        <v>5</v>
      </c>
      <c r="Q87" t="s">
        <v>178</v>
      </c>
      <c r="R87" t="s">
        <v>136</v>
      </c>
      <c r="S87">
        <v>24</v>
      </c>
      <c r="T87">
        <v>1</v>
      </c>
      <c r="U87" t="s">
        <v>900</v>
      </c>
      <c r="V87" t="s">
        <v>901</v>
      </c>
      <c r="W87" t="s">
        <v>54</v>
      </c>
      <c r="X87" t="s">
        <v>54</v>
      </c>
      <c r="Y87" t="s">
        <v>54</v>
      </c>
      <c r="Z87" t="s">
        <v>54</v>
      </c>
      <c r="AA87" t="s">
        <v>54</v>
      </c>
      <c r="AB87" t="s">
        <v>54</v>
      </c>
      <c r="AC87" t="s">
        <v>54</v>
      </c>
      <c r="AD87" t="s">
        <v>54</v>
      </c>
      <c r="AE87" t="s">
        <v>54</v>
      </c>
      <c r="AF87" t="s">
        <v>54</v>
      </c>
      <c r="AG87" t="s">
        <v>54</v>
      </c>
      <c r="AH87" t="s">
        <v>54</v>
      </c>
      <c r="AI87" t="s">
        <v>54</v>
      </c>
      <c r="AJ87" t="s">
        <v>54</v>
      </c>
      <c r="AK87" t="s">
        <v>54</v>
      </c>
      <c r="AL87" t="s">
        <v>54</v>
      </c>
      <c r="AM87" t="s">
        <v>54</v>
      </c>
      <c r="AN87" t="s">
        <v>54</v>
      </c>
      <c r="AO87" t="s">
        <v>54</v>
      </c>
      <c r="AP87" t="s">
        <v>54</v>
      </c>
      <c r="AQ87" t="s">
        <v>54</v>
      </c>
    </row>
    <row r="88" spans="1:43" x14ac:dyDescent="0.25">
      <c r="A88" t="s">
        <v>902</v>
      </c>
      <c r="B88">
        <v>114</v>
      </c>
      <c r="C88">
        <v>85</v>
      </c>
      <c r="D88" t="s">
        <v>903</v>
      </c>
      <c r="E88" t="s">
        <v>904</v>
      </c>
      <c r="F88" t="s">
        <v>905</v>
      </c>
      <c r="G88" t="s">
        <v>906</v>
      </c>
      <c r="H88" t="s">
        <v>907</v>
      </c>
      <c r="I88" t="s">
        <v>908</v>
      </c>
      <c r="J88">
        <v>1</v>
      </c>
      <c r="K88">
        <v>2</v>
      </c>
      <c r="L88">
        <v>3</v>
      </c>
      <c r="M88" t="s">
        <v>909</v>
      </c>
      <c r="N88">
        <v>60</v>
      </c>
      <c r="O88">
        <v>114</v>
      </c>
      <c r="P88">
        <v>10</v>
      </c>
      <c r="Q88" t="s">
        <v>910</v>
      </c>
      <c r="R88" t="s">
        <v>911</v>
      </c>
      <c r="S88">
        <v>11</v>
      </c>
      <c r="T88">
        <v>0</v>
      </c>
      <c r="U88" t="s">
        <v>52</v>
      </c>
      <c r="V88" t="s">
        <v>912</v>
      </c>
      <c r="W88" t="s">
        <v>54</v>
      </c>
      <c r="X88" t="s">
        <v>54</v>
      </c>
      <c r="Y88" t="s">
        <v>54</v>
      </c>
      <c r="Z88" t="s">
        <v>54</v>
      </c>
      <c r="AA88" t="s">
        <v>54</v>
      </c>
      <c r="AB88" t="s">
        <v>54</v>
      </c>
      <c r="AC88" t="s">
        <v>54</v>
      </c>
      <c r="AD88" t="s">
        <v>54</v>
      </c>
      <c r="AE88" t="s">
        <v>54</v>
      </c>
      <c r="AF88" t="s">
        <v>54</v>
      </c>
      <c r="AG88" t="s">
        <v>54</v>
      </c>
      <c r="AH88" t="s">
        <v>54</v>
      </c>
      <c r="AI88" t="s">
        <v>54</v>
      </c>
      <c r="AJ88" t="s">
        <v>54</v>
      </c>
      <c r="AK88" t="s">
        <v>54</v>
      </c>
      <c r="AL88" t="s">
        <v>54</v>
      </c>
      <c r="AM88" t="s">
        <v>54</v>
      </c>
      <c r="AN88" t="s">
        <v>54</v>
      </c>
      <c r="AO88" t="s">
        <v>54</v>
      </c>
      <c r="AP88" t="s">
        <v>54</v>
      </c>
      <c r="AQ88" t="s">
        <v>54</v>
      </c>
    </row>
    <row r="89" spans="1:43" x14ac:dyDescent="0.25">
      <c r="A89" t="s">
        <v>913</v>
      </c>
      <c r="B89">
        <v>131</v>
      </c>
      <c r="C89">
        <v>97</v>
      </c>
      <c r="D89" t="s">
        <v>887</v>
      </c>
      <c r="E89" t="s">
        <v>914</v>
      </c>
      <c r="F89" t="s">
        <v>915</v>
      </c>
      <c r="G89" t="s">
        <v>916</v>
      </c>
      <c r="H89" t="s">
        <v>917</v>
      </c>
      <c r="I89" t="s">
        <v>918</v>
      </c>
      <c r="J89">
        <v>3</v>
      </c>
      <c r="K89">
        <v>5</v>
      </c>
      <c r="L89">
        <v>4</v>
      </c>
      <c r="M89" t="s">
        <v>919</v>
      </c>
      <c r="N89">
        <v>72</v>
      </c>
      <c r="O89">
        <v>131</v>
      </c>
      <c r="P89">
        <v>5</v>
      </c>
      <c r="Q89" t="s">
        <v>920</v>
      </c>
      <c r="R89" t="s">
        <v>921</v>
      </c>
      <c r="S89">
        <v>14</v>
      </c>
      <c r="T89">
        <v>0</v>
      </c>
      <c r="U89" t="s">
        <v>52</v>
      </c>
      <c r="V89" t="s">
        <v>922</v>
      </c>
      <c r="W89" t="s">
        <v>54</v>
      </c>
      <c r="X89" t="s">
        <v>54</v>
      </c>
      <c r="Y89" t="s">
        <v>54</v>
      </c>
      <c r="Z89" t="s">
        <v>54</v>
      </c>
      <c r="AA89" t="s">
        <v>54</v>
      </c>
      <c r="AB89" t="s">
        <v>54</v>
      </c>
      <c r="AC89" t="s">
        <v>54</v>
      </c>
      <c r="AD89" t="s">
        <v>54</v>
      </c>
      <c r="AE89" t="s">
        <v>54</v>
      </c>
      <c r="AF89" t="s">
        <v>54</v>
      </c>
      <c r="AG89" t="s">
        <v>54</v>
      </c>
      <c r="AH89" t="s">
        <v>54</v>
      </c>
      <c r="AI89" t="s">
        <v>54</v>
      </c>
      <c r="AJ89" t="s">
        <v>54</v>
      </c>
      <c r="AK89" t="s">
        <v>54</v>
      </c>
      <c r="AL89" t="s">
        <v>54</v>
      </c>
      <c r="AM89" t="s">
        <v>54</v>
      </c>
      <c r="AN89" t="s">
        <v>54</v>
      </c>
      <c r="AO89" t="s">
        <v>54</v>
      </c>
      <c r="AP89" t="s">
        <v>54</v>
      </c>
      <c r="AQ89" t="s">
        <v>54</v>
      </c>
    </row>
    <row r="90" spans="1:43" x14ac:dyDescent="0.25">
      <c r="A90" t="s">
        <v>923</v>
      </c>
      <c r="B90">
        <v>161</v>
      </c>
      <c r="C90">
        <v>118</v>
      </c>
      <c r="D90" t="s">
        <v>924</v>
      </c>
      <c r="E90" t="s">
        <v>560</v>
      </c>
      <c r="F90" t="s">
        <v>643</v>
      </c>
      <c r="G90" t="s">
        <v>925</v>
      </c>
      <c r="H90" t="s">
        <v>926</v>
      </c>
      <c r="I90" t="s">
        <v>563</v>
      </c>
      <c r="J90">
        <v>1</v>
      </c>
      <c r="K90">
        <v>2</v>
      </c>
      <c r="L90">
        <v>4</v>
      </c>
      <c r="M90" t="s">
        <v>565</v>
      </c>
      <c r="N90">
        <v>97</v>
      </c>
      <c r="O90">
        <v>161</v>
      </c>
      <c r="P90">
        <v>9</v>
      </c>
      <c r="Q90" t="s">
        <v>927</v>
      </c>
      <c r="R90" t="s">
        <v>556</v>
      </c>
      <c r="S90">
        <v>19</v>
      </c>
      <c r="T90">
        <v>0</v>
      </c>
      <c r="U90" t="s">
        <v>52</v>
      </c>
      <c r="V90" t="s">
        <v>928</v>
      </c>
      <c r="W90" t="s">
        <v>54</v>
      </c>
      <c r="X90" t="s">
        <v>54</v>
      </c>
      <c r="Y90" t="s">
        <v>54</v>
      </c>
      <c r="Z90" t="s">
        <v>54</v>
      </c>
      <c r="AA90" t="s">
        <v>54</v>
      </c>
      <c r="AB90" t="s">
        <v>54</v>
      </c>
      <c r="AC90" t="s">
        <v>54</v>
      </c>
      <c r="AD90" t="s">
        <v>54</v>
      </c>
      <c r="AE90" t="s">
        <v>54</v>
      </c>
      <c r="AF90" t="s">
        <v>54</v>
      </c>
      <c r="AG90" t="s">
        <v>54</v>
      </c>
      <c r="AH90" t="s">
        <v>54</v>
      </c>
      <c r="AI90" t="s">
        <v>54</v>
      </c>
      <c r="AJ90" t="s">
        <v>54</v>
      </c>
      <c r="AK90" t="s">
        <v>54</v>
      </c>
      <c r="AL90" t="s">
        <v>54</v>
      </c>
      <c r="AM90" t="s">
        <v>54</v>
      </c>
      <c r="AN90" t="s">
        <v>54</v>
      </c>
      <c r="AO90" t="s">
        <v>54</v>
      </c>
      <c r="AP90" t="s">
        <v>54</v>
      </c>
      <c r="AQ90" t="s">
        <v>54</v>
      </c>
    </row>
    <row r="91" spans="1:43" x14ac:dyDescent="0.25">
      <c r="A91" t="s">
        <v>929</v>
      </c>
      <c r="B91">
        <v>156</v>
      </c>
      <c r="C91">
        <v>113</v>
      </c>
      <c r="D91" t="s">
        <v>930</v>
      </c>
      <c r="E91" t="s">
        <v>225</v>
      </c>
      <c r="F91" t="s">
        <v>552</v>
      </c>
      <c r="G91" t="s">
        <v>931</v>
      </c>
      <c r="H91" t="s">
        <v>932</v>
      </c>
      <c r="I91" t="s">
        <v>52</v>
      </c>
      <c r="J91">
        <v>7</v>
      </c>
      <c r="K91">
        <v>0</v>
      </c>
      <c r="L91">
        <v>3</v>
      </c>
      <c r="M91" t="s">
        <v>933</v>
      </c>
      <c r="N91">
        <v>97</v>
      </c>
      <c r="O91">
        <v>156</v>
      </c>
      <c r="P91">
        <v>10</v>
      </c>
      <c r="Q91" t="s">
        <v>725</v>
      </c>
      <c r="R91" t="s">
        <v>934</v>
      </c>
      <c r="S91">
        <v>16</v>
      </c>
      <c r="T91">
        <v>0</v>
      </c>
      <c r="U91" t="s">
        <v>52</v>
      </c>
      <c r="V91" t="s">
        <v>935</v>
      </c>
      <c r="W91" t="s">
        <v>54</v>
      </c>
      <c r="X91" t="s">
        <v>54</v>
      </c>
      <c r="Y91" t="s">
        <v>54</v>
      </c>
      <c r="Z91" t="s">
        <v>54</v>
      </c>
      <c r="AA91" t="s">
        <v>54</v>
      </c>
      <c r="AB91" t="s">
        <v>54</v>
      </c>
      <c r="AC91" t="s">
        <v>54</v>
      </c>
      <c r="AD91" t="s">
        <v>54</v>
      </c>
      <c r="AE91" t="s">
        <v>54</v>
      </c>
      <c r="AF91" t="s">
        <v>54</v>
      </c>
      <c r="AG91" t="s">
        <v>54</v>
      </c>
      <c r="AH91" t="s">
        <v>54</v>
      </c>
      <c r="AI91" t="s">
        <v>54</v>
      </c>
      <c r="AJ91" t="s">
        <v>54</v>
      </c>
      <c r="AK91" t="s">
        <v>54</v>
      </c>
      <c r="AL91" t="s">
        <v>54</v>
      </c>
      <c r="AM91" t="s">
        <v>54</v>
      </c>
      <c r="AN91" t="s">
        <v>54</v>
      </c>
      <c r="AO91" t="s">
        <v>54</v>
      </c>
      <c r="AP91" t="s">
        <v>54</v>
      </c>
      <c r="AQ91" t="s">
        <v>54</v>
      </c>
    </row>
    <row r="92" spans="1:43" x14ac:dyDescent="0.25">
      <c r="A92" t="s">
        <v>936</v>
      </c>
      <c r="B92">
        <v>181</v>
      </c>
      <c r="C92">
        <v>127</v>
      </c>
      <c r="D92" t="s">
        <v>937</v>
      </c>
      <c r="E92" t="s">
        <v>938</v>
      </c>
      <c r="F92" t="s">
        <v>939</v>
      </c>
      <c r="G92" t="s">
        <v>940</v>
      </c>
      <c r="H92" t="s">
        <v>52</v>
      </c>
      <c r="I92" t="s">
        <v>941</v>
      </c>
      <c r="J92">
        <v>0</v>
      </c>
      <c r="K92">
        <v>3</v>
      </c>
      <c r="L92">
        <v>3</v>
      </c>
      <c r="M92" t="s">
        <v>942</v>
      </c>
      <c r="N92">
        <v>105</v>
      </c>
      <c r="O92">
        <v>183</v>
      </c>
      <c r="P92">
        <v>9</v>
      </c>
      <c r="Q92" t="s">
        <v>943</v>
      </c>
      <c r="R92" t="s">
        <v>944</v>
      </c>
      <c r="S92">
        <v>26</v>
      </c>
      <c r="T92">
        <v>0</v>
      </c>
      <c r="U92" t="s">
        <v>52</v>
      </c>
      <c r="V92" t="s">
        <v>945</v>
      </c>
      <c r="W92" t="s">
        <v>54</v>
      </c>
      <c r="X92" t="s">
        <v>54</v>
      </c>
      <c r="Y92" t="s">
        <v>54</v>
      </c>
      <c r="Z92" t="s">
        <v>54</v>
      </c>
      <c r="AA92" t="s">
        <v>54</v>
      </c>
      <c r="AB92" t="s">
        <v>54</v>
      </c>
      <c r="AC92" t="s">
        <v>54</v>
      </c>
      <c r="AD92" t="s">
        <v>54</v>
      </c>
      <c r="AE92" t="s">
        <v>54</v>
      </c>
      <c r="AF92" t="s">
        <v>54</v>
      </c>
      <c r="AG92" t="s">
        <v>54</v>
      </c>
      <c r="AH92" t="s">
        <v>54</v>
      </c>
      <c r="AI92" t="s">
        <v>54</v>
      </c>
      <c r="AJ92" t="s">
        <v>54</v>
      </c>
      <c r="AK92" t="s">
        <v>54</v>
      </c>
      <c r="AL92" t="s">
        <v>54</v>
      </c>
      <c r="AM92" t="s">
        <v>54</v>
      </c>
      <c r="AN92" t="s">
        <v>54</v>
      </c>
      <c r="AO92" t="s">
        <v>54</v>
      </c>
      <c r="AP92" t="s">
        <v>54</v>
      </c>
      <c r="AQ92" t="s">
        <v>54</v>
      </c>
    </row>
    <row r="93" spans="1:43" x14ac:dyDescent="0.25">
      <c r="A93" t="s">
        <v>946</v>
      </c>
      <c r="B93">
        <v>208</v>
      </c>
      <c r="C93">
        <v>119</v>
      </c>
      <c r="D93" t="s">
        <v>947</v>
      </c>
      <c r="E93" t="s">
        <v>948</v>
      </c>
      <c r="F93" t="s">
        <v>949</v>
      </c>
      <c r="G93" t="s">
        <v>950</v>
      </c>
      <c r="H93" t="s">
        <v>951</v>
      </c>
      <c r="I93" t="s">
        <v>636</v>
      </c>
      <c r="J93">
        <v>3</v>
      </c>
      <c r="K93">
        <v>13</v>
      </c>
      <c r="L93">
        <v>3</v>
      </c>
      <c r="M93" t="s">
        <v>952</v>
      </c>
      <c r="N93">
        <v>113</v>
      </c>
      <c r="O93">
        <v>209</v>
      </c>
      <c r="P93">
        <v>6</v>
      </c>
      <c r="Q93" t="s">
        <v>953</v>
      </c>
      <c r="R93" t="s">
        <v>954</v>
      </c>
      <c r="S93">
        <v>21</v>
      </c>
      <c r="T93">
        <v>0</v>
      </c>
      <c r="U93" t="s">
        <v>52</v>
      </c>
      <c r="V93" t="s">
        <v>955</v>
      </c>
      <c r="W93" t="s">
        <v>54</v>
      </c>
      <c r="X93" t="s">
        <v>54</v>
      </c>
      <c r="Y93" t="s">
        <v>54</v>
      </c>
      <c r="Z93" t="s">
        <v>54</v>
      </c>
      <c r="AA93" t="s">
        <v>54</v>
      </c>
      <c r="AB93" t="s">
        <v>54</v>
      </c>
      <c r="AC93" t="s">
        <v>54</v>
      </c>
      <c r="AD93" t="s">
        <v>54</v>
      </c>
      <c r="AE93" t="s">
        <v>54</v>
      </c>
      <c r="AF93" t="s">
        <v>54</v>
      </c>
      <c r="AG93" t="s">
        <v>54</v>
      </c>
      <c r="AH93" t="s">
        <v>54</v>
      </c>
      <c r="AI93" t="s">
        <v>54</v>
      </c>
      <c r="AJ93" t="s">
        <v>54</v>
      </c>
      <c r="AK93" t="s">
        <v>54</v>
      </c>
      <c r="AL93" t="s">
        <v>54</v>
      </c>
      <c r="AM93" t="s">
        <v>54</v>
      </c>
      <c r="AN93" t="s">
        <v>54</v>
      </c>
      <c r="AO93" t="s">
        <v>54</v>
      </c>
      <c r="AP93" t="s">
        <v>54</v>
      </c>
      <c r="AQ93" t="s">
        <v>54</v>
      </c>
    </row>
    <row r="94" spans="1:43" x14ac:dyDescent="0.25">
      <c r="A94" t="s">
        <v>956</v>
      </c>
      <c r="B94">
        <v>187</v>
      </c>
      <c r="C94">
        <v>132</v>
      </c>
      <c r="D94" t="s">
        <v>957</v>
      </c>
      <c r="E94" t="s">
        <v>958</v>
      </c>
      <c r="F94" t="s">
        <v>959</v>
      </c>
      <c r="G94" t="s">
        <v>960</v>
      </c>
      <c r="H94" t="s">
        <v>961</v>
      </c>
      <c r="I94" t="s">
        <v>961</v>
      </c>
      <c r="J94">
        <v>2</v>
      </c>
      <c r="K94">
        <v>2</v>
      </c>
      <c r="L94">
        <v>4</v>
      </c>
      <c r="M94" t="s">
        <v>962</v>
      </c>
      <c r="N94">
        <v>105</v>
      </c>
      <c r="O94">
        <v>188</v>
      </c>
      <c r="P94">
        <v>8</v>
      </c>
      <c r="Q94" t="s">
        <v>963</v>
      </c>
      <c r="R94" t="s">
        <v>964</v>
      </c>
      <c r="S94">
        <v>35</v>
      </c>
      <c r="T94">
        <v>0</v>
      </c>
      <c r="U94" t="s">
        <v>52</v>
      </c>
      <c r="V94" t="s">
        <v>965</v>
      </c>
      <c r="W94" t="s">
        <v>54</v>
      </c>
      <c r="X94" t="s">
        <v>54</v>
      </c>
      <c r="Y94" t="s">
        <v>54</v>
      </c>
      <c r="Z94" t="s">
        <v>54</v>
      </c>
      <c r="AA94" t="s">
        <v>54</v>
      </c>
      <c r="AB94" t="s">
        <v>54</v>
      </c>
      <c r="AC94" t="s">
        <v>54</v>
      </c>
      <c r="AD94" t="s">
        <v>54</v>
      </c>
      <c r="AE94" t="s">
        <v>54</v>
      </c>
      <c r="AF94" t="s">
        <v>54</v>
      </c>
      <c r="AG94" t="s">
        <v>54</v>
      </c>
      <c r="AH94" t="s">
        <v>54</v>
      </c>
      <c r="AI94" t="s">
        <v>54</v>
      </c>
      <c r="AJ94" t="s">
        <v>54</v>
      </c>
      <c r="AK94" t="s">
        <v>54</v>
      </c>
      <c r="AL94" t="s">
        <v>54</v>
      </c>
      <c r="AM94" t="s">
        <v>54</v>
      </c>
      <c r="AN94" t="s">
        <v>54</v>
      </c>
      <c r="AO94" t="s">
        <v>54</v>
      </c>
      <c r="AP94" t="s">
        <v>54</v>
      </c>
      <c r="AQ94" t="s">
        <v>54</v>
      </c>
    </row>
    <row r="95" spans="1:43" x14ac:dyDescent="0.25">
      <c r="A95" t="s">
        <v>966</v>
      </c>
      <c r="B95">
        <v>133</v>
      </c>
      <c r="C95">
        <v>84</v>
      </c>
      <c r="D95" t="s">
        <v>277</v>
      </c>
      <c r="E95" t="s">
        <v>967</v>
      </c>
      <c r="F95" t="s">
        <v>968</v>
      </c>
      <c r="G95" t="s">
        <v>969</v>
      </c>
      <c r="H95" t="s">
        <v>143</v>
      </c>
      <c r="I95" t="s">
        <v>143</v>
      </c>
      <c r="J95">
        <v>2</v>
      </c>
      <c r="K95">
        <v>2</v>
      </c>
      <c r="L95">
        <v>2</v>
      </c>
      <c r="M95" t="s">
        <v>970</v>
      </c>
      <c r="N95">
        <v>83</v>
      </c>
      <c r="O95">
        <v>133</v>
      </c>
      <c r="P95">
        <v>5</v>
      </c>
      <c r="Q95" t="s">
        <v>971</v>
      </c>
      <c r="R95" t="s">
        <v>972</v>
      </c>
      <c r="S95">
        <v>12</v>
      </c>
      <c r="T95">
        <v>0</v>
      </c>
      <c r="U95" t="s">
        <v>52</v>
      </c>
      <c r="V95" t="s">
        <v>973</v>
      </c>
      <c r="W95" t="s">
        <v>54</v>
      </c>
      <c r="X95" t="s">
        <v>54</v>
      </c>
      <c r="Y95" t="s">
        <v>54</v>
      </c>
      <c r="Z95" t="s">
        <v>54</v>
      </c>
      <c r="AA95" t="s">
        <v>54</v>
      </c>
      <c r="AB95" t="s">
        <v>54</v>
      </c>
      <c r="AC95" t="s">
        <v>54</v>
      </c>
      <c r="AD95" t="s">
        <v>54</v>
      </c>
      <c r="AE95" t="s">
        <v>54</v>
      </c>
      <c r="AF95" t="s">
        <v>54</v>
      </c>
      <c r="AG95" t="s">
        <v>54</v>
      </c>
      <c r="AH95" t="s">
        <v>54</v>
      </c>
      <c r="AI95" t="s">
        <v>54</v>
      </c>
      <c r="AJ95" t="s">
        <v>54</v>
      </c>
      <c r="AK95" t="s">
        <v>54</v>
      </c>
      <c r="AL95" t="s">
        <v>54</v>
      </c>
      <c r="AM95" t="s">
        <v>54</v>
      </c>
      <c r="AN95" t="s">
        <v>54</v>
      </c>
      <c r="AO95" t="s">
        <v>54</v>
      </c>
      <c r="AP95" t="s">
        <v>54</v>
      </c>
      <c r="AQ95" t="s">
        <v>54</v>
      </c>
    </row>
    <row r="96" spans="1:43" x14ac:dyDescent="0.25">
      <c r="A96" t="s">
        <v>974</v>
      </c>
      <c r="B96">
        <v>180</v>
      </c>
      <c r="C96">
        <v>130</v>
      </c>
      <c r="D96" t="s">
        <v>975</v>
      </c>
      <c r="E96" t="s">
        <v>976</v>
      </c>
      <c r="F96" t="s">
        <v>977</v>
      </c>
      <c r="G96" t="s">
        <v>978</v>
      </c>
      <c r="H96" t="s">
        <v>979</v>
      </c>
      <c r="I96" t="s">
        <v>980</v>
      </c>
      <c r="J96">
        <v>3</v>
      </c>
      <c r="K96">
        <v>6</v>
      </c>
      <c r="L96">
        <v>4</v>
      </c>
      <c r="M96" t="s">
        <v>981</v>
      </c>
      <c r="N96">
        <v>91</v>
      </c>
      <c r="O96">
        <v>180</v>
      </c>
      <c r="P96">
        <v>5</v>
      </c>
      <c r="Q96" t="s">
        <v>982</v>
      </c>
      <c r="R96" t="s">
        <v>983</v>
      </c>
      <c r="S96">
        <v>28</v>
      </c>
      <c r="T96">
        <v>0</v>
      </c>
      <c r="U96" t="s">
        <v>52</v>
      </c>
      <c r="V96" t="s">
        <v>984</v>
      </c>
      <c r="W96" t="s">
        <v>54</v>
      </c>
      <c r="X96" t="s">
        <v>54</v>
      </c>
      <c r="Y96" t="s">
        <v>54</v>
      </c>
      <c r="Z96" t="s">
        <v>54</v>
      </c>
      <c r="AA96" t="s">
        <v>54</v>
      </c>
      <c r="AB96" t="s">
        <v>54</v>
      </c>
      <c r="AC96" t="s">
        <v>54</v>
      </c>
      <c r="AD96" t="s">
        <v>54</v>
      </c>
      <c r="AE96" t="s">
        <v>54</v>
      </c>
      <c r="AF96" t="s">
        <v>54</v>
      </c>
      <c r="AG96" t="s">
        <v>54</v>
      </c>
      <c r="AH96" t="s">
        <v>54</v>
      </c>
      <c r="AI96" t="s">
        <v>54</v>
      </c>
      <c r="AJ96" t="s">
        <v>54</v>
      </c>
      <c r="AK96" t="s">
        <v>54</v>
      </c>
      <c r="AL96" t="s">
        <v>54</v>
      </c>
      <c r="AM96" t="s">
        <v>54</v>
      </c>
      <c r="AN96" t="s">
        <v>54</v>
      </c>
      <c r="AO96" t="s">
        <v>54</v>
      </c>
      <c r="AP96" t="s">
        <v>54</v>
      </c>
      <c r="AQ96" t="s">
        <v>54</v>
      </c>
    </row>
    <row r="97" spans="1:43" x14ac:dyDescent="0.25">
      <c r="A97" t="s">
        <v>985</v>
      </c>
      <c r="B97">
        <v>136</v>
      </c>
      <c r="C97">
        <v>94</v>
      </c>
      <c r="D97" t="s">
        <v>986</v>
      </c>
      <c r="E97" t="s">
        <v>987</v>
      </c>
      <c r="F97" t="s">
        <v>988</v>
      </c>
      <c r="G97" t="s">
        <v>989</v>
      </c>
      <c r="H97" t="s">
        <v>990</v>
      </c>
      <c r="I97" t="s">
        <v>475</v>
      </c>
      <c r="J97">
        <v>1</v>
      </c>
      <c r="K97">
        <v>2</v>
      </c>
      <c r="L97">
        <v>2</v>
      </c>
      <c r="M97" t="s">
        <v>991</v>
      </c>
      <c r="N97">
        <v>84</v>
      </c>
      <c r="O97">
        <v>136</v>
      </c>
      <c r="P97">
        <v>8</v>
      </c>
      <c r="Q97" t="s">
        <v>992</v>
      </c>
      <c r="R97" t="s">
        <v>993</v>
      </c>
      <c r="S97">
        <v>12</v>
      </c>
      <c r="T97">
        <v>0</v>
      </c>
      <c r="U97" t="s">
        <v>52</v>
      </c>
      <c r="V97" t="s">
        <v>994</v>
      </c>
      <c r="W97" t="s">
        <v>54</v>
      </c>
      <c r="X97" t="s">
        <v>54</v>
      </c>
      <c r="Y97" t="s">
        <v>54</v>
      </c>
      <c r="Z97" t="s">
        <v>54</v>
      </c>
      <c r="AA97" t="s">
        <v>54</v>
      </c>
      <c r="AB97" t="s">
        <v>54</v>
      </c>
      <c r="AC97" t="s">
        <v>54</v>
      </c>
      <c r="AD97" t="s">
        <v>54</v>
      </c>
      <c r="AE97" t="s">
        <v>54</v>
      </c>
      <c r="AF97" t="s">
        <v>54</v>
      </c>
      <c r="AG97" t="s">
        <v>54</v>
      </c>
      <c r="AH97" t="s">
        <v>54</v>
      </c>
      <c r="AI97" t="s">
        <v>54</v>
      </c>
      <c r="AJ97" t="s">
        <v>54</v>
      </c>
      <c r="AK97" t="s">
        <v>54</v>
      </c>
      <c r="AL97" t="s">
        <v>54</v>
      </c>
      <c r="AM97" t="s">
        <v>54</v>
      </c>
      <c r="AN97" t="s">
        <v>54</v>
      </c>
      <c r="AO97" t="s">
        <v>54</v>
      </c>
      <c r="AP97" t="s">
        <v>54</v>
      </c>
      <c r="AQ97" t="s">
        <v>54</v>
      </c>
    </row>
    <row r="98" spans="1:43" x14ac:dyDescent="0.25">
      <c r="A98" t="s">
        <v>995</v>
      </c>
      <c r="B98">
        <v>149</v>
      </c>
      <c r="C98">
        <v>107</v>
      </c>
      <c r="D98" t="s">
        <v>996</v>
      </c>
      <c r="E98" t="s">
        <v>997</v>
      </c>
      <c r="F98" t="s">
        <v>998</v>
      </c>
      <c r="G98" t="s">
        <v>999</v>
      </c>
      <c r="H98" t="s">
        <v>1000</v>
      </c>
      <c r="I98" t="s">
        <v>1001</v>
      </c>
      <c r="J98">
        <v>2</v>
      </c>
      <c r="K98">
        <v>4</v>
      </c>
      <c r="L98">
        <v>2</v>
      </c>
      <c r="M98" t="s">
        <v>1002</v>
      </c>
      <c r="N98">
        <v>81</v>
      </c>
      <c r="O98">
        <v>149</v>
      </c>
      <c r="P98">
        <v>4</v>
      </c>
      <c r="Q98" t="s">
        <v>1003</v>
      </c>
      <c r="R98" t="s">
        <v>1004</v>
      </c>
      <c r="S98">
        <v>13</v>
      </c>
      <c r="T98">
        <v>0</v>
      </c>
      <c r="U98" t="s">
        <v>52</v>
      </c>
      <c r="V98" t="s">
        <v>1005</v>
      </c>
      <c r="W98" t="s">
        <v>54</v>
      </c>
      <c r="X98" t="s">
        <v>54</v>
      </c>
      <c r="Y98" t="s">
        <v>54</v>
      </c>
      <c r="Z98" t="s">
        <v>54</v>
      </c>
      <c r="AA98" t="s">
        <v>54</v>
      </c>
      <c r="AB98" t="s">
        <v>54</v>
      </c>
      <c r="AC98" t="s">
        <v>54</v>
      </c>
      <c r="AD98" t="s">
        <v>54</v>
      </c>
      <c r="AE98" t="s">
        <v>54</v>
      </c>
      <c r="AF98" t="s">
        <v>54</v>
      </c>
      <c r="AG98" t="s">
        <v>54</v>
      </c>
      <c r="AH98" t="s">
        <v>54</v>
      </c>
      <c r="AI98" t="s">
        <v>54</v>
      </c>
      <c r="AJ98" t="s">
        <v>54</v>
      </c>
      <c r="AK98" t="s">
        <v>54</v>
      </c>
      <c r="AL98" t="s">
        <v>54</v>
      </c>
      <c r="AM98" t="s">
        <v>54</v>
      </c>
      <c r="AN98" t="s">
        <v>54</v>
      </c>
      <c r="AO98" t="s">
        <v>54</v>
      </c>
      <c r="AP98" t="s">
        <v>54</v>
      </c>
      <c r="AQ98" t="s">
        <v>54</v>
      </c>
    </row>
    <row r="99" spans="1:43" x14ac:dyDescent="0.25">
      <c r="A99" t="s">
        <v>1006</v>
      </c>
      <c r="B99">
        <v>163</v>
      </c>
      <c r="C99">
        <v>121</v>
      </c>
      <c r="D99" t="s">
        <v>1007</v>
      </c>
      <c r="E99" t="s">
        <v>1008</v>
      </c>
      <c r="F99" t="s">
        <v>162</v>
      </c>
      <c r="G99" t="s">
        <v>1009</v>
      </c>
      <c r="H99" t="s">
        <v>1010</v>
      </c>
      <c r="I99" t="s">
        <v>1011</v>
      </c>
      <c r="J99">
        <v>1</v>
      </c>
      <c r="K99">
        <v>2</v>
      </c>
      <c r="L99">
        <v>3</v>
      </c>
      <c r="M99" t="s">
        <v>1012</v>
      </c>
      <c r="N99">
        <v>92</v>
      </c>
      <c r="O99">
        <v>163</v>
      </c>
      <c r="P99">
        <v>8</v>
      </c>
      <c r="Q99" t="s">
        <v>1013</v>
      </c>
      <c r="R99" t="s">
        <v>189</v>
      </c>
      <c r="S99">
        <v>36</v>
      </c>
      <c r="T99">
        <v>0</v>
      </c>
      <c r="U99" t="s">
        <v>52</v>
      </c>
      <c r="V99" t="s">
        <v>1014</v>
      </c>
      <c r="W99" t="s">
        <v>54</v>
      </c>
      <c r="X99" t="s">
        <v>54</v>
      </c>
      <c r="Y99" t="s">
        <v>54</v>
      </c>
      <c r="Z99" t="s">
        <v>54</v>
      </c>
      <c r="AA99" t="s">
        <v>54</v>
      </c>
      <c r="AB99" t="s">
        <v>54</v>
      </c>
      <c r="AC99" t="s">
        <v>54</v>
      </c>
      <c r="AD99" t="s">
        <v>54</v>
      </c>
      <c r="AE99" t="s">
        <v>54</v>
      </c>
      <c r="AF99" t="s">
        <v>54</v>
      </c>
      <c r="AG99" t="s">
        <v>54</v>
      </c>
      <c r="AH99" t="s">
        <v>54</v>
      </c>
      <c r="AI99" t="s">
        <v>54</v>
      </c>
      <c r="AJ99" t="s">
        <v>54</v>
      </c>
      <c r="AK99" t="s">
        <v>54</v>
      </c>
      <c r="AL99" t="s">
        <v>54</v>
      </c>
      <c r="AM99" t="s">
        <v>54</v>
      </c>
      <c r="AN99" t="s">
        <v>54</v>
      </c>
      <c r="AO99" t="s">
        <v>54</v>
      </c>
      <c r="AP99" t="s">
        <v>54</v>
      </c>
      <c r="AQ99" t="s">
        <v>54</v>
      </c>
    </row>
    <row r="100" spans="1:43" x14ac:dyDescent="0.25">
      <c r="A100" t="s">
        <v>1015</v>
      </c>
      <c r="B100">
        <v>90</v>
      </c>
      <c r="C100">
        <v>75</v>
      </c>
      <c r="D100" t="s">
        <v>1016</v>
      </c>
      <c r="E100" t="s">
        <v>1017</v>
      </c>
      <c r="F100" t="s">
        <v>1018</v>
      </c>
      <c r="G100" t="s">
        <v>1019</v>
      </c>
      <c r="H100" t="s">
        <v>52</v>
      </c>
      <c r="I100" t="s">
        <v>980</v>
      </c>
      <c r="J100">
        <v>0</v>
      </c>
      <c r="K100">
        <v>3</v>
      </c>
      <c r="L100">
        <v>3</v>
      </c>
      <c r="M100" t="s">
        <v>1020</v>
      </c>
      <c r="N100">
        <v>49</v>
      </c>
      <c r="O100">
        <v>89</v>
      </c>
      <c r="P100">
        <v>8</v>
      </c>
      <c r="Q100" t="s">
        <v>1021</v>
      </c>
      <c r="R100" t="s">
        <v>1022</v>
      </c>
      <c r="S100">
        <v>11</v>
      </c>
      <c r="T100">
        <v>0</v>
      </c>
      <c r="U100" t="s">
        <v>52</v>
      </c>
      <c r="V100" t="s">
        <v>1023</v>
      </c>
      <c r="W100" t="s">
        <v>54</v>
      </c>
      <c r="X100" t="s">
        <v>54</v>
      </c>
      <c r="Y100" t="s">
        <v>54</v>
      </c>
      <c r="Z100" t="s">
        <v>54</v>
      </c>
      <c r="AA100" t="s">
        <v>54</v>
      </c>
      <c r="AB100" t="s">
        <v>54</v>
      </c>
      <c r="AC100" t="s">
        <v>54</v>
      </c>
      <c r="AD100" t="s">
        <v>54</v>
      </c>
      <c r="AE100" t="s">
        <v>54</v>
      </c>
      <c r="AF100" t="s">
        <v>54</v>
      </c>
      <c r="AG100" t="s">
        <v>54</v>
      </c>
      <c r="AH100" t="s">
        <v>54</v>
      </c>
      <c r="AI100" t="s">
        <v>54</v>
      </c>
      <c r="AJ100" t="s">
        <v>54</v>
      </c>
      <c r="AK100" t="s">
        <v>54</v>
      </c>
      <c r="AL100" t="s">
        <v>54</v>
      </c>
      <c r="AM100" t="s">
        <v>54</v>
      </c>
      <c r="AN100" t="s">
        <v>54</v>
      </c>
      <c r="AO100" t="s">
        <v>54</v>
      </c>
      <c r="AP100" t="s">
        <v>54</v>
      </c>
      <c r="AQ100" t="s">
        <v>54</v>
      </c>
    </row>
    <row r="101" spans="1:43" x14ac:dyDescent="0.25">
      <c r="A101" t="s">
        <v>1024</v>
      </c>
      <c r="B101">
        <v>227</v>
      </c>
      <c r="C101">
        <v>146</v>
      </c>
      <c r="D101" t="s">
        <v>1025</v>
      </c>
      <c r="E101" t="s">
        <v>1026</v>
      </c>
      <c r="F101" t="s">
        <v>1027</v>
      </c>
      <c r="G101" t="s">
        <v>1028</v>
      </c>
      <c r="H101" t="s">
        <v>1029</v>
      </c>
      <c r="I101" t="s">
        <v>1030</v>
      </c>
      <c r="J101">
        <v>6</v>
      </c>
      <c r="K101">
        <v>10</v>
      </c>
      <c r="L101">
        <v>3</v>
      </c>
      <c r="M101" t="s">
        <v>1031</v>
      </c>
      <c r="N101">
        <v>121</v>
      </c>
      <c r="O101">
        <v>229</v>
      </c>
      <c r="P101">
        <v>8</v>
      </c>
      <c r="Q101" t="s">
        <v>1032</v>
      </c>
      <c r="R101" t="s">
        <v>1033</v>
      </c>
      <c r="S101">
        <v>40</v>
      </c>
      <c r="T101">
        <v>0</v>
      </c>
      <c r="U101" t="s">
        <v>52</v>
      </c>
      <c r="V101" t="s">
        <v>1034</v>
      </c>
      <c r="W101" t="s">
        <v>54</v>
      </c>
      <c r="X101" t="s">
        <v>54</v>
      </c>
      <c r="Y101" t="s">
        <v>54</v>
      </c>
      <c r="Z101" t="s">
        <v>54</v>
      </c>
      <c r="AA101" t="s">
        <v>54</v>
      </c>
      <c r="AB101" t="s">
        <v>54</v>
      </c>
      <c r="AC101" t="s">
        <v>54</v>
      </c>
      <c r="AD101" t="s">
        <v>54</v>
      </c>
      <c r="AE101" t="s">
        <v>54</v>
      </c>
      <c r="AF101" t="s">
        <v>54</v>
      </c>
      <c r="AG101" t="s">
        <v>54</v>
      </c>
      <c r="AH101" t="s">
        <v>54</v>
      </c>
      <c r="AI101" t="s">
        <v>54</v>
      </c>
      <c r="AJ101" t="s">
        <v>54</v>
      </c>
      <c r="AK101" t="s">
        <v>54</v>
      </c>
      <c r="AL101" t="s">
        <v>54</v>
      </c>
      <c r="AM101" t="s">
        <v>54</v>
      </c>
      <c r="AN101" t="s">
        <v>54</v>
      </c>
      <c r="AO101" t="s">
        <v>54</v>
      </c>
      <c r="AP101" t="s">
        <v>54</v>
      </c>
      <c r="AQ101" t="s">
        <v>54</v>
      </c>
    </row>
    <row r="102" spans="1:43" x14ac:dyDescent="0.25">
      <c r="A102" t="s">
        <v>1035</v>
      </c>
      <c r="B102">
        <v>175</v>
      </c>
      <c r="C102">
        <v>111</v>
      </c>
      <c r="D102" t="s">
        <v>1036</v>
      </c>
      <c r="E102" t="s">
        <v>386</v>
      </c>
      <c r="F102" t="s">
        <v>1037</v>
      </c>
      <c r="G102" t="s">
        <v>1038</v>
      </c>
      <c r="H102" t="s">
        <v>1039</v>
      </c>
      <c r="I102" t="s">
        <v>1039</v>
      </c>
      <c r="J102">
        <v>4</v>
      </c>
      <c r="K102">
        <v>4</v>
      </c>
      <c r="L102">
        <v>3</v>
      </c>
      <c r="M102" t="s">
        <v>1040</v>
      </c>
      <c r="N102">
        <v>86</v>
      </c>
      <c r="O102">
        <v>177</v>
      </c>
      <c r="P102">
        <v>13</v>
      </c>
      <c r="Q102" t="s">
        <v>82</v>
      </c>
      <c r="R102" t="s">
        <v>1041</v>
      </c>
      <c r="S102">
        <v>29</v>
      </c>
      <c r="T102">
        <v>0</v>
      </c>
      <c r="U102" t="s">
        <v>52</v>
      </c>
      <c r="V102" t="s">
        <v>1042</v>
      </c>
      <c r="W102" t="s">
        <v>54</v>
      </c>
      <c r="X102" t="s">
        <v>54</v>
      </c>
      <c r="Y102" t="s">
        <v>54</v>
      </c>
      <c r="Z102" t="s">
        <v>54</v>
      </c>
      <c r="AA102" t="s">
        <v>54</v>
      </c>
      <c r="AB102" t="s">
        <v>54</v>
      </c>
      <c r="AC102" t="s">
        <v>54</v>
      </c>
      <c r="AD102" t="s">
        <v>54</v>
      </c>
      <c r="AE102" t="s">
        <v>54</v>
      </c>
      <c r="AF102" t="s">
        <v>54</v>
      </c>
      <c r="AG102" t="s">
        <v>54</v>
      </c>
      <c r="AH102" t="s">
        <v>54</v>
      </c>
      <c r="AI102" t="s">
        <v>54</v>
      </c>
      <c r="AJ102" t="s">
        <v>54</v>
      </c>
      <c r="AK102" t="s">
        <v>54</v>
      </c>
      <c r="AL102" t="s">
        <v>54</v>
      </c>
      <c r="AM102" t="s">
        <v>54</v>
      </c>
      <c r="AN102" t="s">
        <v>54</v>
      </c>
      <c r="AO102" t="s">
        <v>54</v>
      </c>
      <c r="AP102" t="s">
        <v>54</v>
      </c>
      <c r="AQ102" t="s">
        <v>54</v>
      </c>
    </row>
    <row r="103" spans="1:43" x14ac:dyDescent="0.25">
      <c r="A103" t="s">
        <v>1043</v>
      </c>
      <c r="B103">
        <v>208</v>
      </c>
      <c r="C103">
        <v>131</v>
      </c>
      <c r="D103" t="s">
        <v>1044</v>
      </c>
      <c r="E103" t="s">
        <v>1045</v>
      </c>
      <c r="F103" t="s">
        <v>887</v>
      </c>
      <c r="G103" t="s">
        <v>1046</v>
      </c>
      <c r="H103" t="s">
        <v>770</v>
      </c>
      <c r="I103" t="s">
        <v>1047</v>
      </c>
      <c r="J103">
        <v>4</v>
      </c>
      <c r="K103">
        <v>9</v>
      </c>
      <c r="L103">
        <v>4</v>
      </c>
      <c r="M103" t="s">
        <v>1048</v>
      </c>
      <c r="N103">
        <v>114</v>
      </c>
      <c r="O103">
        <v>208</v>
      </c>
      <c r="P103">
        <v>4</v>
      </c>
      <c r="Q103" t="s">
        <v>1049</v>
      </c>
      <c r="R103" t="s">
        <v>1050</v>
      </c>
      <c r="S103">
        <v>41</v>
      </c>
      <c r="T103">
        <v>0</v>
      </c>
      <c r="U103" t="s">
        <v>52</v>
      </c>
      <c r="V103" t="s">
        <v>1051</v>
      </c>
      <c r="W103" t="s">
        <v>54</v>
      </c>
      <c r="X103" t="s">
        <v>54</v>
      </c>
      <c r="Y103" t="s">
        <v>54</v>
      </c>
      <c r="Z103" t="s">
        <v>54</v>
      </c>
      <c r="AA103" t="s">
        <v>54</v>
      </c>
      <c r="AB103" t="s">
        <v>54</v>
      </c>
      <c r="AC103" t="s">
        <v>54</v>
      </c>
      <c r="AD103" t="s">
        <v>54</v>
      </c>
      <c r="AE103" t="s">
        <v>54</v>
      </c>
      <c r="AF103" t="s">
        <v>54</v>
      </c>
      <c r="AG103" t="s">
        <v>54</v>
      </c>
      <c r="AH103" t="s">
        <v>54</v>
      </c>
      <c r="AI103" t="s">
        <v>54</v>
      </c>
      <c r="AJ103" t="s">
        <v>54</v>
      </c>
      <c r="AK103" t="s">
        <v>54</v>
      </c>
      <c r="AL103" t="s">
        <v>54</v>
      </c>
      <c r="AM103" t="s">
        <v>54</v>
      </c>
      <c r="AN103" t="s">
        <v>54</v>
      </c>
      <c r="AO103" t="s">
        <v>54</v>
      </c>
      <c r="AP103" t="s">
        <v>54</v>
      </c>
      <c r="AQ103" t="s">
        <v>54</v>
      </c>
    </row>
    <row r="104" spans="1:43" x14ac:dyDescent="0.25">
      <c r="A104" t="s">
        <v>1052</v>
      </c>
      <c r="B104">
        <v>123</v>
      </c>
      <c r="C104">
        <v>90</v>
      </c>
      <c r="D104" t="s">
        <v>1053</v>
      </c>
      <c r="E104" t="s">
        <v>1054</v>
      </c>
      <c r="F104" t="s">
        <v>1055</v>
      </c>
      <c r="G104" t="s">
        <v>1056</v>
      </c>
      <c r="H104" t="s">
        <v>1057</v>
      </c>
      <c r="I104" t="s">
        <v>52</v>
      </c>
      <c r="J104">
        <v>2</v>
      </c>
      <c r="K104">
        <v>0</v>
      </c>
      <c r="L104">
        <v>1</v>
      </c>
      <c r="M104" t="s">
        <v>1058</v>
      </c>
      <c r="N104">
        <v>75</v>
      </c>
      <c r="O104">
        <v>123</v>
      </c>
      <c r="P104">
        <v>9</v>
      </c>
      <c r="Q104" t="s">
        <v>1059</v>
      </c>
      <c r="R104" t="s">
        <v>1060</v>
      </c>
      <c r="S104">
        <v>6</v>
      </c>
      <c r="T104">
        <v>0</v>
      </c>
      <c r="U104" t="s">
        <v>52</v>
      </c>
      <c r="V104" t="s">
        <v>1061</v>
      </c>
      <c r="W104" t="s">
        <v>54</v>
      </c>
      <c r="X104" t="s">
        <v>54</v>
      </c>
      <c r="Y104" t="s">
        <v>54</v>
      </c>
      <c r="Z104" t="s">
        <v>54</v>
      </c>
      <c r="AA104" t="s">
        <v>54</v>
      </c>
      <c r="AB104" t="s">
        <v>54</v>
      </c>
      <c r="AC104" t="s">
        <v>54</v>
      </c>
      <c r="AD104" t="s">
        <v>54</v>
      </c>
      <c r="AE104" t="s">
        <v>54</v>
      </c>
      <c r="AF104" t="s">
        <v>54</v>
      </c>
      <c r="AG104" t="s">
        <v>54</v>
      </c>
      <c r="AH104" t="s">
        <v>54</v>
      </c>
      <c r="AI104" t="s">
        <v>54</v>
      </c>
      <c r="AJ104" t="s">
        <v>54</v>
      </c>
      <c r="AK104" t="s">
        <v>54</v>
      </c>
      <c r="AL104" t="s">
        <v>54</v>
      </c>
      <c r="AM104" t="s">
        <v>54</v>
      </c>
      <c r="AN104" t="s">
        <v>54</v>
      </c>
      <c r="AO104" t="s">
        <v>54</v>
      </c>
      <c r="AP104" t="s">
        <v>54</v>
      </c>
      <c r="AQ104" t="s">
        <v>54</v>
      </c>
    </row>
    <row r="105" spans="1:43" x14ac:dyDescent="0.25">
      <c r="A105" t="s">
        <v>1062</v>
      </c>
      <c r="B105">
        <v>150</v>
      </c>
      <c r="C105">
        <v>104</v>
      </c>
      <c r="D105" t="s">
        <v>1063</v>
      </c>
      <c r="E105" t="s">
        <v>1064</v>
      </c>
      <c r="F105" t="s">
        <v>1065</v>
      </c>
      <c r="G105" t="s">
        <v>1066</v>
      </c>
      <c r="H105" t="s">
        <v>1067</v>
      </c>
      <c r="I105" t="s">
        <v>1068</v>
      </c>
      <c r="J105">
        <v>2</v>
      </c>
      <c r="K105">
        <v>1</v>
      </c>
      <c r="L105">
        <v>2</v>
      </c>
      <c r="M105" t="s">
        <v>1069</v>
      </c>
      <c r="N105">
        <v>77</v>
      </c>
      <c r="O105">
        <v>149</v>
      </c>
      <c r="P105">
        <v>11</v>
      </c>
      <c r="Q105" t="s">
        <v>1070</v>
      </c>
      <c r="R105" t="s">
        <v>1071</v>
      </c>
      <c r="S105">
        <v>13</v>
      </c>
      <c r="T105">
        <v>0</v>
      </c>
      <c r="U105" t="s">
        <v>52</v>
      </c>
      <c r="V105" t="s">
        <v>1072</v>
      </c>
      <c r="W105" t="s">
        <v>54</v>
      </c>
      <c r="X105" t="s">
        <v>54</v>
      </c>
      <c r="Y105" t="s">
        <v>54</v>
      </c>
      <c r="Z105" t="s">
        <v>54</v>
      </c>
      <c r="AA105" t="s">
        <v>54</v>
      </c>
      <c r="AB105" t="s">
        <v>54</v>
      </c>
      <c r="AC105" t="s">
        <v>54</v>
      </c>
      <c r="AD105" t="s">
        <v>54</v>
      </c>
      <c r="AE105" t="s">
        <v>54</v>
      </c>
      <c r="AF105" t="s">
        <v>54</v>
      </c>
      <c r="AG105" t="s">
        <v>54</v>
      </c>
      <c r="AH105" t="s">
        <v>54</v>
      </c>
      <c r="AI105" t="s">
        <v>54</v>
      </c>
      <c r="AJ105" t="s">
        <v>54</v>
      </c>
      <c r="AK105" t="s">
        <v>54</v>
      </c>
      <c r="AL105" t="s">
        <v>54</v>
      </c>
      <c r="AM105" t="s">
        <v>54</v>
      </c>
      <c r="AN105" t="s">
        <v>54</v>
      </c>
      <c r="AO105" t="s">
        <v>54</v>
      </c>
      <c r="AP105" t="s">
        <v>54</v>
      </c>
      <c r="AQ105" t="s">
        <v>54</v>
      </c>
    </row>
    <row r="106" spans="1:43" x14ac:dyDescent="0.25">
      <c r="A106" t="s">
        <v>1073</v>
      </c>
      <c r="B106">
        <v>142</v>
      </c>
      <c r="C106">
        <v>111</v>
      </c>
      <c r="D106" t="s">
        <v>1074</v>
      </c>
      <c r="E106" t="s">
        <v>1075</v>
      </c>
      <c r="F106" t="s">
        <v>1076</v>
      </c>
      <c r="G106" t="s">
        <v>1077</v>
      </c>
      <c r="H106" t="s">
        <v>1078</v>
      </c>
      <c r="I106" t="s">
        <v>1078</v>
      </c>
      <c r="J106">
        <v>3</v>
      </c>
      <c r="K106">
        <v>3</v>
      </c>
      <c r="L106">
        <v>2</v>
      </c>
      <c r="M106" t="s">
        <v>1079</v>
      </c>
      <c r="N106">
        <v>82</v>
      </c>
      <c r="O106">
        <v>144</v>
      </c>
      <c r="P106">
        <v>7</v>
      </c>
      <c r="Q106" t="s">
        <v>1080</v>
      </c>
      <c r="R106" t="s">
        <v>1081</v>
      </c>
      <c r="S106">
        <v>19</v>
      </c>
      <c r="T106">
        <v>0</v>
      </c>
      <c r="U106" t="s">
        <v>52</v>
      </c>
      <c r="V106" t="s">
        <v>1082</v>
      </c>
      <c r="W106" t="s">
        <v>54</v>
      </c>
      <c r="X106" t="s">
        <v>54</v>
      </c>
      <c r="Y106" t="s">
        <v>54</v>
      </c>
      <c r="Z106" t="s">
        <v>54</v>
      </c>
      <c r="AA106" t="s">
        <v>54</v>
      </c>
      <c r="AB106" t="s">
        <v>54</v>
      </c>
      <c r="AC106" t="s">
        <v>54</v>
      </c>
      <c r="AD106" t="s">
        <v>54</v>
      </c>
      <c r="AE106" t="s">
        <v>54</v>
      </c>
      <c r="AF106" t="s">
        <v>54</v>
      </c>
      <c r="AG106" t="s">
        <v>54</v>
      </c>
      <c r="AH106" t="s">
        <v>54</v>
      </c>
      <c r="AI106" t="s">
        <v>54</v>
      </c>
      <c r="AJ106" t="s">
        <v>54</v>
      </c>
      <c r="AK106" t="s">
        <v>54</v>
      </c>
      <c r="AL106" t="s">
        <v>54</v>
      </c>
      <c r="AM106" t="s">
        <v>54</v>
      </c>
      <c r="AN106" t="s">
        <v>54</v>
      </c>
      <c r="AO106" t="s">
        <v>54</v>
      </c>
      <c r="AP106" t="s">
        <v>54</v>
      </c>
      <c r="AQ106" t="s">
        <v>54</v>
      </c>
    </row>
    <row r="107" spans="1:43" x14ac:dyDescent="0.25">
      <c r="A107" t="s">
        <v>1083</v>
      </c>
      <c r="B107">
        <v>142</v>
      </c>
      <c r="C107">
        <v>102</v>
      </c>
      <c r="D107" t="s">
        <v>1084</v>
      </c>
      <c r="E107" t="s">
        <v>701</v>
      </c>
      <c r="F107" t="s">
        <v>1085</v>
      </c>
      <c r="G107" t="s">
        <v>1086</v>
      </c>
      <c r="H107" t="s">
        <v>1078</v>
      </c>
      <c r="I107" t="s">
        <v>704</v>
      </c>
      <c r="J107">
        <v>3</v>
      </c>
      <c r="K107">
        <v>2</v>
      </c>
      <c r="L107">
        <v>4</v>
      </c>
      <c r="M107" t="s">
        <v>1087</v>
      </c>
      <c r="N107">
        <v>86</v>
      </c>
      <c r="O107">
        <v>148</v>
      </c>
      <c r="P107">
        <v>7</v>
      </c>
      <c r="Q107" t="s">
        <v>1080</v>
      </c>
      <c r="R107" t="s">
        <v>168</v>
      </c>
      <c r="S107">
        <v>21</v>
      </c>
      <c r="T107">
        <v>0</v>
      </c>
      <c r="U107" t="s">
        <v>52</v>
      </c>
      <c r="V107" t="s">
        <v>1088</v>
      </c>
      <c r="W107" t="s">
        <v>54</v>
      </c>
      <c r="X107" t="s">
        <v>54</v>
      </c>
      <c r="Y107" t="s">
        <v>54</v>
      </c>
      <c r="Z107" t="s">
        <v>54</v>
      </c>
      <c r="AA107" t="s">
        <v>54</v>
      </c>
      <c r="AB107" t="s">
        <v>54</v>
      </c>
      <c r="AC107" t="s">
        <v>54</v>
      </c>
      <c r="AD107" t="s">
        <v>54</v>
      </c>
      <c r="AE107" t="s">
        <v>54</v>
      </c>
      <c r="AF107" t="s">
        <v>54</v>
      </c>
      <c r="AG107" t="s">
        <v>54</v>
      </c>
      <c r="AH107" t="s">
        <v>54</v>
      </c>
      <c r="AI107" t="s">
        <v>54</v>
      </c>
      <c r="AJ107" t="s">
        <v>54</v>
      </c>
      <c r="AK107" t="s">
        <v>54</v>
      </c>
      <c r="AL107" t="s">
        <v>54</v>
      </c>
      <c r="AM107" t="s">
        <v>54</v>
      </c>
      <c r="AN107" t="s">
        <v>54</v>
      </c>
      <c r="AO107" t="s">
        <v>54</v>
      </c>
      <c r="AP107" t="s">
        <v>54</v>
      </c>
      <c r="AQ107" t="s">
        <v>54</v>
      </c>
    </row>
    <row r="108" spans="1:43" x14ac:dyDescent="0.25">
      <c r="A108" t="s">
        <v>1089</v>
      </c>
      <c r="B108">
        <v>104</v>
      </c>
      <c r="C108">
        <v>84</v>
      </c>
      <c r="D108" t="s">
        <v>1090</v>
      </c>
      <c r="E108" t="s">
        <v>1091</v>
      </c>
      <c r="F108" t="s">
        <v>361</v>
      </c>
      <c r="G108" t="s">
        <v>1092</v>
      </c>
      <c r="H108" t="s">
        <v>1093</v>
      </c>
      <c r="I108" t="s">
        <v>52</v>
      </c>
      <c r="J108">
        <v>3</v>
      </c>
      <c r="K108">
        <v>0</v>
      </c>
      <c r="L108">
        <v>4</v>
      </c>
      <c r="M108" t="s">
        <v>1094</v>
      </c>
      <c r="N108">
        <v>65</v>
      </c>
      <c r="O108">
        <v>104</v>
      </c>
      <c r="P108">
        <v>9</v>
      </c>
      <c r="Q108" t="s">
        <v>1095</v>
      </c>
      <c r="R108" t="s">
        <v>1096</v>
      </c>
      <c r="S108">
        <v>11</v>
      </c>
      <c r="T108">
        <v>0</v>
      </c>
      <c r="U108" t="s">
        <v>52</v>
      </c>
      <c r="V108" t="s">
        <v>1097</v>
      </c>
      <c r="W108" t="s">
        <v>54</v>
      </c>
      <c r="X108" t="s">
        <v>54</v>
      </c>
      <c r="Y108" t="s">
        <v>54</v>
      </c>
      <c r="Z108" t="s">
        <v>54</v>
      </c>
      <c r="AA108" t="s">
        <v>54</v>
      </c>
      <c r="AB108" t="s">
        <v>54</v>
      </c>
      <c r="AC108" t="s">
        <v>54</v>
      </c>
      <c r="AD108" t="s">
        <v>54</v>
      </c>
      <c r="AE108" t="s">
        <v>54</v>
      </c>
      <c r="AF108" t="s">
        <v>54</v>
      </c>
      <c r="AG108" t="s">
        <v>54</v>
      </c>
      <c r="AH108" t="s">
        <v>54</v>
      </c>
      <c r="AI108" t="s">
        <v>54</v>
      </c>
      <c r="AJ108" t="s">
        <v>54</v>
      </c>
      <c r="AK108" t="s">
        <v>54</v>
      </c>
      <c r="AL108" t="s">
        <v>54</v>
      </c>
      <c r="AM108" t="s">
        <v>54</v>
      </c>
      <c r="AN108" t="s">
        <v>54</v>
      </c>
      <c r="AO108" t="s">
        <v>54</v>
      </c>
      <c r="AP108" t="s">
        <v>54</v>
      </c>
      <c r="AQ108" t="s">
        <v>54</v>
      </c>
    </row>
    <row r="109" spans="1:43" x14ac:dyDescent="0.25">
      <c r="A109" t="s">
        <v>1098</v>
      </c>
      <c r="B109">
        <v>110</v>
      </c>
      <c r="C109">
        <v>81</v>
      </c>
      <c r="D109" t="s">
        <v>1099</v>
      </c>
      <c r="E109" t="s">
        <v>1100</v>
      </c>
      <c r="F109" t="s">
        <v>275</v>
      </c>
      <c r="G109" t="s">
        <v>1101</v>
      </c>
      <c r="H109" t="s">
        <v>52</v>
      </c>
      <c r="I109" t="s">
        <v>1102</v>
      </c>
      <c r="J109">
        <v>0</v>
      </c>
      <c r="K109">
        <v>7</v>
      </c>
      <c r="L109">
        <v>3</v>
      </c>
      <c r="M109" t="s">
        <v>118</v>
      </c>
      <c r="N109">
        <v>77</v>
      </c>
      <c r="O109">
        <v>110</v>
      </c>
      <c r="P109">
        <v>16</v>
      </c>
      <c r="Q109" t="s">
        <v>1103</v>
      </c>
      <c r="R109" t="s">
        <v>1104</v>
      </c>
      <c r="S109">
        <v>7</v>
      </c>
      <c r="T109">
        <v>0</v>
      </c>
      <c r="U109" t="s">
        <v>52</v>
      </c>
      <c r="V109" t="s">
        <v>1105</v>
      </c>
      <c r="W109" t="s">
        <v>54</v>
      </c>
      <c r="X109" t="s">
        <v>54</v>
      </c>
      <c r="Y109" t="s">
        <v>54</v>
      </c>
      <c r="Z109" t="s">
        <v>54</v>
      </c>
      <c r="AA109" t="s">
        <v>54</v>
      </c>
      <c r="AB109" t="s">
        <v>54</v>
      </c>
      <c r="AC109" t="s">
        <v>54</v>
      </c>
      <c r="AD109" t="s">
        <v>54</v>
      </c>
      <c r="AE109" t="s">
        <v>54</v>
      </c>
      <c r="AF109" t="s">
        <v>54</v>
      </c>
      <c r="AG109" t="s">
        <v>54</v>
      </c>
      <c r="AH109" t="s">
        <v>54</v>
      </c>
      <c r="AI109" t="s">
        <v>54</v>
      </c>
      <c r="AJ109" t="s">
        <v>54</v>
      </c>
      <c r="AK109" t="s">
        <v>54</v>
      </c>
      <c r="AL109" t="s">
        <v>54</v>
      </c>
      <c r="AM109" t="s">
        <v>54</v>
      </c>
      <c r="AN109" t="s">
        <v>54</v>
      </c>
      <c r="AO109" t="s">
        <v>54</v>
      </c>
      <c r="AP109" t="s">
        <v>54</v>
      </c>
      <c r="AQ109" t="s">
        <v>54</v>
      </c>
    </row>
    <row r="110" spans="1:43" x14ac:dyDescent="0.25">
      <c r="A110" t="s">
        <v>1106</v>
      </c>
      <c r="B110">
        <v>153</v>
      </c>
      <c r="C110">
        <v>94</v>
      </c>
      <c r="D110" t="s">
        <v>1107</v>
      </c>
      <c r="E110" t="s">
        <v>1108</v>
      </c>
      <c r="F110" t="s">
        <v>1109</v>
      </c>
      <c r="G110" t="s">
        <v>1110</v>
      </c>
      <c r="H110" t="s">
        <v>583</v>
      </c>
      <c r="I110" t="s">
        <v>52</v>
      </c>
      <c r="J110">
        <v>2</v>
      </c>
      <c r="K110">
        <v>0</v>
      </c>
      <c r="L110">
        <v>3</v>
      </c>
      <c r="M110" t="s">
        <v>1111</v>
      </c>
      <c r="N110">
        <v>88</v>
      </c>
      <c r="O110">
        <v>153</v>
      </c>
      <c r="P110">
        <v>9</v>
      </c>
      <c r="Q110" t="s">
        <v>992</v>
      </c>
      <c r="R110" t="s">
        <v>1112</v>
      </c>
      <c r="S110">
        <v>22</v>
      </c>
      <c r="T110">
        <v>0</v>
      </c>
      <c r="U110" t="s">
        <v>52</v>
      </c>
      <c r="V110" t="s">
        <v>1113</v>
      </c>
      <c r="W110" t="s">
        <v>54</v>
      </c>
      <c r="X110" t="s">
        <v>54</v>
      </c>
      <c r="Y110" t="s">
        <v>54</v>
      </c>
      <c r="Z110" t="s">
        <v>54</v>
      </c>
      <c r="AA110" t="s">
        <v>54</v>
      </c>
      <c r="AB110" t="s">
        <v>54</v>
      </c>
      <c r="AC110" t="s">
        <v>54</v>
      </c>
      <c r="AD110" t="s">
        <v>54</v>
      </c>
      <c r="AE110" t="s">
        <v>54</v>
      </c>
      <c r="AF110" t="s">
        <v>54</v>
      </c>
      <c r="AG110" t="s">
        <v>54</v>
      </c>
      <c r="AH110" t="s">
        <v>54</v>
      </c>
      <c r="AI110" t="s">
        <v>54</v>
      </c>
      <c r="AJ110" t="s">
        <v>54</v>
      </c>
      <c r="AK110" t="s">
        <v>54</v>
      </c>
      <c r="AL110" t="s">
        <v>54</v>
      </c>
      <c r="AM110" t="s">
        <v>54</v>
      </c>
      <c r="AN110" t="s">
        <v>54</v>
      </c>
      <c r="AO110" t="s">
        <v>54</v>
      </c>
      <c r="AP110" t="s">
        <v>54</v>
      </c>
      <c r="AQ110" t="s">
        <v>54</v>
      </c>
    </row>
    <row r="111" spans="1:43" x14ac:dyDescent="0.25">
      <c r="A111" t="s">
        <v>1114</v>
      </c>
      <c r="B111">
        <v>144</v>
      </c>
      <c r="C111">
        <v>103</v>
      </c>
      <c r="D111" t="s">
        <v>1115</v>
      </c>
      <c r="E111" t="s">
        <v>1116</v>
      </c>
      <c r="F111" t="s">
        <v>1117</v>
      </c>
      <c r="G111" t="s">
        <v>1118</v>
      </c>
      <c r="H111" t="s">
        <v>52</v>
      </c>
      <c r="I111" t="s">
        <v>714</v>
      </c>
      <c r="J111">
        <v>0</v>
      </c>
      <c r="K111">
        <v>2</v>
      </c>
      <c r="L111">
        <v>1</v>
      </c>
      <c r="M111" t="s">
        <v>1119</v>
      </c>
      <c r="N111">
        <v>85</v>
      </c>
      <c r="O111">
        <v>143</v>
      </c>
      <c r="P111">
        <v>5</v>
      </c>
      <c r="Q111" t="s">
        <v>1120</v>
      </c>
      <c r="R111" t="s">
        <v>1121</v>
      </c>
      <c r="S111">
        <v>21</v>
      </c>
      <c r="T111">
        <v>0</v>
      </c>
      <c r="U111" t="s">
        <v>52</v>
      </c>
      <c r="V111" t="s">
        <v>1122</v>
      </c>
      <c r="W111" t="s">
        <v>54</v>
      </c>
      <c r="X111" t="s">
        <v>54</v>
      </c>
      <c r="Y111" t="s">
        <v>54</v>
      </c>
      <c r="Z111" t="s">
        <v>54</v>
      </c>
      <c r="AA111" t="s">
        <v>54</v>
      </c>
      <c r="AB111" t="s">
        <v>54</v>
      </c>
      <c r="AC111" t="s">
        <v>54</v>
      </c>
      <c r="AD111" t="s">
        <v>54</v>
      </c>
      <c r="AE111" t="s">
        <v>54</v>
      </c>
      <c r="AF111" t="s">
        <v>54</v>
      </c>
      <c r="AG111" t="s">
        <v>54</v>
      </c>
      <c r="AH111" t="s">
        <v>54</v>
      </c>
      <c r="AI111" t="s">
        <v>54</v>
      </c>
      <c r="AJ111" t="s">
        <v>54</v>
      </c>
      <c r="AK111" t="s">
        <v>54</v>
      </c>
      <c r="AL111" t="s">
        <v>54</v>
      </c>
      <c r="AM111" t="s">
        <v>54</v>
      </c>
      <c r="AN111" t="s">
        <v>54</v>
      </c>
      <c r="AO111" t="s">
        <v>54</v>
      </c>
      <c r="AP111" t="s">
        <v>54</v>
      </c>
      <c r="AQ111" t="s">
        <v>54</v>
      </c>
    </row>
    <row r="112" spans="1:43" x14ac:dyDescent="0.25">
      <c r="A112" t="s">
        <v>1123</v>
      </c>
      <c r="B112">
        <v>115</v>
      </c>
      <c r="C112">
        <v>86</v>
      </c>
      <c r="D112" t="s">
        <v>1124</v>
      </c>
      <c r="E112" t="s">
        <v>1125</v>
      </c>
      <c r="F112" t="s">
        <v>1126</v>
      </c>
      <c r="G112" t="s">
        <v>1127</v>
      </c>
      <c r="H112" t="s">
        <v>1128</v>
      </c>
      <c r="I112" t="s">
        <v>1128</v>
      </c>
      <c r="J112">
        <v>1</v>
      </c>
      <c r="K112">
        <v>1</v>
      </c>
      <c r="L112">
        <v>4</v>
      </c>
      <c r="M112" t="s">
        <v>86</v>
      </c>
      <c r="N112">
        <v>68</v>
      </c>
      <c r="O112">
        <v>115</v>
      </c>
      <c r="P112">
        <v>5</v>
      </c>
      <c r="Q112" t="s">
        <v>528</v>
      </c>
      <c r="R112" t="s">
        <v>717</v>
      </c>
      <c r="S112">
        <v>9</v>
      </c>
      <c r="T112">
        <v>0</v>
      </c>
      <c r="U112" t="s">
        <v>52</v>
      </c>
      <c r="V112" t="s">
        <v>1129</v>
      </c>
      <c r="W112" t="s">
        <v>54</v>
      </c>
      <c r="X112" t="s">
        <v>54</v>
      </c>
      <c r="Y112" t="s">
        <v>54</v>
      </c>
      <c r="Z112" t="s">
        <v>54</v>
      </c>
      <c r="AA112" t="s">
        <v>54</v>
      </c>
      <c r="AB112" t="s">
        <v>54</v>
      </c>
      <c r="AC112" t="s">
        <v>54</v>
      </c>
      <c r="AD112" t="s">
        <v>54</v>
      </c>
      <c r="AE112" t="s">
        <v>54</v>
      </c>
      <c r="AF112" t="s">
        <v>54</v>
      </c>
      <c r="AG112" t="s">
        <v>54</v>
      </c>
      <c r="AH112" t="s">
        <v>54</v>
      </c>
      <c r="AI112" t="s">
        <v>54</v>
      </c>
      <c r="AJ112" t="s">
        <v>54</v>
      </c>
      <c r="AK112" t="s">
        <v>54</v>
      </c>
      <c r="AL112" t="s">
        <v>54</v>
      </c>
      <c r="AM112" t="s">
        <v>54</v>
      </c>
      <c r="AN112" t="s">
        <v>54</v>
      </c>
      <c r="AO112" t="s">
        <v>54</v>
      </c>
      <c r="AP112" t="s">
        <v>54</v>
      </c>
      <c r="AQ112" t="s">
        <v>54</v>
      </c>
    </row>
    <row r="113" spans="1:43" x14ac:dyDescent="0.25">
      <c r="A113" t="s">
        <v>1130</v>
      </c>
      <c r="B113">
        <v>167</v>
      </c>
      <c r="C113">
        <v>120</v>
      </c>
      <c r="D113" t="s">
        <v>1131</v>
      </c>
      <c r="E113" t="s">
        <v>1132</v>
      </c>
      <c r="F113" t="s">
        <v>1133</v>
      </c>
      <c r="G113" t="s">
        <v>1134</v>
      </c>
      <c r="H113" t="s">
        <v>1135</v>
      </c>
      <c r="I113" t="s">
        <v>1136</v>
      </c>
      <c r="J113">
        <v>3</v>
      </c>
      <c r="K113">
        <v>15</v>
      </c>
      <c r="L113">
        <v>3</v>
      </c>
      <c r="M113" t="s">
        <v>1137</v>
      </c>
      <c r="N113">
        <v>95</v>
      </c>
      <c r="O113">
        <v>167</v>
      </c>
      <c r="P113">
        <v>4</v>
      </c>
      <c r="Q113" t="s">
        <v>1138</v>
      </c>
      <c r="R113" t="s">
        <v>1139</v>
      </c>
      <c r="S113">
        <v>27</v>
      </c>
      <c r="T113">
        <v>0</v>
      </c>
      <c r="U113" t="s">
        <v>52</v>
      </c>
      <c r="V113" t="s">
        <v>1140</v>
      </c>
      <c r="W113" t="s">
        <v>54</v>
      </c>
      <c r="X113" t="s">
        <v>54</v>
      </c>
      <c r="Y113" t="s">
        <v>54</v>
      </c>
      <c r="Z113" t="s">
        <v>54</v>
      </c>
      <c r="AA113" t="s">
        <v>54</v>
      </c>
      <c r="AB113" t="s">
        <v>54</v>
      </c>
      <c r="AC113" t="s">
        <v>54</v>
      </c>
      <c r="AD113" t="s">
        <v>54</v>
      </c>
      <c r="AE113" t="s">
        <v>54</v>
      </c>
      <c r="AF113" t="s">
        <v>54</v>
      </c>
      <c r="AG113" t="s">
        <v>54</v>
      </c>
      <c r="AH113" t="s">
        <v>54</v>
      </c>
      <c r="AI113" t="s">
        <v>54</v>
      </c>
      <c r="AJ113" t="s">
        <v>54</v>
      </c>
      <c r="AK113" t="s">
        <v>54</v>
      </c>
      <c r="AL113" t="s">
        <v>54</v>
      </c>
      <c r="AM113" t="s">
        <v>54</v>
      </c>
      <c r="AN113" t="s">
        <v>54</v>
      </c>
      <c r="AO113" t="s">
        <v>54</v>
      </c>
      <c r="AP113" t="s">
        <v>54</v>
      </c>
      <c r="AQ113" t="s">
        <v>54</v>
      </c>
    </row>
    <row r="114" spans="1:43" x14ac:dyDescent="0.25">
      <c r="A114" t="s">
        <v>1141</v>
      </c>
      <c r="B114">
        <v>195</v>
      </c>
      <c r="C114">
        <v>117</v>
      </c>
      <c r="D114" t="s">
        <v>201</v>
      </c>
      <c r="E114" t="s">
        <v>1142</v>
      </c>
      <c r="F114" t="s">
        <v>1143</v>
      </c>
      <c r="G114" t="s">
        <v>1144</v>
      </c>
      <c r="H114" t="s">
        <v>1145</v>
      </c>
      <c r="I114" t="s">
        <v>1146</v>
      </c>
      <c r="J114">
        <v>4</v>
      </c>
      <c r="K114">
        <v>10</v>
      </c>
      <c r="L114">
        <v>4</v>
      </c>
      <c r="M114" t="s">
        <v>1147</v>
      </c>
      <c r="N114">
        <v>101</v>
      </c>
      <c r="O114">
        <v>198</v>
      </c>
      <c r="P114">
        <v>8</v>
      </c>
      <c r="Q114" t="s">
        <v>1148</v>
      </c>
      <c r="R114" t="s">
        <v>1149</v>
      </c>
      <c r="S114">
        <v>38</v>
      </c>
      <c r="T114">
        <v>0</v>
      </c>
      <c r="U114" t="s">
        <v>52</v>
      </c>
      <c r="V114" t="s">
        <v>1150</v>
      </c>
      <c r="W114" t="s">
        <v>54</v>
      </c>
      <c r="X114" t="s">
        <v>54</v>
      </c>
      <c r="Y114" t="s">
        <v>54</v>
      </c>
      <c r="Z114" t="s">
        <v>54</v>
      </c>
      <c r="AA114" t="s">
        <v>54</v>
      </c>
      <c r="AB114" t="s">
        <v>54</v>
      </c>
      <c r="AC114" t="s">
        <v>54</v>
      </c>
      <c r="AD114" t="s">
        <v>54</v>
      </c>
      <c r="AE114" t="s">
        <v>54</v>
      </c>
      <c r="AF114" t="s">
        <v>54</v>
      </c>
      <c r="AG114" t="s">
        <v>54</v>
      </c>
      <c r="AH114" t="s">
        <v>54</v>
      </c>
      <c r="AI114" t="s">
        <v>54</v>
      </c>
      <c r="AJ114" t="s">
        <v>54</v>
      </c>
      <c r="AK114" t="s">
        <v>54</v>
      </c>
      <c r="AL114" t="s">
        <v>54</v>
      </c>
      <c r="AM114" t="s">
        <v>54</v>
      </c>
      <c r="AN114" t="s">
        <v>54</v>
      </c>
      <c r="AO114" t="s">
        <v>54</v>
      </c>
      <c r="AP114" t="s">
        <v>54</v>
      </c>
      <c r="AQ114" t="s">
        <v>54</v>
      </c>
    </row>
    <row r="115" spans="1:43" x14ac:dyDescent="0.25">
      <c r="A115" t="s">
        <v>1151</v>
      </c>
      <c r="B115">
        <v>235</v>
      </c>
      <c r="C115">
        <v>167</v>
      </c>
      <c r="D115" t="s">
        <v>1152</v>
      </c>
      <c r="E115" t="s">
        <v>1153</v>
      </c>
      <c r="F115" t="s">
        <v>1154</v>
      </c>
      <c r="G115" t="s">
        <v>1155</v>
      </c>
      <c r="H115" t="s">
        <v>1156</v>
      </c>
      <c r="I115" t="s">
        <v>52</v>
      </c>
      <c r="J115">
        <v>6</v>
      </c>
      <c r="K115">
        <v>0</v>
      </c>
      <c r="L115">
        <v>3</v>
      </c>
      <c r="M115" t="s">
        <v>1157</v>
      </c>
      <c r="N115">
        <v>124</v>
      </c>
      <c r="O115">
        <v>236</v>
      </c>
      <c r="P115">
        <v>12</v>
      </c>
      <c r="Q115" t="s">
        <v>1158</v>
      </c>
      <c r="R115" t="s">
        <v>457</v>
      </c>
      <c r="S115">
        <v>26</v>
      </c>
      <c r="T115">
        <v>0</v>
      </c>
      <c r="U115" t="s">
        <v>52</v>
      </c>
      <c r="V115" t="s">
        <v>1159</v>
      </c>
      <c r="W115" t="s">
        <v>54</v>
      </c>
      <c r="X115" t="s">
        <v>54</v>
      </c>
      <c r="Y115" t="s">
        <v>54</v>
      </c>
      <c r="Z115" t="s">
        <v>54</v>
      </c>
      <c r="AA115" t="s">
        <v>54</v>
      </c>
      <c r="AB115" t="s">
        <v>54</v>
      </c>
      <c r="AC115" t="s">
        <v>54</v>
      </c>
      <c r="AD115" t="s">
        <v>54</v>
      </c>
      <c r="AE115" t="s">
        <v>54</v>
      </c>
      <c r="AF115" t="s">
        <v>54</v>
      </c>
      <c r="AG115" t="s">
        <v>54</v>
      </c>
      <c r="AH115" t="s">
        <v>54</v>
      </c>
      <c r="AI115" t="s">
        <v>54</v>
      </c>
      <c r="AJ115" t="s">
        <v>54</v>
      </c>
      <c r="AK115" t="s">
        <v>54</v>
      </c>
      <c r="AL115" t="s">
        <v>54</v>
      </c>
      <c r="AM115" t="s">
        <v>54</v>
      </c>
      <c r="AN115" t="s">
        <v>54</v>
      </c>
      <c r="AO115" t="s">
        <v>54</v>
      </c>
      <c r="AP115" t="s">
        <v>54</v>
      </c>
      <c r="AQ115" t="s">
        <v>54</v>
      </c>
    </row>
    <row r="116" spans="1:43" x14ac:dyDescent="0.25">
      <c r="A116" t="s">
        <v>1160</v>
      </c>
      <c r="B116">
        <v>172</v>
      </c>
      <c r="C116">
        <v>118</v>
      </c>
      <c r="D116" t="s">
        <v>1161</v>
      </c>
      <c r="E116" t="s">
        <v>1162</v>
      </c>
      <c r="F116" t="s">
        <v>1163</v>
      </c>
      <c r="G116" t="s">
        <v>1164</v>
      </c>
      <c r="H116" t="s">
        <v>52</v>
      </c>
      <c r="I116" t="s">
        <v>305</v>
      </c>
      <c r="J116">
        <v>0</v>
      </c>
      <c r="K116">
        <v>4</v>
      </c>
      <c r="L116">
        <v>4</v>
      </c>
      <c r="M116" t="s">
        <v>1165</v>
      </c>
      <c r="N116">
        <v>95</v>
      </c>
      <c r="O116">
        <v>174</v>
      </c>
      <c r="P116">
        <v>8</v>
      </c>
      <c r="Q116" t="s">
        <v>1166</v>
      </c>
      <c r="R116" t="s">
        <v>1167</v>
      </c>
      <c r="S116">
        <v>23</v>
      </c>
      <c r="T116">
        <v>0</v>
      </c>
      <c r="U116" t="s">
        <v>52</v>
      </c>
      <c r="V116" t="s">
        <v>1168</v>
      </c>
      <c r="W116" t="s">
        <v>54</v>
      </c>
      <c r="X116" t="s">
        <v>54</v>
      </c>
      <c r="Y116" t="s">
        <v>54</v>
      </c>
      <c r="Z116" t="s">
        <v>54</v>
      </c>
      <c r="AA116" t="s">
        <v>54</v>
      </c>
      <c r="AB116" t="s">
        <v>54</v>
      </c>
      <c r="AC116" t="s">
        <v>54</v>
      </c>
      <c r="AD116" t="s">
        <v>54</v>
      </c>
      <c r="AE116" t="s">
        <v>54</v>
      </c>
      <c r="AF116" t="s">
        <v>54</v>
      </c>
      <c r="AG116" t="s">
        <v>54</v>
      </c>
      <c r="AH116" t="s">
        <v>54</v>
      </c>
      <c r="AI116" t="s">
        <v>54</v>
      </c>
      <c r="AJ116" t="s">
        <v>54</v>
      </c>
      <c r="AK116" t="s">
        <v>54</v>
      </c>
      <c r="AL116" t="s">
        <v>54</v>
      </c>
      <c r="AM116" t="s">
        <v>54</v>
      </c>
      <c r="AN116" t="s">
        <v>54</v>
      </c>
      <c r="AO116" t="s">
        <v>54</v>
      </c>
      <c r="AP116" t="s">
        <v>54</v>
      </c>
      <c r="AQ116" t="s">
        <v>54</v>
      </c>
    </row>
    <row r="117" spans="1:43" x14ac:dyDescent="0.25">
      <c r="A117" t="s">
        <v>1169</v>
      </c>
      <c r="B117">
        <v>115</v>
      </c>
      <c r="C117">
        <v>80</v>
      </c>
      <c r="D117" t="s">
        <v>1170</v>
      </c>
      <c r="E117" t="s">
        <v>1171</v>
      </c>
      <c r="F117" t="s">
        <v>342</v>
      </c>
      <c r="G117" t="s">
        <v>1172</v>
      </c>
      <c r="H117" t="s">
        <v>1128</v>
      </c>
      <c r="I117" t="s">
        <v>1173</v>
      </c>
      <c r="J117">
        <v>1</v>
      </c>
      <c r="K117">
        <v>3</v>
      </c>
      <c r="L117">
        <v>3</v>
      </c>
      <c r="M117" t="s">
        <v>1174</v>
      </c>
      <c r="N117">
        <v>70</v>
      </c>
      <c r="O117">
        <v>115</v>
      </c>
      <c r="P117">
        <v>10</v>
      </c>
      <c r="Q117" t="s">
        <v>1175</v>
      </c>
      <c r="R117" t="s">
        <v>62</v>
      </c>
      <c r="S117">
        <v>21</v>
      </c>
      <c r="T117">
        <v>0</v>
      </c>
      <c r="U117" t="s">
        <v>52</v>
      </c>
      <c r="V117" t="s">
        <v>1176</v>
      </c>
      <c r="W117" t="s">
        <v>54</v>
      </c>
      <c r="X117" t="s">
        <v>54</v>
      </c>
      <c r="Y117" t="s">
        <v>54</v>
      </c>
      <c r="Z117" t="s">
        <v>54</v>
      </c>
      <c r="AA117" t="s">
        <v>54</v>
      </c>
      <c r="AB117" t="s">
        <v>54</v>
      </c>
      <c r="AC117" t="s">
        <v>54</v>
      </c>
      <c r="AD117" t="s">
        <v>54</v>
      </c>
      <c r="AE117" t="s">
        <v>54</v>
      </c>
      <c r="AF117" t="s">
        <v>54</v>
      </c>
      <c r="AG117" t="s">
        <v>54</v>
      </c>
      <c r="AH117" t="s">
        <v>54</v>
      </c>
      <c r="AI117" t="s">
        <v>54</v>
      </c>
      <c r="AJ117" t="s">
        <v>54</v>
      </c>
      <c r="AK117" t="s">
        <v>54</v>
      </c>
      <c r="AL117" t="s">
        <v>54</v>
      </c>
      <c r="AM117" t="s">
        <v>54</v>
      </c>
      <c r="AN117" t="s">
        <v>54</v>
      </c>
      <c r="AO117" t="s">
        <v>54</v>
      </c>
      <c r="AP117" t="s">
        <v>54</v>
      </c>
      <c r="AQ117" t="s">
        <v>54</v>
      </c>
    </row>
    <row r="118" spans="1:43" x14ac:dyDescent="0.25">
      <c r="A118" t="s">
        <v>1177</v>
      </c>
      <c r="B118">
        <v>296</v>
      </c>
      <c r="C118">
        <v>155</v>
      </c>
      <c r="D118" t="s">
        <v>1178</v>
      </c>
      <c r="E118" t="s">
        <v>1179</v>
      </c>
      <c r="F118" t="s">
        <v>1180</v>
      </c>
      <c r="G118" t="s">
        <v>1181</v>
      </c>
      <c r="H118" t="s">
        <v>1182</v>
      </c>
      <c r="I118" t="s">
        <v>1183</v>
      </c>
      <c r="J118">
        <v>4</v>
      </c>
      <c r="K118">
        <v>7</v>
      </c>
      <c r="L118">
        <v>4</v>
      </c>
      <c r="M118" t="s">
        <v>1184</v>
      </c>
      <c r="N118">
        <v>143</v>
      </c>
      <c r="O118">
        <v>296</v>
      </c>
      <c r="P118">
        <v>6</v>
      </c>
      <c r="Q118" t="s">
        <v>1185</v>
      </c>
      <c r="R118" t="s">
        <v>1186</v>
      </c>
      <c r="S118">
        <v>51</v>
      </c>
      <c r="T118">
        <v>0</v>
      </c>
      <c r="U118" t="s">
        <v>52</v>
      </c>
      <c r="V118" t="s">
        <v>1187</v>
      </c>
      <c r="W118" t="s">
        <v>54</v>
      </c>
      <c r="X118" t="s">
        <v>54</v>
      </c>
      <c r="Y118" t="s">
        <v>54</v>
      </c>
      <c r="Z118" t="s">
        <v>54</v>
      </c>
      <c r="AA118" t="s">
        <v>54</v>
      </c>
      <c r="AB118" t="s">
        <v>54</v>
      </c>
      <c r="AC118" t="s">
        <v>54</v>
      </c>
      <c r="AD118" t="s">
        <v>54</v>
      </c>
      <c r="AE118" t="s">
        <v>54</v>
      </c>
      <c r="AF118" t="s">
        <v>54</v>
      </c>
      <c r="AG118" t="s">
        <v>54</v>
      </c>
      <c r="AH118" t="s">
        <v>54</v>
      </c>
      <c r="AI118" t="s">
        <v>54</v>
      </c>
      <c r="AJ118" t="s">
        <v>54</v>
      </c>
      <c r="AK118" t="s">
        <v>54</v>
      </c>
      <c r="AL118" t="s">
        <v>54</v>
      </c>
      <c r="AM118" t="s">
        <v>54</v>
      </c>
      <c r="AN118" t="s">
        <v>54</v>
      </c>
      <c r="AO118" t="s">
        <v>54</v>
      </c>
      <c r="AP118" t="s">
        <v>54</v>
      </c>
      <c r="AQ118" t="s">
        <v>54</v>
      </c>
    </row>
    <row r="119" spans="1:43" x14ac:dyDescent="0.25">
      <c r="A119" t="s">
        <v>1188</v>
      </c>
      <c r="B119">
        <v>190</v>
      </c>
      <c r="C119">
        <v>119</v>
      </c>
      <c r="D119" t="s">
        <v>1189</v>
      </c>
      <c r="E119" t="s">
        <v>909</v>
      </c>
      <c r="F119" t="s">
        <v>1190</v>
      </c>
      <c r="G119" t="s">
        <v>1191</v>
      </c>
      <c r="H119" t="s">
        <v>1192</v>
      </c>
      <c r="I119" t="s">
        <v>1193</v>
      </c>
      <c r="J119">
        <v>1</v>
      </c>
      <c r="K119">
        <v>4</v>
      </c>
      <c r="L119">
        <v>3</v>
      </c>
      <c r="M119" t="s">
        <v>1194</v>
      </c>
      <c r="N119">
        <v>105</v>
      </c>
      <c r="O119">
        <v>190</v>
      </c>
      <c r="P119">
        <v>8</v>
      </c>
      <c r="Q119" t="s">
        <v>1195</v>
      </c>
      <c r="R119" t="s">
        <v>1196</v>
      </c>
      <c r="S119">
        <v>21</v>
      </c>
      <c r="T119">
        <v>0</v>
      </c>
      <c r="U119" t="s">
        <v>52</v>
      </c>
      <c r="V119" t="s">
        <v>1197</v>
      </c>
      <c r="W119" t="s">
        <v>54</v>
      </c>
      <c r="X119" t="s">
        <v>54</v>
      </c>
      <c r="Y119" t="s">
        <v>54</v>
      </c>
      <c r="Z119" t="s">
        <v>54</v>
      </c>
      <c r="AA119" t="s">
        <v>54</v>
      </c>
      <c r="AB119" t="s">
        <v>54</v>
      </c>
      <c r="AC119" t="s">
        <v>54</v>
      </c>
      <c r="AD119" t="s">
        <v>54</v>
      </c>
      <c r="AE119" t="s">
        <v>54</v>
      </c>
      <c r="AF119" t="s">
        <v>54</v>
      </c>
      <c r="AG119" t="s">
        <v>54</v>
      </c>
      <c r="AH119" t="s">
        <v>54</v>
      </c>
      <c r="AI119" t="s">
        <v>54</v>
      </c>
      <c r="AJ119" t="s">
        <v>54</v>
      </c>
      <c r="AK119" t="s">
        <v>54</v>
      </c>
      <c r="AL119" t="s">
        <v>54</v>
      </c>
      <c r="AM119" t="s">
        <v>54</v>
      </c>
      <c r="AN119" t="s">
        <v>54</v>
      </c>
      <c r="AO119" t="s">
        <v>54</v>
      </c>
      <c r="AP119" t="s">
        <v>54</v>
      </c>
      <c r="AQ119" t="s">
        <v>54</v>
      </c>
    </row>
    <row r="120" spans="1:43" x14ac:dyDescent="0.25">
      <c r="A120" t="s">
        <v>1198</v>
      </c>
      <c r="B120">
        <v>139</v>
      </c>
      <c r="C120">
        <v>107</v>
      </c>
      <c r="D120" t="s">
        <v>1199</v>
      </c>
      <c r="E120" t="s">
        <v>1200</v>
      </c>
      <c r="F120" t="s">
        <v>1201</v>
      </c>
      <c r="G120" t="s">
        <v>1202</v>
      </c>
      <c r="H120" t="s">
        <v>1203</v>
      </c>
      <c r="I120" t="s">
        <v>1204</v>
      </c>
      <c r="J120">
        <v>3</v>
      </c>
      <c r="K120">
        <v>6</v>
      </c>
      <c r="L120">
        <v>3</v>
      </c>
      <c r="M120" t="s">
        <v>1205</v>
      </c>
      <c r="N120">
        <v>77</v>
      </c>
      <c r="O120">
        <v>139</v>
      </c>
      <c r="P120">
        <v>10</v>
      </c>
      <c r="Q120" t="s">
        <v>1206</v>
      </c>
      <c r="R120" t="s">
        <v>1207</v>
      </c>
      <c r="S120">
        <v>14</v>
      </c>
      <c r="T120">
        <v>0</v>
      </c>
      <c r="U120" t="s">
        <v>52</v>
      </c>
      <c r="V120" t="s">
        <v>1208</v>
      </c>
      <c r="W120" t="s">
        <v>54</v>
      </c>
      <c r="X120" t="s">
        <v>54</v>
      </c>
      <c r="Y120" t="s">
        <v>54</v>
      </c>
      <c r="Z120" t="s">
        <v>54</v>
      </c>
      <c r="AA120" t="s">
        <v>54</v>
      </c>
      <c r="AB120" t="s">
        <v>54</v>
      </c>
      <c r="AC120" t="s">
        <v>54</v>
      </c>
      <c r="AD120" t="s">
        <v>54</v>
      </c>
      <c r="AE120" t="s">
        <v>54</v>
      </c>
      <c r="AF120" t="s">
        <v>54</v>
      </c>
      <c r="AG120" t="s">
        <v>54</v>
      </c>
      <c r="AH120" t="s">
        <v>54</v>
      </c>
      <c r="AI120" t="s">
        <v>54</v>
      </c>
      <c r="AJ120" t="s">
        <v>54</v>
      </c>
      <c r="AK120" t="s">
        <v>54</v>
      </c>
      <c r="AL120" t="s">
        <v>54</v>
      </c>
      <c r="AM120" t="s">
        <v>54</v>
      </c>
      <c r="AN120" t="s">
        <v>54</v>
      </c>
      <c r="AO120" t="s">
        <v>54</v>
      </c>
      <c r="AP120" t="s">
        <v>54</v>
      </c>
      <c r="AQ120" t="s">
        <v>54</v>
      </c>
    </row>
    <row r="121" spans="1:43" x14ac:dyDescent="0.25">
      <c r="A121" t="s">
        <v>1209</v>
      </c>
      <c r="B121">
        <v>127</v>
      </c>
      <c r="C121">
        <v>90</v>
      </c>
      <c r="D121" t="s">
        <v>1210</v>
      </c>
      <c r="E121" t="s">
        <v>1211</v>
      </c>
      <c r="F121" t="s">
        <v>1212</v>
      </c>
      <c r="G121" t="s">
        <v>1213</v>
      </c>
      <c r="H121" t="s">
        <v>1214</v>
      </c>
      <c r="I121" t="s">
        <v>52</v>
      </c>
      <c r="J121">
        <v>1</v>
      </c>
      <c r="K121">
        <v>0</v>
      </c>
      <c r="L121">
        <v>3</v>
      </c>
      <c r="M121" t="s">
        <v>1215</v>
      </c>
      <c r="N121">
        <v>68</v>
      </c>
      <c r="O121">
        <v>127</v>
      </c>
      <c r="P121">
        <v>9</v>
      </c>
      <c r="Q121" t="s">
        <v>1216</v>
      </c>
      <c r="R121" t="s">
        <v>556</v>
      </c>
      <c r="S121">
        <v>19</v>
      </c>
      <c r="T121">
        <v>0</v>
      </c>
      <c r="U121" t="s">
        <v>52</v>
      </c>
      <c r="V121" t="s">
        <v>1217</v>
      </c>
      <c r="W121" t="s">
        <v>54</v>
      </c>
      <c r="X121" t="s">
        <v>54</v>
      </c>
      <c r="Y121" t="s">
        <v>54</v>
      </c>
      <c r="Z121" t="s">
        <v>54</v>
      </c>
      <c r="AA121" t="s">
        <v>54</v>
      </c>
      <c r="AB121" t="s">
        <v>54</v>
      </c>
      <c r="AC121" t="s">
        <v>54</v>
      </c>
      <c r="AD121" t="s">
        <v>54</v>
      </c>
      <c r="AE121" t="s">
        <v>54</v>
      </c>
      <c r="AF121" t="s">
        <v>54</v>
      </c>
      <c r="AG121" t="s">
        <v>54</v>
      </c>
      <c r="AH121" t="s">
        <v>54</v>
      </c>
      <c r="AI121" t="s">
        <v>54</v>
      </c>
      <c r="AJ121" t="s">
        <v>54</v>
      </c>
      <c r="AK121" t="s">
        <v>54</v>
      </c>
      <c r="AL121" t="s">
        <v>54</v>
      </c>
      <c r="AM121" t="s">
        <v>54</v>
      </c>
      <c r="AN121" t="s">
        <v>54</v>
      </c>
      <c r="AO121" t="s">
        <v>54</v>
      </c>
      <c r="AP121" t="s">
        <v>54</v>
      </c>
      <c r="AQ121" t="s">
        <v>54</v>
      </c>
    </row>
    <row r="122" spans="1:43" x14ac:dyDescent="0.25">
      <c r="A122" t="s">
        <v>1218</v>
      </c>
      <c r="B122">
        <v>205</v>
      </c>
      <c r="C122">
        <v>143</v>
      </c>
      <c r="D122" t="s">
        <v>1219</v>
      </c>
      <c r="E122" t="s">
        <v>1220</v>
      </c>
      <c r="F122" t="s">
        <v>1221</v>
      </c>
      <c r="G122" t="s">
        <v>1222</v>
      </c>
      <c r="H122" t="s">
        <v>1223</v>
      </c>
      <c r="I122" t="s">
        <v>1224</v>
      </c>
      <c r="J122">
        <v>2</v>
      </c>
      <c r="K122">
        <v>5</v>
      </c>
      <c r="L122">
        <v>4</v>
      </c>
      <c r="M122" t="s">
        <v>1225</v>
      </c>
      <c r="N122">
        <v>112</v>
      </c>
      <c r="O122">
        <v>207</v>
      </c>
      <c r="P122">
        <v>8</v>
      </c>
      <c r="Q122" t="s">
        <v>1226</v>
      </c>
      <c r="R122" t="s">
        <v>1227</v>
      </c>
      <c r="S122">
        <v>30</v>
      </c>
      <c r="T122">
        <v>0</v>
      </c>
      <c r="U122" t="s">
        <v>52</v>
      </c>
      <c r="V122" t="s">
        <v>1228</v>
      </c>
      <c r="W122" t="s">
        <v>54</v>
      </c>
      <c r="X122" t="s">
        <v>54</v>
      </c>
      <c r="Y122" t="s">
        <v>54</v>
      </c>
      <c r="Z122" t="s">
        <v>54</v>
      </c>
      <c r="AA122" t="s">
        <v>54</v>
      </c>
      <c r="AB122" t="s">
        <v>54</v>
      </c>
      <c r="AC122" t="s">
        <v>54</v>
      </c>
      <c r="AD122" t="s">
        <v>54</v>
      </c>
      <c r="AE122" t="s">
        <v>54</v>
      </c>
      <c r="AF122" t="s">
        <v>54</v>
      </c>
      <c r="AG122" t="s">
        <v>54</v>
      </c>
      <c r="AH122" t="s">
        <v>54</v>
      </c>
      <c r="AI122" t="s">
        <v>54</v>
      </c>
      <c r="AJ122" t="s">
        <v>54</v>
      </c>
      <c r="AK122" t="s">
        <v>54</v>
      </c>
      <c r="AL122" t="s">
        <v>54</v>
      </c>
      <c r="AM122" t="s">
        <v>54</v>
      </c>
      <c r="AN122" t="s">
        <v>54</v>
      </c>
      <c r="AO122" t="s">
        <v>54</v>
      </c>
      <c r="AP122" t="s">
        <v>54</v>
      </c>
      <c r="AQ122" t="s">
        <v>54</v>
      </c>
    </row>
    <row r="123" spans="1:43" x14ac:dyDescent="0.25">
      <c r="A123" t="s">
        <v>1229</v>
      </c>
      <c r="B123">
        <v>127</v>
      </c>
      <c r="C123">
        <v>88</v>
      </c>
      <c r="D123" t="s">
        <v>1230</v>
      </c>
      <c r="E123" t="s">
        <v>1231</v>
      </c>
      <c r="F123" t="s">
        <v>1232</v>
      </c>
      <c r="G123" t="s">
        <v>1233</v>
      </c>
      <c r="H123" t="s">
        <v>52</v>
      </c>
      <c r="I123" t="s">
        <v>1214</v>
      </c>
      <c r="J123">
        <v>0</v>
      </c>
      <c r="K123">
        <v>1</v>
      </c>
      <c r="L123">
        <v>2</v>
      </c>
      <c r="M123" t="s">
        <v>1234</v>
      </c>
      <c r="N123">
        <v>81</v>
      </c>
      <c r="O123">
        <v>127</v>
      </c>
      <c r="P123">
        <v>13</v>
      </c>
      <c r="Q123" t="s">
        <v>1235</v>
      </c>
      <c r="R123" t="s">
        <v>115</v>
      </c>
      <c r="S123">
        <v>10</v>
      </c>
      <c r="T123">
        <v>0</v>
      </c>
      <c r="U123" t="s">
        <v>52</v>
      </c>
      <c r="V123" t="s">
        <v>1236</v>
      </c>
      <c r="W123" t="s">
        <v>54</v>
      </c>
      <c r="X123" t="s">
        <v>54</v>
      </c>
      <c r="Y123" t="s">
        <v>54</v>
      </c>
      <c r="Z123" t="s">
        <v>54</v>
      </c>
      <c r="AA123" t="s">
        <v>54</v>
      </c>
      <c r="AB123" t="s">
        <v>54</v>
      </c>
      <c r="AC123" t="s">
        <v>54</v>
      </c>
      <c r="AD123" t="s">
        <v>54</v>
      </c>
      <c r="AE123" t="s">
        <v>54</v>
      </c>
      <c r="AF123" t="s">
        <v>54</v>
      </c>
      <c r="AG123" t="s">
        <v>54</v>
      </c>
      <c r="AH123" t="s">
        <v>54</v>
      </c>
      <c r="AI123" t="s">
        <v>54</v>
      </c>
      <c r="AJ123" t="s">
        <v>54</v>
      </c>
      <c r="AK123" t="s">
        <v>54</v>
      </c>
      <c r="AL123" t="s">
        <v>54</v>
      </c>
      <c r="AM123" t="s">
        <v>54</v>
      </c>
      <c r="AN123" t="s">
        <v>54</v>
      </c>
      <c r="AO123" t="s">
        <v>54</v>
      </c>
      <c r="AP123" t="s">
        <v>54</v>
      </c>
      <c r="AQ123" t="s">
        <v>54</v>
      </c>
    </row>
    <row r="124" spans="1:43" x14ac:dyDescent="0.25">
      <c r="A124" t="s">
        <v>1237</v>
      </c>
      <c r="B124">
        <v>162</v>
      </c>
      <c r="C124">
        <v>100</v>
      </c>
      <c r="D124" t="s">
        <v>1238</v>
      </c>
      <c r="E124" t="s">
        <v>1239</v>
      </c>
      <c r="F124" t="s">
        <v>1240</v>
      </c>
      <c r="G124" t="s">
        <v>1241</v>
      </c>
      <c r="H124" t="s">
        <v>52</v>
      </c>
      <c r="I124" t="s">
        <v>1242</v>
      </c>
      <c r="J124">
        <v>0</v>
      </c>
      <c r="K124">
        <v>4</v>
      </c>
      <c r="L124">
        <v>3</v>
      </c>
      <c r="M124" t="s">
        <v>1243</v>
      </c>
      <c r="N124">
        <v>90</v>
      </c>
      <c r="O124">
        <v>162</v>
      </c>
      <c r="P124">
        <v>18</v>
      </c>
      <c r="Q124" t="s">
        <v>1244</v>
      </c>
      <c r="R124" t="s">
        <v>975</v>
      </c>
      <c r="S124">
        <v>13</v>
      </c>
      <c r="T124">
        <v>0</v>
      </c>
      <c r="U124" t="s">
        <v>52</v>
      </c>
      <c r="V124" t="s">
        <v>1245</v>
      </c>
      <c r="W124" t="s">
        <v>54</v>
      </c>
      <c r="X124" t="s">
        <v>54</v>
      </c>
      <c r="Y124" t="s">
        <v>54</v>
      </c>
      <c r="Z124" t="s">
        <v>54</v>
      </c>
      <c r="AA124" t="s">
        <v>54</v>
      </c>
      <c r="AB124" t="s">
        <v>54</v>
      </c>
      <c r="AC124" t="s">
        <v>54</v>
      </c>
      <c r="AD124" t="s">
        <v>54</v>
      </c>
      <c r="AE124" t="s">
        <v>54</v>
      </c>
      <c r="AF124" t="s">
        <v>54</v>
      </c>
      <c r="AG124" t="s">
        <v>54</v>
      </c>
      <c r="AH124" t="s">
        <v>54</v>
      </c>
      <c r="AI124" t="s">
        <v>54</v>
      </c>
      <c r="AJ124" t="s">
        <v>54</v>
      </c>
      <c r="AK124" t="s">
        <v>54</v>
      </c>
      <c r="AL124" t="s">
        <v>54</v>
      </c>
      <c r="AM124" t="s">
        <v>54</v>
      </c>
      <c r="AN124" t="s">
        <v>54</v>
      </c>
      <c r="AO124" t="s">
        <v>54</v>
      </c>
      <c r="AP124" t="s">
        <v>54</v>
      </c>
      <c r="AQ124" t="s">
        <v>54</v>
      </c>
    </row>
    <row r="125" spans="1:43" x14ac:dyDescent="0.25">
      <c r="A125" t="s">
        <v>1246</v>
      </c>
      <c r="B125">
        <v>159</v>
      </c>
      <c r="C125">
        <v>110</v>
      </c>
      <c r="D125" t="s">
        <v>1247</v>
      </c>
      <c r="E125" t="s">
        <v>1248</v>
      </c>
      <c r="F125" t="s">
        <v>1249</v>
      </c>
      <c r="G125" t="s">
        <v>1250</v>
      </c>
      <c r="H125" t="s">
        <v>1251</v>
      </c>
      <c r="I125" t="s">
        <v>1252</v>
      </c>
      <c r="J125">
        <v>2</v>
      </c>
      <c r="K125">
        <v>1</v>
      </c>
      <c r="L125">
        <v>5</v>
      </c>
      <c r="M125" t="s">
        <v>1253</v>
      </c>
      <c r="N125">
        <v>89</v>
      </c>
      <c r="O125">
        <v>162</v>
      </c>
      <c r="P125">
        <v>18</v>
      </c>
      <c r="Q125" t="s">
        <v>1254</v>
      </c>
      <c r="R125" t="s">
        <v>1016</v>
      </c>
      <c r="S125">
        <v>15</v>
      </c>
      <c r="T125">
        <v>0</v>
      </c>
      <c r="U125" t="s">
        <v>52</v>
      </c>
      <c r="V125" t="s">
        <v>1255</v>
      </c>
      <c r="W125" t="s">
        <v>54</v>
      </c>
      <c r="X125" t="s">
        <v>54</v>
      </c>
      <c r="Y125" t="s">
        <v>54</v>
      </c>
      <c r="Z125" t="s">
        <v>54</v>
      </c>
      <c r="AA125" t="s">
        <v>54</v>
      </c>
      <c r="AB125" t="s">
        <v>54</v>
      </c>
      <c r="AC125" t="s">
        <v>54</v>
      </c>
      <c r="AD125" t="s">
        <v>54</v>
      </c>
      <c r="AE125" t="s">
        <v>54</v>
      </c>
      <c r="AF125" t="s">
        <v>54</v>
      </c>
      <c r="AG125" t="s">
        <v>54</v>
      </c>
      <c r="AH125" t="s">
        <v>54</v>
      </c>
      <c r="AI125" t="s">
        <v>54</v>
      </c>
      <c r="AJ125" t="s">
        <v>54</v>
      </c>
      <c r="AK125" t="s">
        <v>54</v>
      </c>
      <c r="AL125" t="s">
        <v>54</v>
      </c>
      <c r="AM125" t="s">
        <v>54</v>
      </c>
      <c r="AN125" t="s">
        <v>54</v>
      </c>
      <c r="AO125" t="s">
        <v>54</v>
      </c>
      <c r="AP125" t="s">
        <v>54</v>
      </c>
      <c r="AQ125" t="s">
        <v>54</v>
      </c>
    </row>
    <row r="126" spans="1:43" x14ac:dyDescent="0.25">
      <c r="A126" t="s">
        <v>1256</v>
      </c>
      <c r="B126">
        <v>142</v>
      </c>
      <c r="C126">
        <v>94</v>
      </c>
      <c r="D126" t="s">
        <v>1257</v>
      </c>
      <c r="E126" t="s">
        <v>760</v>
      </c>
      <c r="F126" t="s">
        <v>1258</v>
      </c>
      <c r="G126" t="s">
        <v>1259</v>
      </c>
      <c r="H126" t="s">
        <v>52</v>
      </c>
      <c r="I126" t="s">
        <v>704</v>
      </c>
      <c r="J126">
        <v>0</v>
      </c>
      <c r="K126">
        <v>2</v>
      </c>
      <c r="L126">
        <v>2</v>
      </c>
      <c r="M126" t="s">
        <v>1260</v>
      </c>
      <c r="N126">
        <v>82</v>
      </c>
      <c r="O126">
        <v>143</v>
      </c>
      <c r="P126">
        <v>9</v>
      </c>
      <c r="Q126" t="s">
        <v>1261</v>
      </c>
      <c r="R126" t="s">
        <v>556</v>
      </c>
      <c r="S126">
        <v>19</v>
      </c>
      <c r="T126">
        <v>0</v>
      </c>
      <c r="U126" t="s">
        <v>52</v>
      </c>
      <c r="V126" t="s">
        <v>1262</v>
      </c>
      <c r="W126" t="s">
        <v>54</v>
      </c>
      <c r="X126" t="s">
        <v>54</v>
      </c>
      <c r="Y126" t="s">
        <v>54</v>
      </c>
      <c r="Z126" t="s">
        <v>54</v>
      </c>
      <c r="AA126" t="s">
        <v>54</v>
      </c>
      <c r="AB126" t="s">
        <v>54</v>
      </c>
      <c r="AC126" t="s">
        <v>54</v>
      </c>
      <c r="AD126" t="s">
        <v>54</v>
      </c>
      <c r="AE126" t="s">
        <v>54</v>
      </c>
      <c r="AF126" t="s">
        <v>54</v>
      </c>
      <c r="AG126" t="s">
        <v>54</v>
      </c>
      <c r="AH126" t="s">
        <v>54</v>
      </c>
      <c r="AI126" t="s">
        <v>54</v>
      </c>
      <c r="AJ126" t="s">
        <v>54</v>
      </c>
      <c r="AK126" t="s">
        <v>54</v>
      </c>
      <c r="AL126" t="s">
        <v>54</v>
      </c>
      <c r="AM126" t="s">
        <v>54</v>
      </c>
      <c r="AN126" t="s">
        <v>54</v>
      </c>
      <c r="AO126" t="s">
        <v>54</v>
      </c>
      <c r="AP126" t="s">
        <v>54</v>
      </c>
      <c r="AQ126" t="s">
        <v>54</v>
      </c>
    </row>
    <row r="127" spans="1:43" x14ac:dyDescent="0.25">
      <c r="A127" t="s">
        <v>1263</v>
      </c>
      <c r="B127">
        <v>154</v>
      </c>
      <c r="C127">
        <v>100</v>
      </c>
      <c r="D127" t="s">
        <v>1264</v>
      </c>
      <c r="E127" t="s">
        <v>1265</v>
      </c>
      <c r="F127" t="s">
        <v>1266</v>
      </c>
      <c r="G127" t="s">
        <v>1267</v>
      </c>
      <c r="H127" t="s">
        <v>1268</v>
      </c>
      <c r="I127" t="s">
        <v>1269</v>
      </c>
      <c r="J127">
        <v>6</v>
      </c>
      <c r="K127">
        <v>5</v>
      </c>
      <c r="L127">
        <v>2</v>
      </c>
      <c r="M127" t="s">
        <v>1265</v>
      </c>
      <c r="N127">
        <v>78</v>
      </c>
      <c r="O127">
        <v>154</v>
      </c>
      <c r="P127">
        <v>1</v>
      </c>
      <c r="Q127" t="s">
        <v>1270</v>
      </c>
      <c r="R127" t="s">
        <v>1271</v>
      </c>
      <c r="S127">
        <v>25</v>
      </c>
      <c r="T127">
        <v>0</v>
      </c>
      <c r="U127" t="s">
        <v>52</v>
      </c>
      <c r="V127" t="s">
        <v>1272</v>
      </c>
      <c r="W127" t="s">
        <v>54</v>
      </c>
      <c r="X127" t="s">
        <v>54</v>
      </c>
      <c r="Y127" t="s">
        <v>54</v>
      </c>
      <c r="Z127" t="s">
        <v>54</v>
      </c>
      <c r="AA127" t="s">
        <v>54</v>
      </c>
      <c r="AB127" t="s">
        <v>54</v>
      </c>
      <c r="AC127" t="s">
        <v>54</v>
      </c>
      <c r="AD127" t="s">
        <v>54</v>
      </c>
      <c r="AE127" t="s">
        <v>54</v>
      </c>
      <c r="AF127" t="s">
        <v>54</v>
      </c>
      <c r="AG127" t="s">
        <v>54</v>
      </c>
      <c r="AH127" t="s">
        <v>54</v>
      </c>
      <c r="AI127" t="s">
        <v>54</v>
      </c>
      <c r="AJ127" t="s">
        <v>54</v>
      </c>
      <c r="AK127" t="s">
        <v>54</v>
      </c>
      <c r="AL127" t="s">
        <v>54</v>
      </c>
      <c r="AM127" t="s">
        <v>54</v>
      </c>
      <c r="AN127" t="s">
        <v>54</v>
      </c>
      <c r="AO127" t="s">
        <v>54</v>
      </c>
      <c r="AP127" t="s">
        <v>54</v>
      </c>
      <c r="AQ127" t="s">
        <v>54</v>
      </c>
    </row>
    <row r="128" spans="1:43" x14ac:dyDescent="0.25">
      <c r="A128" t="s">
        <v>1273</v>
      </c>
      <c r="B128">
        <v>172</v>
      </c>
      <c r="C128">
        <v>121</v>
      </c>
      <c r="D128" t="s">
        <v>1274</v>
      </c>
      <c r="E128" t="s">
        <v>1275</v>
      </c>
      <c r="F128" t="s">
        <v>1276</v>
      </c>
      <c r="G128" t="s">
        <v>1277</v>
      </c>
      <c r="H128" t="s">
        <v>1278</v>
      </c>
      <c r="I128" t="s">
        <v>1279</v>
      </c>
      <c r="J128">
        <v>1</v>
      </c>
      <c r="K128">
        <v>2</v>
      </c>
      <c r="L128">
        <v>3</v>
      </c>
      <c r="M128" t="s">
        <v>1280</v>
      </c>
      <c r="N128">
        <v>102</v>
      </c>
      <c r="O128">
        <v>172</v>
      </c>
      <c r="P128">
        <v>12</v>
      </c>
      <c r="Q128" t="s">
        <v>1281</v>
      </c>
      <c r="R128" t="s">
        <v>1282</v>
      </c>
      <c r="S128">
        <v>19</v>
      </c>
      <c r="T128">
        <v>0</v>
      </c>
      <c r="U128" t="s">
        <v>52</v>
      </c>
      <c r="V128" t="s">
        <v>1283</v>
      </c>
      <c r="W128" t="s">
        <v>54</v>
      </c>
      <c r="X128" t="s">
        <v>54</v>
      </c>
      <c r="Y128" t="s">
        <v>54</v>
      </c>
      <c r="Z128" t="s">
        <v>54</v>
      </c>
      <c r="AA128" t="s">
        <v>54</v>
      </c>
      <c r="AB128" t="s">
        <v>54</v>
      </c>
      <c r="AC128" t="s">
        <v>54</v>
      </c>
      <c r="AD128" t="s">
        <v>54</v>
      </c>
      <c r="AE128" t="s">
        <v>54</v>
      </c>
      <c r="AF128" t="s">
        <v>54</v>
      </c>
      <c r="AG128" t="s">
        <v>54</v>
      </c>
      <c r="AH128" t="s">
        <v>54</v>
      </c>
      <c r="AI128" t="s">
        <v>54</v>
      </c>
      <c r="AJ128" t="s">
        <v>54</v>
      </c>
      <c r="AK128" t="s">
        <v>54</v>
      </c>
      <c r="AL128" t="s">
        <v>54</v>
      </c>
      <c r="AM128" t="s">
        <v>54</v>
      </c>
      <c r="AN128" t="s">
        <v>54</v>
      </c>
      <c r="AO128" t="s">
        <v>54</v>
      </c>
      <c r="AP128" t="s">
        <v>54</v>
      </c>
      <c r="AQ128" t="s">
        <v>54</v>
      </c>
    </row>
    <row r="129" spans="1:43" x14ac:dyDescent="0.25">
      <c r="A129" t="s">
        <v>1284</v>
      </c>
      <c r="B129">
        <v>142</v>
      </c>
      <c r="C129">
        <v>106</v>
      </c>
      <c r="D129" t="s">
        <v>1285</v>
      </c>
      <c r="E129" t="s">
        <v>1286</v>
      </c>
      <c r="F129" t="s">
        <v>1287</v>
      </c>
      <c r="G129" t="s">
        <v>1288</v>
      </c>
      <c r="H129" t="s">
        <v>704</v>
      </c>
      <c r="I129" t="s">
        <v>1289</v>
      </c>
      <c r="J129">
        <v>2</v>
      </c>
      <c r="K129">
        <v>1</v>
      </c>
      <c r="L129">
        <v>2</v>
      </c>
      <c r="M129" t="s">
        <v>1290</v>
      </c>
      <c r="N129">
        <v>83</v>
      </c>
      <c r="O129">
        <v>144</v>
      </c>
      <c r="P129">
        <v>7</v>
      </c>
      <c r="Q129" t="s">
        <v>1080</v>
      </c>
      <c r="R129" t="s">
        <v>832</v>
      </c>
      <c r="S129">
        <v>20</v>
      </c>
      <c r="T129">
        <v>0</v>
      </c>
      <c r="U129" t="s">
        <v>52</v>
      </c>
      <c r="V129" t="s">
        <v>1291</v>
      </c>
      <c r="W129" t="s">
        <v>54</v>
      </c>
      <c r="X129" t="s">
        <v>54</v>
      </c>
      <c r="Y129" t="s">
        <v>54</v>
      </c>
      <c r="Z129" t="s">
        <v>54</v>
      </c>
      <c r="AA129" t="s">
        <v>54</v>
      </c>
      <c r="AB129" t="s">
        <v>54</v>
      </c>
      <c r="AC129" t="s">
        <v>54</v>
      </c>
      <c r="AD129" t="s">
        <v>54</v>
      </c>
      <c r="AE129" t="s">
        <v>54</v>
      </c>
      <c r="AF129" t="s">
        <v>54</v>
      </c>
      <c r="AG129" t="s">
        <v>54</v>
      </c>
      <c r="AH129" t="s">
        <v>54</v>
      </c>
      <c r="AI129" t="s">
        <v>54</v>
      </c>
      <c r="AJ129" t="s">
        <v>54</v>
      </c>
      <c r="AK129" t="s">
        <v>54</v>
      </c>
      <c r="AL129" t="s">
        <v>54</v>
      </c>
      <c r="AM129" t="s">
        <v>54</v>
      </c>
      <c r="AN129" t="s">
        <v>54</v>
      </c>
      <c r="AO129" t="s">
        <v>54</v>
      </c>
      <c r="AP129" t="s">
        <v>54</v>
      </c>
      <c r="AQ129" t="s">
        <v>54</v>
      </c>
    </row>
    <row r="130" spans="1:43" x14ac:dyDescent="0.25">
      <c r="A130" t="s">
        <v>1292</v>
      </c>
      <c r="B130">
        <v>169</v>
      </c>
      <c r="C130">
        <v>102</v>
      </c>
      <c r="D130" t="s">
        <v>1293</v>
      </c>
      <c r="E130" t="s">
        <v>681</v>
      </c>
      <c r="F130" t="s">
        <v>1294</v>
      </c>
      <c r="G130" t="s">
        <v>1295</v>
      </c>
      <c r="H130" t="s">
        <v>685</v>
      </c>
      <c r="I130" t="s">
        <v>1296</v>
      </c>
      <c r="J130">
        <v>1</v>
      </c>
      <c r="K130">
        <v>3</v>
      </c>
      <c r="L130">
        <v>5</v>
      </c>
      <c r="M130" t="s">
        <v>1297</v>
      </c>
      <c r="N130">
        <v>94</v>
      </c>
      <c r="O130">
        <v>169</v>
      </c>
      <c r="P130">
        <v>9</v>
      </c>
      <c r="Q130" t="s">
        <v>1298</v>
      </c>
      <c r="R130" t="s">
        <v>1299</v>
      </c>
      <c r="S130">
        <v>25</v>
      </c>
      <c r="T130">
        <v>0</v>
      </c>
      <c r="U130" t="s">
        <v>52</v>
      </c>
      <c r="V130" t="s">
        <v>1300</v>
      </c>
      <c r="W130" t="s">
        <v>54</v>
      </c>
      <c r="X130" t="s">
        <v>54</v>
      </c>
      <c r="Y130" t="s">
        <v>54</v>
      </c>
      <c r="Z130" t="s">
        <v>54</v>
      </c>
      <c r="AA130" t="s">
        <v>54</v>
      </c>
      <c r="AB130" t="s">
        <v>54</v>
      </c>
      <c r="AC130" t="s">
        <v>54</v>
      </c>
      <c r="AD130" t="s">
        <v>54</v>
      </c>
      <c r="AE130" t="s">
        <v>54</v>
      </c>
      <c r="AF130" t="s">
        <v>54</v>
      </c>
      <c r="AG130" t="s">
        <v>54</v>
      </c>
      <c r="AH130" t="s">
        <v>54</v>
      </c>
      <c r="AI130" t="s">
        <v>54</v>
      </c>
      <c r="AJ130" t="s">
        <v>54</v>
      </c>
      <c r="AK130" t="s">
        <v>54</v>
      </c>
      <c r="AL130" t="s">
        <v>54</v>
      </c>
      <c r="AM130" t="s">
        <v>54</v>
      </c>
      <c r="AN130" t="s">
        <v>54</v>
      </c>
      <c r="AO130" t="s">
        <v>54</v>
      </c>
      <c r="AP130" t="s">
        <v>54</v>
      </c>
      <c r="AQ130" t="s">
        <v>54</v>
      </c>
    </row>
    <row r="131" spans="1:43" x14ac:dyDescent="0.25">
      <c r="A131" t="s">
        <v>1301</v>
      </c>
      <c r="B131">
        <v>103</v>
      </c>
      <c r="C131">
        <v>74</v>
      </c>
      <c r="D131" t="s">
        <v>682</v>
      </c>
      <c r="E131" t="s">
        <v>1302</v>
      </c>
      <c r="F131" t="s">
        <v>1303</v>
      </c>
      <c r="G131" t="s">
        <v>1304</v>
      </c>
      <c r="H131" t="s">
        <v>334</v>
      </c>
      <c r="I131" t="s">
        <v>334</v>
      </c>
      <c r="J131">
        <v>1</v>
      </c>
      <c r="K131">
        <v>1</v>
      </c>
      <c r="L131">
        <v>3</v>
      </c>
      <c r="M131" t="s">
        <v>799</v>
      </c>
      <c r="N131">
        <v>56</v>
      </c>
      <c r="O131">
        <v>103</v>
      </c>
      <c r="P131">
        <v>7</v>
      </c>
      <c r="Q131" t="s">
        <v>1305</v>
      </c>
      <c r="R131" t="s">
        <v>252</v>
      </c>
      <c r="S131">
        <v>10</v>
      </c>
      <c r="T131">
        <v>0</v>
      </c>
      <c r="U131" t="s">
        <v>52</v>
      </c>
      <c r="V131" t="s">
        <v>1306</v>
      </c>
      <c r="W131" t="s">
        <v>54</v>
      </c>
      <c r="X131" t="s">
        <v>54</v>
      </c>
      <c r="Y131" t="s">
        <v>54</v>
      </c>
      <c r="Z131" t="s">
        <v>54</v>
      </c>
      <c r="AA131" t="s">
        <v>54</v>
      </c>
      <c r="AB131" t="s">
        <v>54</v>
      </c>
      <c r="AC131" t="s">
        <v>54</v>
      </c>
      <c r="AD131" t="s">
        <v>54</v>
      </c>
      <c r="AE131" t="s">
        <v>54</v>
      </c>
      <c r="AF131" t="s">
        <v>54</v>
      </c>
      <c r="AG131" t="s">
        <v>54</v>
      </c>
      <c r="AH131" t="s">
        <v>54</v>
      </c>
      <c r="AI131" t="s">
        <v>54</v>
      </c>
      <c r="AJ131" t="s">
        <v>54</v>
      </c>
      <c r="AK131" t="s">
        <v>54</v>
      </c>
      <c r="AL131" t="s">
        <v>54</v>
      </c>
      <c r="AM131" t="s">
        <v>54</v>
      </c>
      <c r="AN131" t="s">
        <v>54</v>
      </c>
      <c r="AO131" t="s">
        <v>54</v>
      </c>
      <c r="AP131" t="s">
        <v>54</v>
      </c>
      <c r="AQ131" t="s">
        <v>54</v>
      </c>
    </row>
    <row r="132" spans="1:43" x14ac:dyDescent="0.25">
      <c r="A132" t="s">
        <v>1307</v>
      </c>
      <c r="B132">
        <v>118</v>
      </c>
      <c r="C132">
        <v>83</v>
      </c>
      <c r="D132" t="s">
        <v>1308</v>
      </c>
      <c r="E132" t="s">
        <v>1309</v>
      </c>
      <c r="F132" t="s">
        <v>1310</v>
      </c>
      <c r="G132" t="s">
        <v>1311</v>
      </c>
      <c r="H132" t="s">
        <v>1312</v>
      </c>
      <c r="I132" t="s">
        <v>1312</v>
      </c>
      <c r="J132">
        <v>2</v>
      </c>
      <c r="K132">
        <v>2</v>
      </c>
      <c r="L132">
        <v>3</v>
      </c>
      <c r="M132" t="s">
        <v>1313</v>
      </c>
      <c r="N132">
        <v>68</v>
      </c>
      <c r="O132">
        <v>118</v>
      </c>
      <c r="P132">
        <v>5</v>
      </c>
      <c r="Q132" t="s">
        <v>1314</v>
      </c>
      <c r="R132" t="s">
        <v>921</v>
      </c>
      <c r="S132">
        <v>14</v>
      </c>
      <c r="T132">
        <v>0</v>
      </c>
      <c r="U132" t="s">
        <v>52</v>
      </c>
      <c r="V132" t="s">
        <v>1315</v>
      </c>
      <c r="W132" t="s">
        <v>54</v>
      </c>
      <c r="X132" t="s">
        <v>54</v>
      </c>
      <c r="Y132" t="s">
        <v>54</v>
      </c>
      <c r="Z132" t="s">
        <v>54</v>
      </c>
      <c r="AA132" t="s">
        <v>54</v>
      </c>
      <c r="AB132" t="s">
        <v>54</v>
      </c>
      <c r="AC132" t="s">
        <v>54</v>
      </c>
      <c r="AD132" t="s">
        <v>54</v>
      </c>
      <c r="AE132" t="s">
        <v>54</v>
      </c>
      <c r="AF132" t="s">
        <v>54</v>
      </c>
      <c r="AG132" t="s">
        <v>54</v>
      </c>
      <c r="AH132" t="s">
        <v>54</v>
      </c>
      <c r="AI132" t="s">
        <v>54</v>
      </c>
      <c r="AJ132" t="s">
        <v>54</v>
      </c>
      <c r="AK132" t="s">
        <v>54</v>
      </c>
      <c r="AL132" t="s">
        <v>54</v>
      </c>
      <c r="AM132" t="s">
        <v>54</v>
      </c>
      <c r="AN132" t="s">
        <v>54</v>
      </c>
      <c r="AO132" t="s">
        <v>54</v>
      </c>
      <c r="AP132" t="s">
        <v>54</v>
      </c>
      <c r="AQ132" t="s">
        <v>54</v>
      </c>
    </row>
    <row r="133" spans="1:43" x14ac:dyDescent="0.25">
      <c r="A133" t="s">
        <v>1316</v>
      </c>
      <c r="B133">
        <v>130</v>
      </c>
      <c r="C133">
        <v>92</v>
      </c>
      <c r="D133" t="s">
        <v>1317</v>
      </c>
      <c r="E133" t="s">
        <v>1318</v>
      </c>
      <c r="F133" t="s">
        <v>1319</v>
      </c>
      <c r="G133" t="s">
        <v>1320</v>
      </c>
      <c r="H133" t="s">
        <v>1321</v>
      </c>
      <c r="I133" t="s">
        <v>871</v>
      </c>
      <c r="J133">
        <v>1</v>
      </c>
      <c r="K133">
        <v>2</v>
      </c>
      <c r="L133">
        <v>4</v>
      </c>
      <c r="M133" t="s">
        <v>705</v>
      </c>
      <c r="N133">
        <v>72</v>
      </c>
      <c r="O133">
        <v>132</v>
      </c>
      <c r="P133">
        <v>14</v>
      </c>
      <c r="Q133" t="s">
        <v>1322</v>
      </c>
      <c r="R133" t="s">
        <v>1323</v>
      </c>
      <c r="S133">
        <v>15</v>
      </c>
      <c r="T133">
        <v>0</v>
      </c>
      <c r="U133" t="s">
        <v>52</v>
      </c>
      <c r="V133" t="s">
        <v>1324</v>
      </c>
      <c r="W133" t="s">
        <v>54</v>
      </c>
      <c r="X133" t="s">
        <v>54</v>
      </c>
      <c r="Y133" t="s">
        <v>54</v>
      </c>
      <c r="Z133" t="s">
        <v>54</v>
      </c>
      <c r="AA133" t="s">
        <v>54</v>
      </c>
      <c r="AB133" t="s">
        <v>54</v>
      </c>
      <c r="AC133" t="s">
        <v>54</v>
      </c>
      <c r="AD133" t="s">
        <v>54</v>
      </c>
      <c r="AE133" t="s">
        <v>54</v>
      </c>
      <c r="AF133" t="s">
        <v>54</v>
      </c>
      <c r="AG133" t="s">
        <v>54</v>
      </c>
      <c r="AH133" t="s">
        <v>54</v>
      </c>
      <c r="AI133" t="s">
        <v>54</v>
      </c>
      <c r="AJ133" t="s">
        <v>54</v>
      </c>
      <c r="AK133" t="s">
        <v>54</v>
      </c>
      <c r="AL133" t="s">
        <v>54</v>
      </c>
      <c r="AM133" t="s">
        <v>54</v>
      </c>
      <c r="AN133" t="s">
        <v>54</v>
      </c>
      <c r="AO133" t="s">
        <v>54</v>
      </c>
      <c r="AP133" t="s">
        <v>54</v>
      </c>
      <c r="AQ133" t="s">
        <v>54</v>
      </c>
    </row>
    <row r="134" spans="1:43" x14ac:dyDescent="0.25">
      <c r="A134" t="s">
        <v>1325</v>
      </c>
      <c r="B134">
        <v>138</v>
      </c>
      <c r="C134">
        <v>94</v>
      </c>
      <c r="D134" t="s">
        <v>1326</v>
      </c>
      <c r="E134" t="s">
        <v>1327</v>
      </c>
      <c r="F134" t="s">
        <v>1328</v>
      </c>
      <c r="G134" t="s">
        <v>1329</v>
      </c>
      <c r="H134" t="s">
        <v>1330</v>
      </c>
      <c r="I134" t="s">
        <v>666</v>
      </c>
      <c r="J134">
        <v>5</v>
      </c>
      <c r="K134">
        <v>3</v>
      </c>
      <c r="L134">
        <v>4</v>
      </c>
      <c r="M134" t="s">
        <v>1331</v>
      </c>
      <c r="N134">
        <v>80</v>
      </c>
      <c r="O134">
        <v>138</v>
      </c>
      <c r="P134">
        <v>13</v>
      </c>
      <c r="Q134" t="s">
        <v>538</v>
      </c>
      <c r="R134" t="s">
        <v>1332</v>
      </c>
      <c r="S134">
        <v>23</v>
      </c>
      <c r="T134">
        <v>0</v>
      </c>
      <c r="U134" t="s">
        <v>52</v>
      </c>
      <c r="V134" t="s">
        <v>1333</v>
      </c>
      <c r="W134" t="s">
        <v>54</v>
      </c>
      <c r="X134" t="s">
        <v>54</v>
      </c>
      <c r="Y134" t="s">
        <v>54</v>
      </c>
      <c r="Z134" t="s">
        <v>54</v>
      </c>
      <c r="AA134" t="s">
        <v>54</v>
      </c>
      <c r="AB134" t="s">
        <v>54</v>
      </c>
      <c r="AC134" t="s">
        <v>54</v>
      </c>
      <c r="AD134" t="s">
        <v>54</v>
      </c>
      <c r="AE134" t="s">
        <v>54</v>
      </c>
      <c r="AF134" t="s">
        <v>54</v>
      </c>
      <c r="AG134" t="s">
        <v>54</v>
      </c>
      <c r="AH134" t="s">
        <v>54</v>
      </c>
      <c r="AI134" t="s">
        <v>54</v>
      </c>
      <c r="AJ134" t="s">
        <v>54</v>
      </c>
      <c r="AK134" t="s">
        <v>54</v>
      </c>
      <c r="AL134" t="s">
        <v>54</v>
      </c>
      <c r="AM134" t="s">
        <v>54</v>
      </c>
      <c r="AN134" t="s">
        <v>54</v>
      </c>
      <c r="AO134" t="s">
        <v>54</v>
      </c>
      <c r="AP134" t="s">
        <v>54</v>
      </c>
      <c r="AQ134" t="s">
        <v>54</v>
      </c>
    </row>
    <row r="135" spans="1:43" x14ac:dyDescent="0.25">
      <c r="A135" t="s">
        <v>1334</v>
      </c>
      <c r="B135">
        <v>191</v>
      </c>
      <c r="C135">
        <v>138</v>
      </c>
      <c r="D135" t="s">
        <v>1335</v>
      </c>
      <c r="E135" t="s">
        <v>1336</v>
      </c>
      <c r="F135" t="s">
        <v>1337</v>
      </c>
      <c r="G135" t="s">
        <v>1338</v>
      </c>
      <c r="H135" t="s">
        <v>1339</v>
      </c>
      <c r="I135" t="s">
        <v>1340</v>
      </c>
      <c r="J135">
        <v>4</v>
      </c>
      <c r="K135">
        <v>7</v>
      </c>
      <c r="L135">
        <v>3</v>
      </c>
      <c r="M135" t="s">
        <v>1341</v>
      </c>
      <c r="N135">
        <v>102</v>
      </c>
      <c r="O135">
        <v>192</v>
      </c>
      <c r="P135">
        <v>1</v>
      </c>
      <c r="Q135" t="s">
        <v>1342</v>
      </c>
      <c r="R135" t="s">
        <v>1343</v>
      </c>
      <c r="S135">
        <v>14</v>
      </c>
      <c r="T135">
        <v>0</v>
      </c>
      <c r="U135" t="s">
        <v>52</v>
      </c>
      <c r="V135" t="s">
        <v>1344</v>
      </c>
      <c r="W135" t="s">
        <v>54</v>
      </c>
      <c r="X135" t="s">
        <v>54</v>
      </c>
      <c r="Y135" t="s">
        <v>54</v>
      </c>
      <c r="Z135" t="s">
        <v>54</v>
      </c>
      <c r="AA135" t="s">
        <v>54</v>
      </c>
      <c r="AB135" t="s">
        <v>54</v>
      </c>
      <c r="AC135" t="s">
        <v>54</v>
      </c>
      <c r="AD135" t="s">
        <v>54</v>
      </c>
      <c r="AE135" t="s">
        <v>54</v>
      </c>
      <c r="AF135" t="s">
        <v>54</v>
      </c>
      <c r="AG135" t="s">
        <v>54</v>
      </c>
      <c r="AH135" t="s">
        <v>54</v>
      </c>
      <c r="AI135" t="s">
        <v>54</v>
      </c>
      <c r="AJ135" t="s">
        <v>54</v>
      </c>
      <c r="AK135" t="s">
        <v>54</v>
      </c>
      <c r="AL135" t="s">
        <v>54</v>
      </c>
      <c r="AM135" t="s">
        <v>54</v>
      </c>
      <c r="AN135" t="s">
        <v>54</v>
      </c>
      <c r="AO135" t="s">
        <v>54</v>
      </c>
      <c r="AP135" t="s">
        <v>54</v>
      </c>
      <c r="AQ135" t="s">
        <v>54</v>
      </c>
    </row>
    <row r="136" spans="1:43" x14ac:dyDescent="0.25">
      <c r="A136" t="s">
        <v>1345</v>
      </c>
      <c r="B136">
        <v>218</v>
      </c>
      <c r="C136">
        <v>119</v>
      </c>
      <c r="D136" t="s">
        <v>1346</v>
      </c>
      <c r="E136" t="s">
        <v>1347</v>
      </c>
      <c r="F136" t="s">
        <v>1348</v>
      </c>
      <c r="G136" t="s">
        <v>1349</v>
      </c>
      <c r="H136" t="s">
        <v>809</v>
      </c>
      <c r="I136" t="s">
        <v>1350</v>
      </c>
      <c r="J136">
        <v>3</v>
      </c>
      <c r="K136">
        <v>5</v>
      </c>
      <c r="L136">
        <v>3</v>
      </c>
      <c r="M136" t="s">
        <v>1351</v>
      </c>
      <c r="N136">
        <v>106</v>
      </c>
      <c r="O136">
        <v>215</v>
      </c>
      <c r="P136">
        <v>1</v>
      </c>
      <c r="Q136" t="s">
        <v>1352</v>
      </c>
      <c r="R136" t="s">
        <v>1353</v>
      </c>
      <c r="S136">
        <v>18</v>
      </c>
      <c r="T136">
        <v>0</v>
      </c>
      <c r="U136" t="s">
        <v>52</v>
      </c>
      <c r="V136" t="s">
        <v>1354</v>
      </c>
      <c r="W136" t="s">
        <v>54</v>
      </c>
      <c r="X136" t="s">
        <v>54</v>
      </c>
      <c r="Y136" t="s">
        <v>54</v>
      </c>
      <c r="Z136" t="s">
        <v>54</v>
      </c>
      <c r="AA136" t="s">
        <v>54</v>
      </c>
      <c r="AB136" t="s">
        <v>54</v>
      </c>
      <c r="AC136" t="s">
        <v>54</v>
      </c>
      <c r="AD136" t="s">
        <v>54</v>
      </c>
      <c r="AE136" t="s">
        <v>54</v>
      </c>
      <c r="AF136" t="s">
        <v>54</v>
      </c>
      <c r="AG136" t="s">
        <v>54</v>
      </c>
      <c r="AH136" t="s">
        <v>54</v>
      </c>
      <c r="AI136" t="s">
        <v>54</v>
      </c>
      <c r="AJ136" t="s">
        <v>54</v>
      </c>
      <c r="AK136" t="s">
        <v>54</v>
      </c>
      <c r="AL136" t="s">
        <v>54</v>
      </c>
      <c r="AM136" t="s">
        <v>54</v>
      </c>
      <c r="AN136" t="s">
        <v>54</v>
      </c>
      <c r="AO136" t="s">
        <v>54</v>
      </c>
      <c r="AP136" t="s">
        <v>54</v>
      </c>
      <c r="AQ136" t="s">
        <v>54</v>
      </c>
    </row>
    <row r="137" spans="1:43" x14ac:dyDescent="0.25">
      <c r="A137" t="s">
        <v>1355</v>
      </c>
      <c r="B137">
        <v>151</v>
      </c>
      <c r="C137">
        <v>98</v>
      </c>
      <c r="D137" t="s">
        <v>1356</v>
      </c>
      <c r="E137" t="s">
        <v>1357</v>
      </c>
      <c r="F137" t="s">
        <v>265</v>
      </c>
      <c r="G137" t="s">
        <v>1358</v>
      </c>
      <c r="H137" t="s">
        <v>52</v>
      </c>
      <c r="I137" t="s">
        <v>1359</v>
      </c>
      <c r="J137">
        <v>0</v>
      </c>
      <c r="K137">
        <v>4</v>
      </c>
      <c r="L137">
        <v>5</v>
      </c>
      <c r="M137" t="s">
        <v>256</v>
      </c>
      <c r="N137">
        <v>86</v>
      </c>
      <c r="O137">
        <v>154</v>
      </c>
      <c r="P137">
        <v>1</v>
      </c>
      <c r="Q137" t="s">
        <v>1360</v>
      </c>
      <c r="R137" t="s">
        <v>1361</v>
      </c>
      <c r="S137">
        <v>26</v>
      </c>
      <c r="T137">
        <v>0</v>
      </c>
      <c r="U137" t="s">
        <v>52</v>
      </c>
      <c r="V137" t="s">
        <v>1362</v>
      </c>
      <c r="W137" t="s">
        <v>54</v>
      </c>
      <c r="X137" t="s">
        <v>54</v>
      </c>
      <c r="Y137" t="s">
        <v>54</v>
      </c>
      <c r="Z137" t="s">
        <v>54</v>
      </c>
      <c r="AA137" t="s">
        <v>54</v>
      </c>
      <c r="AB137" t="s">
        <v>54</v>
      </c>
      <c r="AC137" t="s">
        <v>54</v>
      </c>
      <c r="AD137" t="s">
        <v>54</v>
      </c>
      <c r="AE137" t="s">
        <v>54</v>
      </c>
      <c r="AF137" t="s">
        <v>54</v>
      </c>
      <c r="AG137" t="s">
        <v>54</v>
      </c>
      <c r="AH137" t="s">
        <v>54</v>
      </c>
      <c r="AI137" t="s">
        <v>54</v>
      </c>
      <c r="AJ137" t="s">
        <v>54</v>
      </c>
      <c r="AK137" t="s">
        <v>54</v>
      </c>
      <c r="AL137" t="s">
        <v>54</v>
      </c>
      <c r="AM137" t="s">
        <v>54</v>
      </c>
      <c r="AN137" t="s">
        <v>54</v>
      </c>
      <c r="AO137" t="s">
        <v>54</v>
      </c>
      <c r="AP137" t="s">
        <v>54</v>
      </c>
      <c r="AQ137" t="s">
        <v>54</v>
      </c>
    </row>
    <row r="138" spans="1:43" x14ac:dyDescent="0.25">
      <c r="A138" t="s">
        <v>1363</v>
      </c>
      <c r="B138">
        <v>155</v>
      </c>
      <c r="C138">
        <v>106</v>
      </c>
      <c r="D138" t="s">
        <v>1364</v>
      </c>
      <c r="E138" t="s">
        <v>611</v>
      </c>
      <c r="F138" t="s">
        <v>1365</v>
      </c>
      <c r="G138" t="s">
        <v>1366</v>
      </c>
      <c r="H138" t="s">
        <v>614</v>
      </c>
      <c r="I138" t="s">
        <v>614</v>
      </c>
      <c r="J138">
        <v>1</v>
      </c>
      <c r="K138">
        <v>1</v>
      </c>
      <c r="L138">
        <v>2</v>
      </c>
      <c r="M138" t="s">
        <v>1367</v>
      </c>
      <c r="N138">
        <v>85</v>
      </c>
      <c r="O138">
        <v>156</v>
      </c>
      <c r="P138">
        <v>7</v>
      </c>
      <c r="Q138" t="s">
        <v>1368</v>
      </c>
      <c r="R138" t="s">
        <v>168</v>
      </c>
      <c r="S138">
        <v>21</v>
      </c>
      <c r="T138">
        <v>0</v>
      </c>
      <c r="U138" t="s">
        <v>52</v>
      </c>
      <c r="V138" t="s">
        <v>1369</v>
      </c>
      <c r="W138" t="s">
        <v>54</v>
      </c>
      <c r="X138" t="s">
        <v>54</v>
      </c>
      <c r="Y138" t="s">
        <v>54</v>
      </c>
      <c r="Z138" t="s">
        <v>54</v>
      </c>
      <c r="AA138" t="s">
        <v>54</v>
      </c>
      <c r="AB138" t="s">
        <v>54</v>
      </c>
      <c r="AC138" t="s">
        <v>54</v>
      </c>
      <c r="AD138" t="s">
        <v>54</v>
      </c>
      <c r="AE138" t="s">
        <v>54</v>
      </c>
      <c r="AF138" t="s">
        <v>54</v>
      </c>
      <c r="AG138" t="s">
        <v>54</v>
      </c>
      <c r="AH138" t="s">
        <v>54</v>
      </c>
      <c r="AI138" t="s">
        <v>54</v>
      </c>
      <c r="AJ138" t="s">
        <v>54</v>
      </c>
      <c r="AK138" t="s">
        <v>54</v>
      </c>
      <c r="AL138" t="s">
        <v>54</v>
      </c>
      <c r="AM138" t="s">
        <v>54</v>
      </c>
      <c r="AN138" t="s">
        <v>54</v>
      </c>
      <c r="AO138" t="s">
        <v>54</v>
      </c>
      <c r="AP138" t="s">
        <v>54</v>
      </c>
      <c r="AQ138" t="s">
        <v>54</v>
      </c>
    </row>
    <row r="139" spans="1:43" x14ac:dyDescent="0.25">
      <c r="A139" t="s">
        <v>1370</v>
      </c>
      <c r="B139">
        <v>194</v>
      </c>
      <c r="C139">
        <v>135</v>
      </c>
      <c r="D139" t="s">
        <v>1371</v>
      </c>
      <c r="E139" t="s">
        <v>1372</v>
      </c>
      <c r="F139" t="s">
        <v>1373</v>
      </c>
      <c r="G139" t="s">
        <v>1374</v>
      </c>
      <c r="H139" t="s">
        <v>1375</v>
      </c>
      <c r="I139" t="s">
        <v>1376</v>
      </c>
      <c r="J139">
        <v>1</v>
      </c>
      <c r="K139">
        <v>11</v>
      </c>
      <c r="L139">
        <v>4</v>
      </c>
      <c r="M139" t="s">
        <v>1377</v>
      </c>
      <c r="N139">
        <v>104</v>
      </c>
      <c r="O139">
        <v>195</v>
      </c>
      <c r="P139">
        <v>3</v>
      </c>
      <c r="Q139" t="s">
        <v>1378</v>
      </c>
      <c r="R139" t="s">
        <v>1033</v>
      </c>
      <c r="S139">
        <v>15</v>
      </c>
      <c r="T139">
        <v>0</v>
      </c>
      <c r="U139" t="s">
        <v>52</v>
      </c>
      <c r="V139" t="s">
        <v>1379</v>
      </c>
      <c r="W139" t="s">
        <v>54</v>
      </c>
      <c r="X139" t="s">
        <v>54</v>
      </c>
      <c r="Y139" t="s">
        <v>54</v>
      </c>
      <c r="Z139" t="s">
        <v>54</v>
      </c>
      <c r="AA139" t="s">
        <v>54</v>
      </c>
      <c r="AB139" t="s">
        <v>54</v>
      </c>
      <c r="AC139" t="s">
        <v>54</v>
      </c>
      <c r="AD139" t="s">
        <v>54</v>
      </c>
      <c r="AE139" t="s">
        <v>54</v>
      </c>
      <c r="AF139" t="s">
        <v>54</v>
      </c>
      <c r="AG139" t="s">
        <v>54</v>
      </c>
      <c r="AH139" t="s">
        <v>54</v>
      </c>
      <c r="AI139" t="s">
        <v>54</v>
      </c>
      <c r="AJ139" t="s">
        <v>54</v>
      </c>
      <c r="AK139" t="s">
        <v>54</v>
      </c>
      <c r="AL139" t="s">
        <v>54</v>
      </c>
      <c r="AM139" t="s">
        <v>54</v>
      </c>
      <c r="AN139" t="s">
        <v>54</v>
      </c>
      <c r="AO139" t="s">
        <v>54</v>
      </c>
      <c r="AP139" t="s">
        <v>54</v>
      </c>
      <c r="AQ139" t="s">
        <v>54</v>
      </c>
    </row>
    <row r="140" spans="1:43" x14ac:dyDescent="0.25">
      <c r="A140" t="s">
        <v>1380</v>
      </c>
      <c r="B140">
        <v>99</v>
      </c>
      <c r="C140">
        <v>77</v>
      </c>
      <c r="D140" t="s">
        <v>275</v>
      </c>
      <c r="E140" t="s">
        <v>1381</v>
      </c>
      <c r="F140" t="s">
        <v>1382</v>
      </c>
      <c r="G140" t="s">
        <v>1383</v>
      </c>
      <c r="H140" t="s">
        <v>52</v>
      </c>
      <c r="I140" t="s">
        <v>1384</v>
      </c>
      <c r="J140">
        <v>0</v>
      </c>
      <c r="K140">
        <v>2</v>
      </c>
      <c r="L140">
        <v>3</v>
      </c>
      <c r="M140" t="s">
        <v>1385</v>
      </c>
      <c r="N140">
        <v>61</v>
      </c>
      <c r="O140">
        <v>99</v>
      </c>
      <c r="P140">
        <v>10</v>
      </c>
      <c r="Q140" t="s">
        <v>1386</v>
      </c>
      <c r="R140" t="s">
        <v>726</v>
      </c>
      <c r="S140">
        <v>9</v>
      </c>
      <c r="T140">
        <v>0</v>
      </c>
      <c r="U140" t="s">
        <v>52</v>
      </c>
      <c r="V140" t="s">
        <v>1387</v>
      </c>
      <c r="W140" t="s">
        <v>54</v>
      </c>
      <c r="X140" t="s">
        <v>54</v>
      </c>
      <c r="Y140" t="s">
        <v>54</v>
      </c>
      <c r="Z140" t="s">
        <v>54</v>
      </c>
      <c r="AA140" t="s">
        <v>54</v>
      </c>
      <c r="AB140" t="s">
        <v>54</v>
      </c>
      <c r="AC140" t="s">
        <v>54</v>
      </c>
      <c r="AD140" t="s">
        <v>54</v>
      </c>
      <c r="AE140" t="s">
        <v>54</v>
      </c>
      <c r="AF140" t="s">
        <v>54</v>
      </c>
      <c r="AG140" t="s">
        <v>54</v>
      </c>
      <c r="AH140" t="s">
        <v>54</v>
      </c>
      <c r="AI140" t="s">
        <v>54</v>
      </c>
      <c r="AJ140" t="s">
        <v>54</v>
      </c>
      <c r="AK140" t="s">
        <v>54</v>
      </c>
      <c r="AL140" t="s">
        <v>54</v>
      </c>
      <c r="AM140" t="s">
        <v>54</v>
      </c>
      <c r="AN140" t="s">
        <v>54</v>
      </c>
      <c r="AO140" t="s">
        <v>54</v>
      </c>
      <c r="AP140" t="s">
        <v>54</v>
      </c>
      <c r="AQ140" t="s">
        <v>54</v>
      </c>
    </row>
    <row r="141" spans="1:43" x14ac:dyDescent="0.25">
      <c r="A141" t="s">
        <v>1388</v>
      </c>
      <c r="B141">
        <v>123</v>
      </c>
      <c r="C141">
        <v>86</v>
      </c>
      <c r="D141" t="s">
        <v>1389</v>
      </c>
      <c r="E141" t="s">
        <v>1390</v>
      </c>
      <c r="F141" t="s">
        <v>1391</v>
      </c>
      <c r="G141" t="s">
        <v>1392</v>
      </c>
      <c r="H141" t="s">
        <v>1057</v>
      </c>
      <c r="I141" t="s">
        <v>52</v>
      </c>
      <c r="J141">
        <v>2</v>
      </c>
      <c r="K141">
        <v>0</v>
      </c>
      <c r="L141">
        <v>1</v>
      </c>
      <c r="M141" t="s">
        <v>675</v>
      </c>
      <c r="N141">
        <v>72</v>
      </c>
      <c r="O141">
        <v>123</v>
      </c>
      <c r="P141">
        <v>5</v>
      </c>
      <c r="Q141" t="s">
        <v>1393</v>
      </c>
      <c r="R141" t="s">
        <v>1121</v>
      </c>
      <c r="S141">
        <v>21</v>
      </c>
      <c r="T141">
        <v>1</v>
      </c>
      <c r="U141" t="s">
        <v>1394</v>
      </c>
      <c r="V141" t="s">
        <v>1395</v>
      </c>
      <c r="W141" t="s">
        <v>54</v>
      </c>
      <c r="X141" t="s">
        <v>54</v>
      </c>
      <c r="Y141" t="s">
        <v>54</v>
      </c>
      <c r="Z141" t="s">
        <v>54</v>
      </c>
      <c r="AA141" t="s">
        <v>54</v>
      </c>
      <c r="AB141" t="s">
        <v>54</v>
      </c>
      <c r="AC141" t="s">
        <v>54</v>
      </c>
      <c r="AD141" t="s">
        <v>54</v>
      </c>
      <c r="AE141" t="s">
        <v>54</v>
      </c>
      <c r="AF141" t="s">
        <v>54</v>
      </c>
      <c r="AG141" t="s">
        <v>54</v>
      </c>
      <c r="AH141" t="s">
        <v>54</v>
      </c>
      <c r="AI141" t="s">
        <v>54</v>
      </c>
      <c r="AJ141" t="s">
        <v>54</v>
      </c>
      <c r="AK141" t="s">
        <v>54</v>
      </c>
      <c r="AL141" t="s">
        <v>54</v>
      </c>
      <c r="AM141" t="s">
        <v>54</v>
      </c>
      <c r="AN141" t="s">
        <v>54</v>
      </c>
      <c r="AO141" t="s">
        <v>54</v>
      </c>
      <c r="AP141" t="s">
        <v>54</v>
      </c>
      <c r="AQ141" t="s">
        <v>54</v>
      </c>
    </row>
    <row r="142" spans="1:43" x14ac:dyDescent="0.25">
      <c r="A142" t="s">
        <v>1396</v>
      </c>
      <c r="B142">
        <v>191</v>
      </c>
      <c r="C142">
        <v>126</v>
      </c>
      <c r="D142" t="s">
        <v>1397</v>
      </c>
      <c r="E142" t="s">
        <v>1398</v>
      </c>
      <c r="F142" t="s">
        <v>1399</v>
      </c>
      <c r="G142" t="s">
        <v>1400</v>
      </c>
      <c r="H142" t="s">
        <v>1401</v>
      </c>
      <c r="I142" t="s">
        <v>52</v>
      </c>
      <c r="J142">
        <v>3</v>
      </c>
      <c r="K142">
        <v>0</v>
      </c>
      <c r="L142">
        <v>2</v>
      </c>
      <c r="M142" t="s">
        <v>1402</v>
      </c>
      <c r="N142">
        <v>100</v>
      </c>
      <c r="O142">
        <v>191</v>
      </c>
      <c r="P142">
        <v>5</v>
      </c>
      <c r="Q142" t="s">
        <v>1403</v>
      </c>
      <c r="R142" t="s">
        <v>983</v>
      </c>
      <c r="S142">
        <v>28</v>
      </c>
      <c r="T142">
        <v>0</v>
      </c>
      <c r="U142" t="s">
        <v>52</v>
      </c>
      <c r="V142" t="s">
        <v>1404</v>
      </c>
      <c r="W142" t="s">
        <v>54</v>
      </c>
      <c r="X142" t="s">
        <v>54</v>
      </c>
      <c r="Y142" t="s">
        <v>54</v>
      </c>
      <c r="Z142" t="s">
        <v>54</v>
      </c>
      <c r="AA142" t="s">
        <v>54</v>
      </c>
      <c r="AB142" t="s">
        <v>54</v>
      </c>
      <c r="AC142" t="s">
        <v>54</v>
      </c>
      <c r="AD142" t="s">
        <v>54</v>
      </c>
      <c r="AE142" t="s">
        <v>54</v>
      </c>
      <c r="AF142" t="s">
        <v>54</v>
      </c>
      <c r="AG142" t="s">
        <v>54</v>
      </c>
      <c r="AH142" t="s">
        <v>54</v>
      </c>
      <c r="AI142" t="s">
        <v>54</v>
      </c>
      <c r="AJ142" t="s">
        <v>54</v>
      </c>
      <c r="AK142" t="s">
        <v>54</v>
      </c>
      <c r="AL142" t="s">
        <v>54</v>
      </c>
      <c r="AM142" t="s">
        <v>54</v>
      </c>
      <c r="AN142" t="s">
        <v>54</v>
      </c>
      <c r="AO142" t="s">
        <v>54</v>
      </c>
      <c r="AP142" t="s">
        <v>54</v>
      </c>
      <c r="AQ142" t="s">
        <v>54</v>
      </c>
    </row>
    <row r="143" spans="1:43" x14ac:dyDescent="0.25">
      <c r="A143" t="s">
        <v>1405</v>
      </c>
      <c r="B143">
        <v>168</v>
      </c>
      <c r="C143">
        <v>115</v>
      </c>
      <c r="D143" t="s">
        <v>1406</v>
      </c>
      <c r="E143" t="s">
        <v>1407</v>
      </c>
      <c r="F143" t="s">
        <v>1408</v>
      </c>
      <c r="G143" t="s">
        <v>1409</v>
      </c>
      <c r="H143" t="s">
        <v>1410</v>
      </c>
      <c r="I143" t="s">
        <v>1411</v>
      </c>
      <c r="J143">
        <v>4</v>
      </c>
      <c r="K143">
        <v>1</v>
      </c>
      <c r="L143">
        <v>1</v>
      </c>
      <c r="M143" t="s">
        <v>509</v>
      </c>
      <c r="N143">
        <v>104</v>
      </c>
      <c r="O143">
        <v>168</v>
      </c>
      <c r="P143">
        <v>7</v>
      </c>
      <c r="Q143" t="s">
        <v>1412</v>
      </c>
      <c r="R143" t="s">
        <v>832</v>
      </c>
      <c r="S143">
        <v>20</v>
      </c>
      <c r="T143">
        <v>0</v>
      </c>
      <c r="U143" t="s">
        <v>52</v>
      </c>
      <c r="V143" t="s">
        <v>1413</v>
      </c>
      <c r="W143" t="s">
        <v>54</v>
      </c>
      <c r="X143" t="s">
        <v>54</v>
      </c>
      <c r="Y143" t="s">
        <v>54</v>
      </c>
      <c r="Z143" t="s">
        <v>54</v>
      </c>
      <c r="AA143" t="s">
        <v>54</v>
      </c>
      <c r="AB143" t="s">
        <v>54</v>
      </c>
      <c r="AC143" t="s">
        <v>54</v>
      </c>
      <c r="AD143" t="s">
        <v>54</v>
      </c>
      <c r="AE143" t="s">
        <v>54</v>
      </c>
      <c r="AF143" t="s">
        <v>54</v>
      </c>
      <c r="AG143" t="s">
        <v>54</v>
      </c>
      <c r="AH143" t="s">
        <v>54</v>
      </c>
      <c r="AI143" t="s">
        <v>54</v>
      </c>
      <c r="AJ143" t="s">
        <v>54</v>
      </c>
      <c r="AK143" t="s">
        <v>54</v>
      </c>
      <c r="AL143" t="s">
        <v>54</v>
      </c>
      <c r="AM143" t="s">
        <v>54</v>
      </c>
      <c r="AN143" t="s">
        <v>54</v>
      </c>
      <c r="AO143" t="s">
        <v>54</v>
      </c>
      <c r="AP143" t="s">
        <v>54</v>
      </c>
      <c r="AQ143" t="s">
        <v>54</v>
      </c>
    </row>
    <row r="144" spans="1:43" x14ac:dyDescent="0.25">
      <c r="A144" t="s">
        <v>1414</v>
      </c>
      <c r="B144">
        <v>174</v>
      </c>
      <c r="C144">
        <v>115</v>
      </c>
      <c r="D144" t="s">
        <v>1415</v>
      </c>
      <c r="E144" t="s">
        <v>1416</v>
      </c>
      <c r="F144" t="s">
        <v>1417</v>
      </c>
      <c r="G144" t="s">
        <v>1418</v>
      </c>
      <c r="H144" t="s">
        <v>1419</v>
      </c>
      <c r="I144" t="s">
        <v>363</v>
      </c>
      <c r="J144">
        <v>5</v>
      </c>
      <c r="K144">
        <v>2</v>
      </c>
      <c r="L144">
        <v>3</v>
      </c>
      <c r="M144" t="s">
        <v>1420</v>
      </c>
      <c r="N144">
        <v>91</v>
      </c>
      <c r="O144">
        <v>173</v>
      </c>
      <c r="P144">
        <v>13</v>
      </c>
      <c r="Q144" t="s">
        <v>1421</v>
      </c>
      <c r="R144" t="s">
        <v>146</v>
      </c>
      <c r="S144">
        <v>26</v>
      </c>
      <c r="T144">
        <v>0</v>
      </c>
      <c r="U144" t="s">
        <v>52</v>
      </c>
      <c r="V144" t="s">
        <v>1422</v>
      </c>
      <c r="W144" t="s">
        <v>54</v>
      </c>
      <c r="X144" t="s">
        <v>54</v>
      </c>
      <c r="Y144" t="s">
        <v>54</v>
      </c>
      <c r="Z144" t="s">
        <v>54</v>
      </c>
      <c r="AA144" t="s">
        <v>54</v>
      </c>
      <c r="AB144" t="s">
        <v>54</v>
      </c>
      <c r="AC144" t="s">
        <v>54</v>
      </c>
      <c r="AD144" t="s">
        <v>54</v>
      </c>
      <c r="AE144" t="s">
        <v>54</v>
      </c>
      <c r="AF144" t="s">
        <v>54</v>
      </c>
      <c r="AG144" t="s">
        <v>54</v>
      </c>
      <c r="AH144" t="s">
        <v>54</v>
      </c>
      <c r="AI144" t="s">
        <v>54</v>
      </c>
      <c r="AJ144" t="s">
        <v>54</v>
      </c>
      <c r="AK144" t="s">
        <v>54</v>
      </c>
      <c r="AL144" t="s">
        <v>54</v>
      </c>
      <c r="AM144" t="s">
        <v>54</v>
      </c>
      <c r="AN144" t="s">
        <v>54</v>
      </c>
      <c r="AO144" t="s">
        <v>54</v>
      </c>
      <c r="AP144" t="s">
        <v>54</v>
      </c>
      <c r="AQ144" t="s">
        <v>54</v>
      </c>
    </row>
    <row r="145" spans="1:43" x14ac:dyDescent="0.25">
      <c r="A145" t="s">
        <v>1423</v>
      </c>
      <c r="B145">
        <v>211</v>
      </c>
      <c r="C145">
        <v>143</v>
      </c>
      <c r="D145" t="s">
        <v>1424</v>
      </c>
      <c r="E145" t="s">
        <v>1425</v>
      </c>
      <c r="F145" t="s">
        <v>1426</v>
      </c>
      <c r="G145" t="s">
        <v>1427</v>
      </c>
      <c r="H145" t="s">
        <v>1428</v>
      </c>
      <c r="I145" t="s">
        <v>1429</v>
      </c>
      <c r="J145">
        <v>2</v>
      </c>
      <c r="K145">
        <v>6</v>
      </c>
      <c r="L145">
        <v>4</v>
      </c>
      <c r="M145" t="s">
        <v>1430</v>
      </c>
      <c r="N145">
        <v>124</v>
      </c>
      <c r="O145">
        <v>211</v>
      </c>
      <c r="P145">
        <v>15</v>
      </c>
      <c r="Q145" t="s">
        <v>1431</v>
      </c>
      <c r="R145" t="s">
        <v>1432</v>
      </c>
      <c r="S145">
        <v>28</v>
      </c>
      <c r="T145">
        <v>0</v>
      </c>
      <c r="U145" t="s">
        <v>52</v>
      </c>
      <c r="V145" t="s">
        <v>1433</v>
      </c>
      <c r="W145" t="s">
        <v>54</v>
      </c>
      <c r="X145" t="s">
        <v>54</v>
      </c>
      <c r="Y145" t="s">
        <v>54</v>
      </c>
      <c r="Z145" t="s">
        <v>54</v>
      </c>
      <c r="AA145" t="s">
        <v>54</v>
      </c>
      <c r="AB145" t="s">
        <v>54</v>
      </c>
      <c r="AC145" t="s">
        <v>54</v>
      </c>
      <c r="AD145" t="s">
        <v>54</v>
      </c>
      <c r="AE145" t="s">
        <v>54</v>
      </c>
      <c r="AF145" t="s">
        <v>54</v>
      </c>
      <c r="AG145" t="s">
        <v>54</v>
      </c>
      <c r="AH145" t="s">
        <v>54</v>
      </c>
      <c r="AI145" t="s">
        <v>54</v>
      </c>
      <c r="AJ145" t="s">
        <v>54</v>
      </c>
      <c r="AK145" t="s">
        <v>54</v>
      </c>
      <c r="AL145" t="s">
        <v>54</v>
      </c>
      <c r="AM145" t="s">
        <v>54</v>
      </c>
      <c r="AN145" t="s">
        <v>54</v>
      </c>
      <c r="AO145" t="s">
        <v>54</v>
      </c>
      <c r="AP145" t="s">
        <v>54</v>
      </c>
      <c r="AQ145" t="s">
        <v>54</v>
      </c>
    </row>
    <row r="146" spans="1:43" x14ac:dyDescent="0.25">
      <c r="A146" t="s">
        <v>1434</v>
      </c>
      <c r="B146">
        <v>132</v>
      </c>
      <c r="C146">
        <v>100</v>
      </c>
      <c r="D146" t="s">
        <v>795</v>
      </c>
      <c r="E146" t="s">
        <v>1435</v>
      </c>
      <c r="F146" t="s">
        <v>1436</v>
      </c>
      <c r="G146" t="s">
        <v>1437</v>
      </c>
      <c r="H146" t="s">
        <v>1438</v>
      </c>
      <c r="I146" t="s">
        <v>52</v>
      </c>
      <c r="J146">
        <v>1</v>
      </c>
      <c r="K146">
        <v>0</v>
      </c>
      <c r="L146">
        <v>2</v>
      </c>
      <c r="M146" t="s">
        <v>1439</v>
      </c>
      <c r="N146">
        <v>86</v>
      </c>
      <c r="O146">
        <v>132</v>
      </c>
      <c r="P146">
        <v>17</v>
      </c>
      <c r="Q146" t="s">
        <v>1440</v>
      </c>
      <c r="R146" t="s">
        <v>1441</v>
      </c>
      <c r="S146">
        <v>13</v>
      </c>
      <c r="T146">
        <v>0</v>
      </c>
      <c r="U146" t="s">
        <v>52</v>
      </c>
      <c r="V146" t="s">
        <v>1442</v>
      </c>
      <c r="W146" t="s">
        <v>54</v>
      </c>
      <c r="X146" t="s">
        <v>54</v>
      </c>
      <c r="Y146" t="s">
        <v>54</v>
      </c>
      <c r="Z146" t="s">
        <v>54</v>
      </c>
      <c r="AA146" t="s">
        <v>54</v>
      </c>
      <c r="AB146" t="s">
        <v>54</v>
      </c>
      <c r="AC146" t="s">
        <v>54</v>
      </c>
      <c r="AD146" t="s">
        <v>54</v>
      </c>
      <c r="AE146" t="s">
        <v>54</v>
      </c>
      <c r="AF146" t="s">
        <v>54</v>
      </c>
      <c r="AG146" t="s">
        <v>54</v>
      </c>
      <c r="AH146" t="s">
        <v>54</v>
      </c>
      <c r="AI146" t="s">
        <v>54</v>
      </c>
      <c r="AJ146" t="s">
        <v>54</v>
      </c>
      <c r="AK146" t="s">
        <v>54</v>
      </c>
      <c r="AL146" t="s">
        <v>54</v>
      </c>
      <c r="AM146" t="s">
        <v>54</v>
      </c>
      <c r="AN146" t="s">
        <v>54</v>
      </c>
      <c r="AO146" t="s">
        <v>54</v>
      </c>
      <c r="AP146" t="s">
        <v>54</v>
      </c>
      <c r="AQ146" t="s">
        <v>54</v>
      </c>
    </row>
    <row r="147" spans="1:43" x14ac:dyDescent="0.25">
      <c r="A147" t="s">
        <v>1443</v>
      </c>
      <c r="B147">
        <v>213</v>
      </c>
      <c r="C147">
        <v>133</v>
      </c>
      <c r="D147" t="s">
        <v>1444</v>
      </c>
      <c r="E147" t="s">
        <v>1445</v>
      </c>
      <c r="F147" t="s">
        <v>1446</v>
      </c>
      <c r="G147" t="s">
        <v>1447</v>
      </c>
      <c r="H147" t="s">
        <v>704</v>
      </c>
      <c r="I147" t="s">
        <v>1448</v>
      </c>
      <c r="J147">
        <v>3</v>
      </c>
      <c r="K147">
        <v>7</v>
      </c>
      <c r="L147">
        <v>2</v>
      </c>
      <c r="M147" t="s">
        <v>1449</v>
      </c>
      <c r="N147">
        <v>109</v>
      </c>
      <c r="O147">
        <v>213</v>
      </c>
      <c r="P147">
        <v>10</v>
      </c>
      <c r="Q147" t="s">
        <v>1450</v>
      </c>
      <c r="R147" t="s">
        <v>105</v>
      </c>
      <c r="S147">
        <v>22</v>
      </c>
      <c r="T147">
        <v>0</v>
      </c>
      <c r="U147" t="s">
        <v>52</v>
      </c>
      <c r="V147" t="s">
        <v>1451</v>
      </c>
      <c r="W147" t="s">
        <v>54</v>
      </c>
      <c r="X147" t="s">
        <v>54</v>
      </c>
      <c r="Y147" t="s">
        <v>54</v>
      </c>
      <c r="Z147" t="s">
        <v>54</v>
      </c>
      <c r="AA147" t="s">
        <v>54</v>
      </c>
      <c r="AB147" t="s">
        <v>54</v>
      </c>
      <c r="AC147" t="s">
        <v>54</v>
      </c>
      <c r="AD147" t="s">
        <v>54</v>
      </c>
      <c r="AE147" t="s">
        <v>54</v>
      </c>
      <c r="AF147" t="s">
        <v>54</v>
      </c>
      <c r="AG147" t="s">
        <v>54</v>
      </c>
      <c r="AH147" t="s">
        <v>54</v>
      </c>
      <c r="AI147" t="s">
        <v>54</v>
      </c>
      <c r="AJ147" t="s">
        <v>54</v>
      </c>
      <c r="AK147" t="s">
        <v>54</v>
      </c>
      <c r="AL147" t="s">
        <v>54</v>
      </c>
      <c r="AM147" t="s">
        <v>54</v>
      </c>
      <c r="AN147" t="s">
        <v>54</v>
      </c>
      <c r="AO147" t="s">
        <v>54</v>
      </c>
      <c r="AP147" t="s">
        <v>54</v>
      </c>
      <c r="AQ147" t="s">
        <v>54</v>
      </c>
    </row>
    <row r="148" spans="1:43" x14ac:dyDescent="0.25">
      <c r="A148" t="s">
        <v>1452</v>
      </c>
      <c r="B148">
        <v>134</v>
      </c>
      <c r="C148">
        <v>105</v>
      </c>
      <c r="D148" t="s">
        <v>1453</v>
      </c>
      <c r="E148" t="s">
        <v>1454</v>
      </c>
      <c r="F148" t="s">
        <v>361</v>
      </c>
      <c r="G148" t="s">
        <v>1455</v>
      </c>
      <c r="H148" t="s">
        <v>112</v>
      </c>
      <c r="I148" t="s">
        <v>1456</v>
      </c>
      <c r="J148">
        <v>2</v>
      </c>
      <c r="K148">
        <v>3</v>
      </c>
      <c r="L148">
        <v>4</v>
      </c>
      <c r="M148" t="s">
        <v>1457</v>
      </c>
      <c r="N148">
        <v>77</v>
      </c>
      <c r="O148">
        <v>134</v>
      </c>
      <c r="P148">
        <v>10</v>
      </c>
      <c r="Q148" t="s">
        <v>1458</v>
      </c>
      <c r="R148" t="s">
        <v>62</v>
      </c>
      <c r="S148">
        <v>21</v>
      </c>
      <c r="T148">
        <v>0</v>
      </c>
      <c r="U148" t="s">
        <v>52</v>
      </c>
      <c r="V148" t="s">
        <v>1459</v>
      </c>
      <c r="W148" t="s">
        <v>54</v>
      </c>
      <c r="X148" t="s">
        <v>54</v>
      </c>
      <c r="Y148" t="s">
        <v>54</v>
      </c>
      <c r="Z148" t="s">
        <v>54</v>
      </c>
      <c r="AA148" t="s">
        <v>54</v>
      </c>
      <c r="AB148" t="s">
        <v>54</v>
      </c>
      <c r="AC148" t="s">
        <v>54</v>
      </c>
      <c r="AD148" t="s">
        <v>54</v>
      </c>
      <c r="AE148" t="s">
        <v>54</v>
      </c>
      <c r="AF148" t="s">
        <v>54</v>
      </c>
      <c r="AG148" t="s">
        <v>54</v>
      </c>
      <c r="AH148" t="s">
        <v>54</v>
      </c>
      <c r="AI148" t="s">
        <v>54</v>
      </c>
      <c r="AJ148" t="s">
        <v>54</v>
      </c>
      <c r="AK148" t="s">
        <v>54</v>
      </c>
      <c r="AL148" t="s">
        <v>54</v>
      </c>
      <c r="AM148" t="s">
        <v>54</v>
      </c>
      <c r="AN148" t="s">
        <v>54</v>
      </c>
      <c r="AO148" t="s">
        <v>54</v>
      </c>
      <c r="AP148" t="s">
        <v>54</v>
      </c>
      <c r="AQ148" t="s">
        <v>54</v>
      </c>
    </row>
    <row r="149" spans="1:43" x14ac:dyDescent="0.25">
      <c r="A149" t="s">
        <v>1460</v>
      </c>
      <c r="B149">
        <v>157</v>
      </c>
      <c r="C149">
        <v>118</v>
      </c>
      <c r="D149" t="s">
        <v>1461</v>
      </c>
      <c r="E149" t="s">
        <v>1462</v>
      </c>
      <c r="F149" t="s">
        <v>1463</v>
      </c>
      <c r="G149" t="s">
        <v>1464</v>
      </c>
      <c r="H149" t="s">
        <v>1465</v>
      </c>
      <c r="I149" t="s">
        <v>1466</v>
      </c>
      <c r="J149">
        <v>1</v>
      </c>
      <c r="K149">
        <v>2</v>
      </c>
      <c r="L149">
        <v>4</v>
      </c>
      <c r="M149" t="s">
        <v>1467</v>
      </c>
      <c r="N149">
        <v>94</v>
      </c>
      <c r="O149">
        <v>157</v>
      </c>
      <c r="P149">
        <v>10</v>
      </c>
      <c r="Q149" t="s">
        <v>1468</v>
      </c>
      <c r="R149" t="s">
        <v>62</v>
      </c>
      <c r="S149">
        <v>21</v>
      </c>
      <c r="T149">
        <v>0</v>
      </c>
      <c r="U149" t="s">
        <v>52</v>
      </c>
      <c r="V149" t="s">
        <v>1469</v>
      </c>
      <c r="W149" t="s">
        <v>54</v>
      </c>
      <c r="X149" t="s">
        <v>54</v>
      </c>
      <c r="Y149" t="s">
        <v>54</v>
      </c>
      <c r="Z149" t="s">
        <v>54</v>
      </c>
      <c r="AA149" t="s">
        <v>54</v>
      </c>
      <c r="AB149" t="s">
        <v>54</v>
      </c>
      <c r="AC149" t="s">
        <v>54</v>
      </c>
      <c r="AD149" t="s">
        <v>54</v>
      </c>
      <c r="AE149" t="s">
        <v>54</v>
      </c>
      <c r="AF149" t="s">
        <v>54</v>
      </c>
      <c r="AG149" t="s">
        <v>54</v>
      </c>
      <c r="AH149" t="s">
        <v>54</v>
      </c>
      <c r="AI149" t="s">
        <v>54</v>
      </c>
      <c r="AJ149" t="s">
        <v>54</v>
      </c>
      <c r="AK149" t="s">
        <v>54</v>
      </c>
      <c r="AL149" t="s">
        <v>54</v>
      </c>
      <c r="AM149" t="s">
        <v>54</v>
      </c>
      <c r="AN149" t="s">
        <v>54</v>
      </c>
      <c r="AO149" t="s">
        <v>54</v>
      </c>
      <c r="AP149" t="s">
        <v>54</v>
      </c>
      <c r="AQ149" t="s">
        <v>54</v>
      </c>
    </row>
    <row r="150" spans="1:43" x14ac:dyDescent="0.25">
      <c r="A150" t="s">
        <v>1470</v>
      </c>
      <c r="W150" t="s">
        <v>378</v>
      </c>
      <c r="X150" t="s">
        <v>378</v>
      </c>
      <c r="Y150" t="s">
        <v>378</v>
      </c>
      <c r="Z150" t="s">
        <v>378</v>
      </c>
      <c r="AA150" t="s">
        <v>378</v>
      </c>
      <c r="AB150" t="s">
        <v>378</v>
      </c>
      <c r="AC150" t="s">
        <v>378</v>
      </c>
      <c r="AD150" t="s">
        <v>378</v>
      </c>
      <c r="AE150" t="s">
        <v>378</v>
      </c>
      <c r="AF150" t="s">
        <v>378</v>
      </c>
      <c r="AG150" t="s">
        <v>378</v>
      </c>
      <c r="AH150" t="s">
        <v>378</v>
      </c>
      <c r="AI150" t="s">
        <v>378</v>
      </c>
      <c r="AJ150" t="s">
        <v>378</v>
      </c>
      <c r="AK150" t="s">
        <v>378</v>
      </c>
      <c r="AL150" t="s">
        <v>378</v>
      </c>
      <c r="AM150" t="s">
        <v>378</v>
      </c>
      <c r="AN150" t="s">
        <v>378</v>
      </c>
      <c r="AO150" t="s">
        <v>378</v>
      </c>
      <c r="AP150" t="s">
        <v>378</v>
      </c>
      <c r="AQ150" t="s">
        <v>378</v>
      </c>
    </row>
    <row r="151" spans="1:43" x14ac:dyDescent="0.25">
      <c r="A151" t="s">
        <v>1471</v>
      </c>
      <c r="B151">
        <v>192</v>
      </c>
      <c r="C151">
        <v>136</v>
      </c>
      <c r="D151" t="s">
        <v>257</v>
      </c>
      <c r="E151" t="s">
        <v>1472</v>
      </c>
      <c r="F151" t="s">
        <v>1473</v>
      </c>
      <c r="G151" t="s">
        <v>1474</v>
      </c>
      <c r="H151" t="s">
        <v>1475</v>
      </c>
      <c r="I151" t="s">
        <v>175</v>
      </c>
      <c r="J151">
        <v>6</v>
      </c>
      <c r="K151">
        <v>3</v>
      </c>
      <c r="L151">
        <v>5</v>
      </c>
      <c r="M151" t="s">
        <v>1402</v>
      </c>
      <c r="N151">
        <v>100</v>
      </c>
      <c r="O151">
        <v>191</v>
      </c>
      <c r="P151">
        <v>9</v>
      </c>
      <c r="Q151" t="s">
        <v>1476</v>
      </c>
      <c r="R151" t="s">
        <v>1477</v>
      </c>
      <c r="S151">
        <v>28</v>
      </c>
      <c r="T151">
        <v>0</v>
      </c>
      <c r="U151" t="s">
        <v>52</v>
      </c>
      <c r="V151" t="s">
        <v>1478</v>
      </c>
      <c r="W151" t="s">
        <v>54</v>
      </c>
      <c r="X151" t="s">
        <v>54</v>
      </c>
      <c r="Y151" t="s">
        <v>54</v>
      </c>
      <c r="Z151" t="s">
        <v>54</v>
      </c>
      <c r="AA151" t="s">
        <v>54</v>
      </c>
      <c r="AB151" t="s">
        <v>54</v>
      </c>
      <c r="AC151" t="s">
        <v>54</v>
      </c>
      <c r="AD151" t="s">
        <v>54</v>
      </c>
      <c r="AE151" t="s">
        <v>54</v>
      </c>
      <c r="AF151" t="s">
        <v>54</v>
      </c>
      <c r="AG151" t="s">
        <v>54</v>
      </c>
      <c r="AH151" t="s">
        <v>54</v>
      </c>
      <c r="AI151" t="s">
        <v>54</v>
      </c>
      <c r="AJ151" t="s">
        <v>54</v>
      </c>
      <c r="AK151" t="s">
        <v>54</v>
      </c>
      <c r="AL151" t="s">
        <v>54</v>
      </c>
      <c r="AM151" t="s">
        <v>54</v>
      </c>
      <c r="AN151" t="s">
        <v>54</v>
      </c>
      <c r="AO151" t="s">
        <v>54</v>
      </c>
      <c r="AP151" t="s">
        <v>54</v>
      </c>
      <c r="AQ151" t="s">
        <v>54</v>
      </c>
    </row>
    <row r="152" spans="1:43" x14ac:dyDescent="0.25">
      <c r="A152" t="s">
        <v>1479</v>
      </c>
      <c r="B152">
        <v>215</v>
      </c>
      <c r="C152">
        <v>131</v>
      </c>
      <c r="D152" t="s">
        <v>1480</v>
      </c>
      <c r="E152" t="s">
        <v>1481</v>
      </c>
      <c r="F152" t="s">
        <v>1482</v>
      </c>
      <c r="G152" t="s">
        <v>1483</v>
      </c>
      <c r="H152" t="s">
        <v>1484</v>
      </c>
      <c r="I152" t="s">
        <v>1485</v>
      </c>
      <c r="J152">
        <v>2</v>
      </c>
      <c r="K152">
        <v>3</v>
      </c>
      <c r="L152">
        <v>3</v>
      </c>
      <c r="M152" t="s">
        <v>1486</v>
      </c>
      <c r="N152">
        <v>111</v>
      </c>
      <c r="O152">
        <v>216</v>
      </c>
      <c r="P152">
        <v>13</v>
      </c>
      <c r="Q152" t="s">
        <v>1487</v>
      </c>
      <c r="R152" t="s">
        <v>1488</v>
      </c>
      <c r="S152">
        <v>41</v>
      </c>
      <c r="T152">
        <v>0</v>
      </c>
      <c r="U152" t="s">
        <v>52</v>
      </c>
      <c r="V152" t="s">
        <v>1489</v>
      </c>
      <c r="W152" t="s">
        <v>54</v>
      </c>
      <c r="X152" t="s">
        <v>54</v>
      </c>
      <c r="Y152" t="s">
        <v>54</v>
      </c>
      <c r="Z152" t="s">
        <v>54</v>
      </c>
      <c r="AA152" t="s">
        <v>54</v>
      </c>
      <c r="AB152" t="s">
        <v>54</v>
      </c>
      <c r="AC152" t="s">
        <v>54</v>
      </c>
      <c r="AD152" t="s">
        <v>54</v>
      </c>
      <c r="AE152" t="s">
        <v>54</v>
      </c>
      <c r="AF152" t="s">
        <v>54</v>
      </c>
      <c r="AG152" t="s">
        <v>54</v>
      </c>
      <c r="AH152" t="s">
        <v>54</v>
      </c>
      <c r="AI152" t="s">
        <v>54</v>
      </c>
      <c r="AJ152" t="s">
        <v>54</v>
      </c>
      <c r="AK152" t="s">
        <v>54</v>
      </c>
      <c r="AL152" t="s">
        <v>54</v>
      </c>
      <c r="AM152" t="s">
        <v>54</v>
      </c>
      <c r="AN152" t="s">
        <v>54</v>
      </c>
      <c r="AO152" t="s">
        <v>54</v>
      </c>
      <c r="AP152" t="s">
        <v>54</v>
      </c>
      <c r="AQ152" t="s">
        <v>54</v>
      </c>
    </row>
    <row r="153" spans="1:43" x14ac:dyDescent="0.25">
      <c r="A153" t="s">
        <v>1490</v>
      </c>
      <c r="B153">
        <v>193</v>
      </c>
      <c r="C153">
        <v>130</v>
      </c>
      <c r="D153" t="s">
        <v>1491</v>
      </c>
      <c r="E153" t="s">
        <v>1492</v>
      </c>
      <c r="F153" t="s">
        <v>1493</v>
      </c>
      <c r="G153" t="s">
        <v>1494</v>
      </c>
      <c r="H153" t="s">
        <v>1495</v>
      </c>
      <c r="I153" t="s">
        <v>1496</v>
      </c>
      <c r="J153">
        <v>3</v>
      </c>
      <c r="K153">
        <v>5</v>
      </c>
      <c r="L153">
        <v>4</v>
      </c>
      <c r="M153" t="s">
        <v>1497</v>
      </c>
      <c r="N153">
        <v>96</v>
      </c>
      <c r="O153">
        <v>198</v>
      </c>
      <c r="P153">
        <v>8</v>
      </c>
      <c r="Q153" t="s">
        <v>1498</v>
      </c>
      <c r="R153" t="s">
        <v>168</v>
      </c>
      <c r="S153">
        <v>24</v>
      </c>
      <c r="T153">
        <v>0</v>
      </c>
      <c r="U153" t="s">
        <v>52</v>
      </c>
      <c r="V153" t="s">
        <v>1499</v>
      </c>
      <c r="W153" t="s">
        <v>54</v>
      </c>
      <c r="X153" t="s">
        <v>54</v>
      </c>
      <c r="Y153" t="s">
        <v>54</v>
      </c>
      <c r="Z153" t="s">
        <v>54</v>
      </c>
      <c r="AA153" t="s">
        <v>54</v>
      </c>
      <c r="AB153" t="s">
        <v>54</v>
      </c>
      <c r="AC153" t="s">
        <v>54</v>
      </c>
      <c r="AD153" t="s">
        <v>54</v>
      </c>
      <c r="AE153" t="s">
        <v>54</v>
      </c>
      <c r="AF153" t="s">
        <v>54</v>
      </c>
      <c r="AG153" t="s">
        <v>54</v>
      </c>
      <c r="AH153" t="s">
        <v>54</v>
      </c>
      <c r="AI153" t="s">
        <v>54</v>
      </c>
      <c r="AJ153" t="s">
        <v>54</v>
      </c>
      <c r="AK153" t="s">
        <v>54</v>
      </c>
      <c r="AL153" t="s">
        <v>54</v>
      </c>
      <c r="AM153" t="s">
        <v>54</v>
      </c>
      <c r="AN153" t="s">
        <v>54</v>
      </c>
      <c r="AO153" t="s">
        <v>54</v>
      </c>
      <c r="AP153" t="s">
        <v>54</v>
      </c>
      <c r="AQ153" t="s">
        <v>54</v>
      </c>
    </row>
    <row r="154" spans="1:43" x14ac:dyDescent="0.25">
      <c r="A154" t="s">
        <v>1500</v>
      </c>
      <c r="B154">
        <v>150</v>
      </c>
      <c r="C154">
        <v>117</v>
      </c>
      <c r="D154" t="s">
        <v>1436</v>
      </c>
      <c r="E154" t="s">
        <v>1501</v>
      </c>
      <c r="F154" t="s">
        <v>1502</v>
      </c>
      <c r="G154" t="s">
        <v>1503</v>
      </c>
      <c r="H154" t="s">
        <v>1068</v>
      </c>
      <c r="I154" t="s">
        <v>1068</v>
      </c>
      <c r="J154">
        <v>1</v>
      </c>
      <c r="K154">
        <v>1</v>
      </c>
      <c r="L154">
        <v>2</v>
      </c>
      <c r="M154" t="s">
        <v>1504</v>
      </c>
      <c r="N154">
        <v>91</v>
      </c>
      <c r="O154">
        <v>151</v>
      </c>
      <c r="P154">
        <v>17</v>
      </c>
      <c r="Q154" t="s">
        <v>1505</v>
      </c>
      <c r="R154" t="s">
        <v>1441</v>
      </c>
      <c r="S154">
        <v>13</v>
      </c>
      <c r="T154">
        <v>0</v>
      </c>
      <c r="U154" t="s">
        <v>52</v>
      </c>
      <c r="V154" t="s">
        <v>1506</v>
      </c>
      <c r="W154" t="s">
        <v>54</v>
      </c>
      <c r="X154" t="s">
        <v>54</v>
      </c>
      <c r="Y154" t="s">
        <v>54</v>
      </c>
      <c r="Z154" t="s">
        <v>54</v>
      </c>
      <c r="AA154" t="s">
        <v>54</v>
      </c>
      <c r="AB154" t="s">
        <v>54</v>
      </c>
      <c r="AC154" t="s">
        <v>54</v>
      </c>
      <c r="AD154" t="s">
        <v>54</v>
      </c>
      <c r="AE154" t="s">
        <v>54</v>
      </c>
      <c r="AF154" t="s">
        <v>54</v>
      </c>
      <c r="AG154" t="s">
        <v>54</v>
      </c>
      <c r="AH154" t="s">
        <v>54</v>
      </c>
      <c r="AI154" t="s">
        <v>54</v>
      </c>
      <c r="AJ154" t="s">
        <v>54</v>
      </c>
      <c r="AK154" t="s">
        <v>54</v>
      </c>
      <c r="AL154" t="s">
        <v>54</v>
      </c>
      <c r="AM154" t="s">
        <v>54</v>
      </c>
      <c r="AN154" t="s">
        <v>54</v>
      </c>
      <c r="AO154" t="s">
        <v>54</v>
      </c>
      <c r="AP154" t="s">
        <v>54</v>
      </c>
      <c r="AQ154" t="s">
        <v>54</v>
      </c>
    </row>
    <row r="155" spans="1:43" x14ac:dyDescent="0.25">
      <c r="A155" t="s">
        <v>1507</v>
      </c>
      <c r="B155">
        <v>210</v>
      </c>
      <c r="C155">
        <v>126</v>
      </c>
      <c r="D155" t="s">
        <v>201</v>
      </c>
      <c r="E155" t="s">
        <v>1508</v>
      </c>
      <c r="F155" t="s">
        <v>1509</v>
      </c>
      <c r="G155" t="s">
        <v>1510</v>
      </c>
      <c r="H155" t="s">
        <v>79</v>
      </c>
      <c r="I155" t="s">
        <v>1511</v>
      </c>
      <c r="J155">
        <v>6</v>
      </c>
      <c r="K155">
        <v>1</v>
      </c>
      <c r="L155">
        <v>4</v>
      </c>
      <c r="M155" t="s">
        <v>1512</v>
      </c>
      <c r="N155">
        <v>119</v>
      </c>
      <c r="O155">
        <v>211</v>
      </c>
      <c r="P155">
        <v>18</v>
      </c>
      <c r="Q155" t="s">
        <v>1513</v>
      </c>
      <c r="R155" t="s">
        <v>1514</v>
      </c>
      <c r="S155">
        <v>31</v>
      </c>
      <c r="T155">
        <v>0</v>
      </c>
      <c r="U155" t="s">
        <v>52</v>
      </c>
      <c r="V155" t="s">
        <v>1515</v>
      </c>
      <c r="W155" t="s">
        <v>54</v>
      </c>
      <c r="X155" t="s">
        <v>54</v>
      </c>
      <c r="Y155" t="s">
        <v>54</v>
      </c>
      <c r="Z155" t="s">
        <v>54</v>
      </c>
      <c r="AA155" t="s">
        <v>54</v>
      </c>
      <c r="AB155" t="s">
        <v>54</v>
      </c>
      <c r="AC155" t="s">
        <v>54</v>
      </c>
      <c r="AD155" t="s">
        <v>54</v>
      </c>
      <c r="AE155" t="s">
        <v>54</v>
      </c>
      <c r="AF155" t="s">
        <v>54</v>
      </c>
      <c r="AG155" t="s">
        <v>54</v>
      </c>
      <c r="AH155" t="s">
        <v>54</v>
      </c>
      <c r="AI155" t="s">
        <v>54</v>
      </c>
      <c r="AJ155" t="s">
        <v>54</v>
      </c>
      <c r="AK155" t="s">
        <v>54</v>
      </c>
      <c r="AL155" t="s">
        <v>54</v>
      </c>
      <c r="AM155" t="s">
        <v>54</v>
      </c>
      <c r="AN155" t="s">
        <v>54</v>
      </c>
      <c r="AO155" t="s">
        <v>54</v>
      </c>
      <c r="AP155" t="s">
        <v>54</v>
      </c>
      <c r="AQ155" t="s">
        <v>54</v>
      </c>
    </row>
    <row r="156" spans="1:43" x14ac:dyDescent="0.25">
      <c r="A156" t="s">
        <v>1516</v>
      </c>
      <c r="B156">
        <v>157</v>
      </c>
      <c r="C156">
        <v>120</v>
      </c>
      <c r="D156" t="s">
        <v>1517</v>
      </c>
      <c r="E156" t="s">
        <v>1518</v>
      </c>
      <c r="F156" t="s">
        <v>1016</v>
      </c>
      <c r="G156" t="s">
        <v>1519</v>
      </c>
      <c r="H156" t="s">
        <v>52</v>
      </c>
      <c r="I156" t="s">
        <v>1465</v>
      </c>
      <c r="J156">
        <v>0</v>
      </c>
      <c r="K156">
        <v>1</v>
      </c>
      <c r="L156">
        <v>4</v>
      </c>
      <c r="M156" t="s">
        <v>1520</v>
      </c>
      <c r="N156">
        <v>103</v>
      </c>
      <c r="O156">
        <v>157</v>
      </c>
      <c r="P156">
        <v>8</v>
      </c>
      <c r="Q156" t="s">
        <v>1521</v>
      </c>
      <c r="R156" t="s">
        <v>1522</v>
      </c>
      <c r="S156">
        <v>17</v>
      </c>
      <c r="T156">
        <v>0</v>
      </c>
      <c r="U156" t="s">
        <v>52</v>
      </c>
      <c r="V156" t="s">
        <v>1523</v>
      </c>
      <c r="W156" t="s">
        <v>54</v>
      </c>
      <c r="X156" t="s">
        <v>54</v>
      </c>
      <c r="Y156" t="s">
        <v>54</v>
      </c>
      <c r="Z156" t="s">
        <v>54</v>
      </c>
      <c r="AA156" t="s">
        <v>54</v>
      </c>
      <c r="AB156" t="s">
        <v>54</v>
      </c>
      <c r="AC156" t="s">
        <v>54</v>
      </c>
      <c r="AD156" t="s">
        <v>54</v>
      </c>
      <c r="AE156" t="s">
        <v>54</v>
      </c>
      <c r="AF156" t="s">
        <v>54</v>
      </c>
      <c r="AG156" t="s">
        <v>54</v>
      </c>
      <c r="AH156" t="s">
        <v>54</v>
      </c>
      <c r="AI156" t="s">
        <v>54</v>
      </c>
      <c r="AJ156" t="s">
        <v>54</v>
      </c>
      <c r="AK156" t="s">
        <v>54</v>
      </c>
      <c r="AL156" t="s">
        <v>54</v>
      </c>
      <c r="AM156" t="s">
        <v>54</v>
      </c>
      <c r="AN156" t="s">
        <v>54</v>
      </c>
      <c r="AO156" t="s">
        <v>54</v>
      </c>
      <c r="AP156" t="s">
        <v>54</v>
      </c>
      <c r="AQ156" t="s">
        <v>54</v>
      </c>
    </row>
    <row r="157" spans="1:43" x14ac:dyDescent="0.25">
      <c r="A157" t="s">
        <v>1524</v>
      </c>
      <c r="B157">
        <v>179</v>
      </c>
      <c r="C157">
        <v>126</v>
      </c>
      <c r="D157" t="s">
        <v>1525</v>
      </c>
      <c r="E157" t="s">
        <v>1526</v>
      </c>
      <c r="F157" t="s">
        <v>275</v>
      </c>
      <c r="G157" t="s">
        <v>1527</v>
      </c>
      <c r="H157" t="s">
        <v>1528</v>
      </c>
      <c r="I157" t="s">
        <v>1528</v>
      </c>
      <c r="J157">
        <v>4</v>
      </c>
      <c r="K157">
        <v>4</v>
      </c>
      <c r="L157">
        <v>3</v>
      </c>
      <c r="M157" t="s">
        <v>1529</v>
      </c>
      <c r="N157">
        <v>94</v>
      </c>
      <c r="O157">
        <v>179</v>
      </c>
      <c r="P157">
        <v>15</v>
      </c>
      <c r="Q157" t="s">
        <v>1530</v>
      </c>
      <c r="R157" t="s">
        <v>1531</v>
      </c>
      <c r="S157">
        <v>14</v>
      </c>
      <c r="T157">
        <v>0</v>
      </c>
      <c r="U157" t="s">
        <v>52</v>
      </c>
      <c r="V157" t="s">
        <v>1532</v>
      </c>
      <c r="W157" t="s">
        <v>54</v>
      </c>
      <c r="X157" t="s">
        <v>54</v>
      </c>
      <c r="Y157" t="s">
        <v>54</v>
      </c>
      <c r="Z157" t="s">
        <v>54</v>
      </c>
      <c r="AA157" t="s">
        <v>54</v>
      </c>
      <c r="AB157" t="s">
        <v>54</v>
      </c>
      <c r="AC157" t="s">
        <v>54</v>
      </c>
      <c r="AD157" t="s">
        <v>54</v>
      </c>
      <c r="AE157" t="s">
        <v>54</v>
      </c>
      <c r="AF157" t="s">
        <v>54</v>
      </c>
      <c r="AG157" t="s">
        <v>54</v>
      </c>
      <c r="AH157" t="s">
        <v>54</v>
      </c>
      <c r="AI157" t="s">
        <v>54</v>
      </c>
      <c r="AJ157" t="s">
        <v>54</v>
      </c>
      <c r="AK157" t="s">
        <v>54</v>
      </c>
      <c r="AL157" t="s">
        <v>54</v>
      </c>
      <c r="AM157" t="s">
        <v>54</v>
      </c>
      <c r="AN157" t="s">
        <v>54</v>
      </c>
      <c r="AO157" t="s">
        <v>54</v>
      </c>
      <c r="AP157" t="s">
        <v>54</v>
      </c>
      <c r="AQ157" t="s">
        <v>54</v>
      </c>
    </row>
    <row r="158" spans="1:43" x14ac:dyDescent="0.25">
      <c r="A158" t="s">
        <v>1533</v>
      </c>
      <c r="B158">
        <v>191</v>
      </c>
      <c r="C158">
        <v>118</v>
      </c>
      <c r="D158" t="s">
        <v>1534</v>
      </c>
      <c r="E158" t="s">
        <v>1535</v>
      </c>
      <c r="F158" t="s">
        <v>1536</v>
      </c>
      <c r="G158" t="s">
        <v>1537</v>
      </c>
      <c r="H158" t="s">
        <v>1538</v>
      </c>
      <c r="I158" t="s">
        <v>1539</v>
      </c>
      <c r="J158">
        <v>5</v>
      </c>
      <c r="K158">
        <v>2</v>
      </c>
      <c r="L158">
        <v>1</v>
      </c>
      <c r="M158" t="s">
        <v>1402</v>
      </c>
      <c r="N158">
        <v>100</v>
      </c>
      <c r="O158">
        <v>191</v>
      </c>
      <c r="P158">
        <v>9</v>
      </c>
      <c r="Q158" t="s">
        <v>1540</v>
      </c>
      <c r="R158" t="s">
        <v>1541</v>
      </c>
      <c r="S158">
        <v>24</v>
      </c>
      <c r="T158">
        <v>0</v>
      </c>
      <c r="U158" t="s">
        <v>52</v>
      </c>
      <c r="V158" t="s">
        <v>1542</v>
      </c>
      <c r="W158" t="s">
        <v>54</v>
      </c>
      <c r="X158" t="s">
        <v>54</v>
      </c>
      <c r="Y158" t="s">
        <v>54</v>
      </c>
      <c r="Z158" t="s">
        <v>54</v>
      </c>
      <c r="AA158" t="s">
        <v>54</v>
      </c>
      <c r="AB158" t="s">
        <v>54</v>
      </c>
      <c r="AC158" t="s">
        <v>54</v>
      </c>
      <c r="AD158" t="s">
        <v>54</v>
      </c>
      <c r="AE158" t="s">
        <v>54</v>
      </c>
      <c r="AF158" t="s">
        <v>54</v>
      </c>
      <c r="AG158" t="s">
        <v>54</v>
      </c>
      <c r="AH158" t="s">
        <v>54</v>
      </c>
      <c r="AI158" t="s">
        <v>54</v>
      </c>
      <c r="AJ158" t="s">
        <v>54</v>
      </c>
      <c r="AK158" t="s">
        <v>54</v>
      </c>
      <c r="AL158" t="s">
        <v>54</v>
      </c>
      <c r="AM158" t="s">
        <v>54</v>
      </c>
      <c r="AN158" t="s">
        <v>54</v>
      </c>
      <c r="AO158" t="s">
        <v>54</v>
      </c>
      <c r="AP158" t="s">
        <v>54</v>
      </c>
      <c r="AQ158" t="s">
        <v>54</v>
      </c>
    </row>
    <row r="159" spans="1:43" x14ac:dyDescent="0.25">
      <c r="A159" t="s">
        <v>1543</v>
      </c>
      <c r="B159">
        <v>123</v>
      </c>
      <c r="C159">
        <v>96</v>
      </c>
      <c r="D159" t="s">
        <v>1544</v>
      </c>
      <c r="E159" t="s">
        <v>1545</v>
      </c>
      <c r="F159" t="s">
        <v>1546</v>
      </c>
      <c r="G159" t="s">
        <v>1547</v>
      </c>
      <c r="H159" t="s">
        <v>52</v>
      </c>
      <c r="I159" t="s">
        <v>1548</v>
      </c>
      <c r="J159">
        <v>0</v>
      </c>
      <c r="K159">
        <v>1</v>
      </c>
      <c r="L159">
        <v>3</v>
      </c>
      <c r="M159" t="s">
        <v>1549</v>
      </c>
      <c r="N159">
        <v>87</v>
      </c>
      <c r="O159">
        <v>124</v>
      </c>
      <c r="P159">
        <v>3</v>
      </c>
      <c r="Q159" t="s">
        <v>1550</v>
      </c>
      <c r="R159" t="s">
        <v>209</v>
      </c>
      <c r="S159">
        <v>12</v>
      </c>
      <c r="T159">
        <v>0</v>
      </c>
      <c r="U159" t="s">
        <v>52</v>
      </c>
      <c r="V159" t="s">
        <v>1551</v>
      </c>
      <c r="W159" t="s">
        <v>54</v>
      </c>
      <c r="X159" t="s">
        <v>54</v>
      </c>
      <c r="Y159" t="s">
        <v>54</v>
      </c>
      <c r="Z159" t="s">
        <v>54</v>
      </c>
      <c r="AA159" t="s">
        <v>54</v>
      </c>
      <c r="AB159" t="s">
        <v>54</v>
      </c>
      <c r="AC159" t="s">
        <v>54</v>
      </c>
      <c r="AD159" t="s">
        <v>54</v>
      </c>
      <c r="AE159" t="s">
        <v>54</v>
      </c>
      <c r="AF159" t="s">
        <v>54</v>
      </c>
      <c r="AG159" t="s">
        <v>54</v>
      </c>
      <c r="AH159" t="s">
        <v>54</v>
      </c>
      <c r="AI159" t="s">
        <v>54</v>
      </c>
      <c r="AJ159" t="s">
        <v>54</v>
      </c>
      <c r="AK159" t="s">
        <v>54</v>
      </c>
      <c r="AL159" t="s">
        <v>54</v>
      </c>
      <c r="AM159" t="s">
        <v>54</v>
      </c>
      <c r="AN159" t="s">
        <v>54</v>
      </c>
      <c r="AO159" t="s">
        <v>54</v>
      </c>
      <c r="AP159" t="s">
        <v>54</v>
      </c>
      <c r="AQ159" t="s">
        <v>54</v>
      </c>
    </row>
    <row r="160" spans="1:43" x14ac:dyDescent="0.25">
      <c r="A160" t="s">
        <v>1552</v>
      </c>
      <c r="B160">
        <v>109</v>
      </c>
      <c r="C160">
        <v>76</v>
      </c>
      <c r="D160" t="s">
        <v>1553</v>
      </c>
      <c r="E160" t="s">
        <v>1554</v>
      </c>
      <c r="F160" t="s">
        <v>720</v>
      </c>
      <c r="G160" t="s">
        <v>1555</v>
      </c>
      <c r="H160" t="s">
        <v>1556</v>
      </c>
      <c r="I160" t="s">
        <v>808</v>
      </c>
      <c r="J160">
        <v>2</v>
      </c>
      <c r="K160">
        <v>1</v>
      </c>
      <c r="L160">
        <v>2</v>
      </c>
      <c r="M160" t="s">
        <v>1557</v>
      </c>
      <c r="N160">
        <v>62</v>
      </c>
      <c r="O160">
        <v>111</v>
      </c>
      <c r="P160">
        <v>11</v>
      </c>
      <c r="Q160" t="s">
        <v>1558</v>
      </c>
      <c r="R160" t="s">
        <v>1559</v>
      </c>
      <c r="S160">
        <v>12</v>
      </c>
      <c r="T160">
        <v>0</v>
      </c>
      <c r="U160" t="s">
        <v>52</v>
      </c>
      <c r="V160" t="s">
        <v>1560</v>
      </c>
      <c r="W160" t="s">
        <v>54</v>
      </c>
      <c r="X160" t="s">
        <v>54</v>
      </c>
      <c r="Y160" t="s">
        <v>54</v>
      </c>
      <c r="Z160" t="s">
        <v>54</v>
      </c>
      <c r="AA160" t="s">
        <v>54</v>
      </c>
      <c r="AB160" t="s">
        <v>54</v>
      </c>
      <c r="AC160" t="s">
        <v>54</v>
      </c>
      <c r="AD160" t="s">
        <v>54</v>
      </c>
      <c r="AE160" t="s">
        <v>54</v>
      </c>
      <c r="AF160" t="s">
        <v>54</v>
      </c>
      <c r="AG160" t="s">
        <v>54</v>
      </c>
      <c r="AH160" t="s">
        <v>54</v>
      </c>
      <c r="AI160" t="s">
        <v>54</v>
      </c>
      <c r="AJ160" t="s">
        <v>54</v>
      </c>
      <c r="AK160" t="s">
        <v>54</v>
      </c>
      <c r="AL160" t="s">
        <v>54</v>
      </c>
      <c r="AM160" t="s">
        <v>54</v>
      </c>
      <c r="AN160" t="s">
        <v>54</v>
      </c>
      <c r="AO160" t="s">
        <v>54</v>
      </c>
      <c r="AP160" t="s">
        <v>54</v>
      </c>
      <c r="AQ160" t="s">
        <v>54</v>
      </c>
    </row>
    <row r="161" spans="1:43" x14ac:dyDescent="0.25">
      <c r="A161" t="s">
        <v>1561</v>
      </c>
      <c r="B161">
        <v>130</v>
      </c>
      <c r="C161">
        <v>89</v>
      </c>
      <c r="D161" t="s">
        <v>866</v>
      </c>
      <c r="E161" t="s">
        <v>1562</v>
      </c>
      <c r="F161" t="s">
        <v>1563</v>
      </c>
      <c r="G161" t="s">
        <v>1564</v>
      </c>
      <c r="H161" t="s">
        <v>52</v>
      </c>
      <c r="I161" t="s">
        <v>52</v>
      </c>
      <c r="J161">
        <v>0</v>
      </c>
      <c r="K161">
        <v>0</v>
      </c>
      <c r="L161">
        <v>2</v>
      </c>
      <c r="M161" t="s">
        <v>1565</v>
      </c>
      <c r="N161">
        <v>80</v>
      </c>
      <c r="O161">
        <v>130</v>
      </c>
      <c r="P161">
        <v>12</v>
      </c>
      <c r="Q161" t="s">
        <v>1566</v>
      </c>
      <c r="R161" t="s">
        <v>1060</v>
      </c>
      <c r="S161">
        <v>8</v>
      </c>
      <c r="T161">
        <v>0</v>
      </c>
      <c r="U161" t="s">
        <v>52</v>
      </c>
      <c r="V161" t="s">
        <v>1567</v>
      </c>
      <c r="W161" t="s">
        <v>54</v>
      </c>
      <c r="X161" t="s">
        <v>54</v>
      </c>
      <c r="Y161" t="s">
        <v>54</v>
      </c>
      <c r="Z161" t="s">
        <v>54</v>
      </c>
      <c r="AA161" t="s">
        <v>54</v>
      </c>
      <c r="AB161" t="s">
        <v>54</v>
      </c>
      <c r="AC161" t="s">
        <v>54</v>
      </c>
      <c r="AD161" t="s">
        <v>54</v>
      </c>
      <c r="AE161" t="s">
        <v>54</v>
      </c>
      <c r="AF161" t="s">
        <v>54</v>
      </c>
      <c r="AG161" t="s">
        <v>54</v>
      </c>
      <c r="AH161" t="s">
        <v>54</v>
      </c>
      <c r="AI161" t="s">
        <v>54</v>
      </c>
      <c r="AJ161" t="s">
        <v>54</v>
      </c>
      <c r="AK161" t="s">
        <v>54</v>
      </c>
      <c r="AL161" t="s">
        <v>54</v>
      </c>
      <c r="AM161" t="s">
        <v>54</v>
      </c>
      <c r="AN161" t="s">
        <v>54</v>
      </c>
      <c r="AO161" t="s">
        <v>54</v>
      </c>
      <c r="AP161" t="s">
        <v>54</v>
      </c>
      <c r="AQ161" t="s">
        <v>54</v>
      </c>
    </row>
    <row r="162" spans="1:43" x14ac:dyDescent="0.25">
      <c r="A162" t="s">
        <v>1568</v>
      </c>
      <c r="B162">
        <v>153</v>
      </c>
      <c r="C162">
        <v>98</v>
      </c>
      <c r="D162" t="s">
        <v>1569</v>
      </c>
      <c r="E162" t="s">
        <v>1570</v>
      </c>
      <c r="F162" t="s">
        <v>265</v>
      </c>
      <c r="G162" t="s">
        <v>1571</v>
      </c>
      <c r="H162" t="s">
        <v>655</v>
      </c>
      <c r="I162" t="s">
        <v>1572</v>
      </c>
      <c r="J162">
        <v>7</v>
      </c>
      <c r="K162">
        <v>9</v>
      </c>
      <c r="L162">
        <v>5</v>
      </c>
      <c r="M162" t="s">
        <v>1573</v>
      </c>
      <c r="N162">
        <v>73</v>
      </c>
      <c r="O162">
        <v>153</v>
      </c>
      <c r="P162">
        <v>18</v>
      </c>
      <c r="Q162" t="s">
        <v>1186</v>
      </c>
      <c r="R162" t="s">
        <v>1096</v>
      </c>
      <c r="S162">
        <v>22</v>
      </c>
      <c r="T162">
        <v>0</v>
      </c>
      <c r="U162" t="s">
        <v>52</v>
      </c>
      <c r="V162" t="s">
        <v>1574</v>
      </c>
      <c r="W162" t="s">
        <v>54</v>
      </c>
      <c r="X162" t="s">
        <v>54</v>
      </c>
      <c r="Y162" t="s">
        <v>54</v>
      </c>
      <c r="Z162" t="s">
        <v>54</v>
      </c>
      <c r="AA162" t="s">
        <v>54</v>
      </c>
      <c r="AB162" t="s">
        <v>54</v>
      </c>
      <c r="AC162" t="s">
        <v>54</v>
      </c>
      <c r="AD162" t="s">
        <v>54</v>
      </c>
      <c r="AE162" t="s">
        <v>54</v>
      </c>
      <c r="AF162" t="s">
        <v>54</v>
      </c>
      <c r="AG162" t="s">
        <v>54</v>
      </c>
      <c r="AH162" t="s">
        <v>54</v>
      </c>
      <c r="AI162" t="s">
        <v>54</v>
      </c>
      <c r="AJ162" t="s">
        <v>54</v>
      </c>
      <c r="AK162" t="s">
        <v>54</v>
      </c>
      <c r="AL162" t="s">
        <v>54</v>
      </c>
      <c r="AM162" t="s">
        <v>54</v>
      </c>
      <c r="AN162" t="s">
        <v>54</v>
      </c>
      <c r="AO162" t="s">
        <v>54</v>
      </c>
      <c r="AP162" t="s">
        <v>54</v>
      </c>
      <c r="AQ162" t="s">
        <v>54</v>
      </c>
    </row>
    <row r="163" spans="1:43" x14ac:dyDescent="0.25">
      <c r="A163" t="s">
        <v>1575</v>
      </c>
      <c r="B163">
        <v>161</v>
      </c>
      <c r="C163">
        <v>112</v>
      </c>
      <c r="D163" t="s">
        <v>1170</v>
      </c>
      <c r="E163" t="s">
        <v>1576</v>
      </c>
      <c r="F163" t="s">
        <v>265</v>
      </c>
      <c r="G163" t="s">
        <v>1577</v>
      </c>
      <c r="H163" t="s">
        <v>1578</v>
      </c>
      <c r="I163" t="s">
        <v>1578</v>
      </c>
      <c r="J163">
        <v>4</v>
      </c>
      <c r="K163">
        <v>4</v>
      </c>
      <c r="L163">
        <v>4</v>
      </c>
      <c r="M163" t="s">
        <v>1579</v>
      </c>
      <c r="N163">
        <v>82</v>
      </c>
      <c r="O163">
        <v>163</v>
      </c>
      <c r="P163">
        <v>9</v>
      </c>
      <c r="Q163" t="s">
        <v>927</v>
      </c>
      <c r="R163" t="s">
        <v>556</v>
      </c>
      <c r="S163">
        <v>19</v>
      </c>
      <c r="T163">
        <v>0</v>
      </c>
      <c r="U163" t="s">
        <v>52</v>
      </c>
      <c r="V163" t="s">
        <v>1580</v>
      </c>
      <c r="W163" t="s">
        <v>54</v>
      </c>
      <c r="X163" t="s">
        <v>54</v>
      </c>
      <c r="Y163" t="s">
        <v>54</v>
      </c>
      <c r="Z163" t="s">
        <v>54</v>
      </c>
      <c r="AA163" t="s">
        <v>54</v>
      </c>
      <c r="AB163" t="s">
        <v>54</v>
      </c>
      <c r="AC163" t="s">
        <v>54</v>
      </c>
      <c r="AD163" t="s">
        <v>54</v>
      </c>
      <c r="AE163" t="s">
        <v>54</v>
      </c>
      <c r="AF163" t="s">
        <v>54</v>
      </c>
      <c r="AG163" t="s">
        <v>54</v>
      </c>
      <c r="AH163" t="s">
        <v>54</v>
      </c>
      <c r="AI163" t="s">
        <v>54</v>
      </c>
      <c r="AJ163" t="s">
        <v>54</v>
      </c>
      <c r="AK163" t="s">
        <v>54</v>
      </c>
      <c r="AL163" t="s">
        <v>54</v>
      </c>
      <c r="AM163" t="s">
        <v>54</v>
      </c>
      <c r="AN163" t="s">
        <v>54</v>
      </c>
      <c r="AO163" t="s">
        <v>54</v>
      </c>
      <c r="AP163" t="s">
        <v>54</v>
      </c>
      <c r="AQ163" t="s">
        <v>54</v>
      </c>
    </row>
    <row r="164" spans="1:43" x14ac:dyDescent="0.25">
      <c r="A164" t="s">
        <v>1581</v>
      </c>
      <c r="B164">
        <v>126</v>
      </c>
      <c r="C164">
        <v>95</v>
      </c>
      <c r="D164" t="s">
        <v>1582</v>
      </c>
      <c r="E164" t="s">
        <v>1583</v>
      </c>
      <c r="F164" t="s">
        <v>1584</v>
      </c>
      <c r="G164" t="s">
        <v>1585</v>
      </c>
      <c r="H164" t="s">
        <v>52</v>
      </c>
      <c r="I164" t="s">
        <v>1586</v>
      </c>
      <c r="J164">
        <v>0</v>
      </c>
      <c r="K164">
        <v>2</v>
      </c>
      <c r="L164">
        <v>1</v>
      </c>
      <c r="M164" t="s">
        <v>1587</v>
      </c>
      <c r="N164">
        <v>73</v>
      </c>
      <c r="O164">
        <v>126</v>
      </c>
      <c r="P164">
        <v>9</v>
      </c>
      <c r="Q164" t="s">
        <v>261</v>
      </c>
      <c r="R164" t="s">
        <v>446</v>
      </c>
      <c r="S164">
        <v>17</v>
      </c>
      <c r="T164">
        <v>0</v>
      </c>
      <c r="U164" t="s">
        <v>52</v>
      </c>
      <c r="V164" t="s">
        <v>1588</v>
      </c>
      <c r="W164" t="s">
        <v>54</v>
      </c>
      <c r="X164" t="s">
        <v>54</v>
      </c>
      <c r="Y164" t="s">
        <v>54</v>
      </c>
      <c r="Z164" t="s">
        <v>54</v>
      </c>
      <c r="AA164" t="s">
        <v>54</v>
      </c>
      <c r="AB164" t="s">
        <v>54</v>
      </c>
      <c r="AC164" t="s">
        <v>54</v>
      </c>
      <c r="AD164" t="s">
        <v>54</v>
      </c>
      <c r="AE164" t="s">
        <v>54</v>
      </c>
      <c r="AF164" t="s">
        <v>54</v>
      </c>
      <c r="AG164" t="s">
        <v>54</v>
      </c>
      <c r="AH164" t="s">
        <v>54</v>
      </c>
      <c r="AI164" t="s">
        <v>54</v>
      </c>
      <c r="AJ164" t="s">
        <v>54</v>
      </c>
      <c r="AK164" t="s">
        <v>54</v>
      </c>
      <c r="AL164" t="s">
        <v>54</v>
      </c>
      <c r="AM164" t="s">
        <v>54</v>
      </c>
      <c r="AN164" t="s">
        <v>54</v>
      </c>
      <c r="AO164" t="s">
        <v>54</v>
      </c>
      <c r="AP164" t="s">
        <v>54</v>
      </c>
      <c r="AQ164" t="s">
        <v>54</v>
      </c>
    </row>
    <row r="165" spans="1:43" x14ac:dyDescent="0.25">
      <c r="A165" t="s">
        <v>1589</v>
      </c>
      <c r="B165">
        <v>152</v>
      </c>
      <c r="C165">
        <v>94</v>
      </c>
      <c r="D165" t="s">
        <v>1590</v>
      </c>
      <c r="E165" t="s">
        <v>1591</v>
      </c>
      <c r="F165" t="s">
        <v>1592</v>
      </c>
      <c r="G165" t="s">
        <v>1593</v>
      </c>
      <c r="H165" t="s">
        <v>1594</v>
      </c>
      <c r="I165" t="s">
        <v>572</v>
      </c>
      <c r="J165">
        <v>2</v>
      </c>
      <c r="K165">
        <v>4</v>
      </c>
      <c r="L165">
        <v>3</v>
      </c>
      <c r="M165" t="s">
        <v>1595</v>
      </c>
      <c r="N165">
        <v>83</v>
      </c>
      <c r="O165">
        <v>152</v>
      </c>
      <c r="P165">
        <v>9</v>
      </c>
      <c r="Q165" t="s">
        <v>1596</v>
      </c>
      <c r="R165" t="s">
        <v>790</v>
      </c>
      <c r="S165">
        <v>20</v>
      </c>
      <c r="T165">
        <v>1</v>
      </c>
      <c r="U165" t="s">
        <v>1597</v>
      </c>
      <c r="V165" t="s">
        <v>1598</v>
      </c>
      <c r="W165" t="s">
        <v>54</v>
      </c>
      <c r="X165" t="s">
        <v>54</v>
      </c>
      <c r="Y165" t="s">
        <v>54</v>
      </c>
      <c r="Z165" t="s">
        <v>54</v>
      </c>
      <c r="AA165" t="s">
        <v>54</v>
      </c>
      <c r="AB165" t="s">
        <v>54</v>
      </c>
      <c r="AC165" t="s">
        <v>54</v>
      </c>
      <c r="AD165" t="s">
        <v>54</v>
      </c>
      <c r="AE165" t="s">
        <v>54</v>
      </c>
      <c r="AF165" t="s">
        <v>54</v>
      </c>
      <c r="AG165" t="s">
        <v>54</v>
      </c>
      <c r="AH165" t="s">
        <v>54</v>
      </c>
      <c r="AI165" t="s">
        <v>54</v>
      </c>
      <c r="AJ165" t="s">
        <v>54</v>
      </c>
      <c r="AK165" t="s">
        <v>54</v>
      </c>
      <c r="AL165" t="s">
        <v>54</v>
      </c>
      <c r="AM165" t="s">
        <v>54</v>
      </c>
      <c r="AN165" t="s">
        <v>54</v>
      </c>
      <c r="AO165" t="s">
        <v>54</v>
      </c>
      <c r="AP165" t="s">
        <v>54</v>
      </c>
      <c r="AQ165" t="s">
        <v>54</v>
      </c>
    </row>
    <row r="166" spans="1:43" x14ac:dyDescent="0.25">
      <c r="A166" t="s">
        <v>1599</v>
      </c>
      <c r="B166">
        <v>113</v>
      </c>
      <c r="C166">
        <v>82</v>
      </c>
      <c r="D166" t="s">
        <v>1600</v>
      </c>
      <c r="E166" t="s">
        <v>1601</v>
      </c>
      <c r="F166" t="s">
        <v>1544</v>
      </c>
      <c r="G166" t="s">
        <v>1602</v>
      </c>
      <c r="H166" t="s">
        <v>860</v>
      </c>
      <c r="I166" t="s">
        <v>860</v>
      </c>
      <c r="J166">
        <v>3</v>
      </c>
      <c r="K166">
        <v>3</v>
      </c>
      <c r="L166">
        <v>4</v>
      </c>
      <c r="M166" t="s">
        <v>1603</v>
      </c>
      <c r="N166">
        <v>65</v>
      </c>
      <c r="O166">
        <v>113</v>
      </c>
      <c r="P166">
        <v>12</v>
      </c>
      <c r="Q166" t="s">
        <v>396</v>
      </c>
      <c r="R166" t="s">
        <v>1604</v>
      </c>
      <c r="S166">
        <v>20</v>
      </c>
      <c r="T166">
        <v>0</v>
      </c>
      <c r="U166" t="s">
        <v>52</v>
      </c>
      <c r="V166" t="s">
        <v>1605</v>
      </c>
      <c r="W166" t="s">
        <v>54</v>
      </c>
      <c r="X166" t="s">
        <v>54</v>
      </c>
      <c r="Y166" t="s">
        <v>54</v>
      </c>
      <c r="Z166" t="s">
        <v>54</v>
      </c>
      <c r="AA166" t="s">
        <v>54</v>
      </c>
      <c r="AB166" t="s">
        <v>54</v>
      </c>
      <c r="AC166" t="s">
        <v>54</v>
      </c>
      <c r="AD166" t="s">
        <v>54</v>
      </c>
      <c r="AE166" t="s">
        <v>54</v>
      </c>
      <c r="AF166" t="s">
        <v>54</v>
      </c>
      <c r="AG166" t="s">
        <v>54</v>
      </c>
      <c r="AH166" t="s">
        <v>54</v>
      </c>
      <c r="AI166" t="s">
        <v>54</v>
      </c>
      <c r="AJ166" t="s">
        <v>54</v>
      </c>
      <c r="AK166" t="s">
        <v>54</v>
      </c>
      <c r="AL166" t="s">
        <v>54</v>
      </c>
      <c r="AM166" t="s">
        <v>54</v>
      </c>
      <c r="AN166" t="s">
        <v>54</v>
      </c>
      <c r="AO166" t="s">
        <v>54</v>
      </c>
      <c r="AP166" t="s">
        <v>54</v>
      </c>
      <c r="AQ166" t="s">
        <v>54</v>
      </c>
    </row>
    <row r="167" spans="1:43" x14ac:dyDescent="0.25">
      <c r="A167" t="s">
        <v>1606</v>
      </c>
      <c r="B167">
        <v>103</v>
      </c>
      <c r="C167">
        <v>75</v>
      </c>
      <c r="D167" t="s">
        <v>1607</v>
      </c>
      <c r="E167" t="s">
        <v>1302</v>
      </c>
      <c r="F167" t="s">
        <v>1608</v>
      </c>
      <c r="G167" t="s">
        <v>1609</v>
      </c>
      <c r="H167" t="s">
        <v>52</v>
      </c>
      <c r="I167" t="s">
        <v>334</v>
      </c>
      <c r="J167">
        <v>0</v>
      </c>
      <c r="K167">
        <v>1</v>
      </c>
      <c r="L167">
        <v>3</v>
      </c>
      <c r="M167" t="s">
        <v>1610</v>
      </c>
      <c r="N167">
        <v>58</v>
      </c>
      <c r="O167">
        <v>103</v>
      </c>
      <c r="P167">
        <v>12</v>
      </c>
      <c r="Q167" t="s">
        <v>1611</v>
      </c>
      <c r="R167" t="s">
        <v>1612</v>
      </c>
      <c r="S167">
        <v>7</v>
      </c>
      <c r="T167">
        <v>0</v>
      </c>
      <c r="U167" t="s">
        <v>52</v>
      </c>
      <c r="V167" t="s">
        <v>1613</v>
      </c>
      <c r="W167" t="s">
        <v>54</v>
      </c>
      <c r="X167" t="s">
        <v>54</v>
      </c>
      <c r="Y167" t="s">
        <v>54</v>
      </c>
      <c r="Z167" t="s">
        <v>54</v>
      </c>
      <c r="AA167" t="s">
        <v>54</v>
      </c>
      <c r="AB167" t="s">
        <v>54</v>
      </c>
      <c r="AC167" t="s">
        <v>54</v>
      </c>
      <c r="AD167" t="s">
        <v>54</v>
      </c>
      <c r="AE167" t="s">
        <v>54</v>
      </c>
      <c r="AF167" t="s">
        <v>54</v>
      </c>
      <c r="AG167" t="s">
        <v>54</v>
      </c>
      <c r="AH167" t="s">
        <v>54</v>
      </c>
      <c r="AI167" t="s">
        <v>54</v>
      </c>
      <c r="AJ167" t="s">
        <v>54</v>
      </c>
      <c r="AK167" t="s">
        <v>54</v>
      </c>
      <c r="AL167" t="s">
        <v>54</v>
      </c>
      <c r="AM167" t="s">
        <v>54</v>
      </c>
      <c r="AN167" t="s">
        <v>54</v>
      </c>
      <c r="AO167" t="s">
        <v>54</v>
      </c>
      <c r="AP167" t="s">
        <v>54</v>
      </c>
      <c r="AQ167" t="s">
        <v>54</v>
      </c>
    </row>
    <row r="168" spans="1:43" x14ac:dyDescent="0.25">
      <c r="A168" t="s">
        <v>1614</v>
      </c>
      <c r="B168">
        <v>169</v>
      </c>
      <c r="C168">
        <v>114</v>
      </c>
      <c r="D168" t="s">
        <v>1615</v>
      </c>
      <c r="E168" t="s">
        <v>1616</v>
      </c>
      <c r="F168" t="s">
        <v>1617</v>
      </c>
      <c r="G168" t="s">
        <v>1618</v>
      </c>
      <c r="H168" t="s">
        <v>685</v>
      </c>
      <c r="I168" t="s">
        <v>1619</v>
      </c>
      <c r="J168">
        <v>1</v>
      </c>
      <c r="K168">
        <v>2</v>
      </c>
      <c r="L168">
        <v>4</v>
      </c>
      <c r="M168" t="s">
        <v>546</v>
      </c>
      <c r="N168">
        <v>91</v>
      </c>
      <c r="O168">
        <v>169</v>
      </c>
      <c r="P168">
        <v>8</v>
      </c>
      <c r="Q168" t="s">
        <v>1620</v>
      </c>
      <c r="R168" t="s">
        <v>783</v>
      </c>
      <c r="S168">
        <v>25</v>
      </c>
      <c r="T168">
        <v>0</v>
      </c>
      <c r="U168" t="s">
        <v>52</v>
      </c>
      <c r="V168" t="s">
        <v>1621</v>
      </c>
      <c r="W168" t="s">
        <v>54</v>
      </c>
      <c r="X168" t="s">
        <v>54</v>
      </c>
      <c r="Y168" t="s">
        <v>54</v>
      </c>
      <c r="Z168" t="s">
        <v>54</v>
      </c>
      <c r="AA168" t="s">
        <v>54</v>
      </c>
      <c r="AB168" t="s">
        <v>54</v>
      </c>
      <c r="AC168" t="s">
        <v>54</v>
      </c>
      <c r="AD168" t="s">
        <v>54</v>
      </c>
      <c r="AE168" t="s">
        <v>54</v>
      </c>
      <c r="AF168" t="s">
        <v>54</v>
      </c>
      <c r="AG168" t="s">
        <v>54</v>
      </c>
      <c r="AH168" t="s">
        <v>54</v>
      </c>
      <c r="AI168" t="s">
        <v>54</v>
      </c>
      <c r="AJ168" t="s">
        <v>54</v>
      </c>
      <c r="AK168" t="s">
        <v>54</v>
      </c>
      <c r="AL168" t="s">
        <v>54</v>
      </c>
      <c r="AM168" t="s">
        <v>54</v>
      </c>
      <c r="AN168" t="s">
        <v>54</v>
      </c>
      <c r="AO168" t="s">
        <v>54</v>
      </c>
      <c r="AP168" t="s">
        <v>54</v>
      </c>
      <c r="AQ168" t="s">
        <v>54</v>
      </c>
    </row>
    <row r="169" spans="1:43" x14ac:dyDescent="0.25">
      <c r="A169" t="s">
        <v>1622</v>
      </c>
      <c r="B169">
        <v>238</v>
      </c>
      <c r="C169">
        <v>156</v>
      </c>
      <c r="D169" t="s">
        <v>1623</v>
      </c>
      <c r="E169" t="s">
        <v>1624</v>
      </c>
      <c r="F169" t="s">
        <v>1625</v>
      </c>
      <c r="G169" t="s">
        <v>1626</v>
      </c>
      <c r="H169" t="s">
        <v>1627</v>
      </c>
      <c r="I169" t="s">
        <v>1628</v>
      </c>
      <c r="J169">
        <v>2</v>
      </c>
      <c r="K169">
        <v>6</v>
      </c>
      <c r="L169">
        <v>5</v>
      </c>
      <c r="M169" t="s">
        <v>1629</v>
      </c>
      <c r="N169">
        <v>117</v>
      </c>
      <c r="O169">
        <v>239</v>
      </c>
      <c r="P169">
        <v>7</v>
      </c>
      <c r="Q169" t="s">
        <v>1630</v>
      </c>
      <c r="R169" t="s">
        <v>1631</v>
      </c>
      <c r="S169">
        <v>46</v>
      </c>
      <c r="T169">
        <v>0</v>
      </c>
      <c r="U169" t="s">
        <v>52</v>
      </c>
      <c r="V169" t="s">
        <v>1632</v>
      </c>
      <c r="W169" t="s">
        <v>54</v>
      </c>
      <c r="X169" t="s">
        <v>54</v>
      </c>
      <c r="Y169" t="s">
        <v>54</v>
      </c>
      <c r="Z169" t="s">
        <v>54</v>
      </c>
      <c r="AA169" t="s">
        <v>54</v>
      </c>
      <c r="AB169" t="s">
        <v>54</v>
      </c>
      <c r="AC169" t="s">
        <v>54</v>
      </c>
      <c r="AD169" t="s">
        <v>54</v>
      </c>
      <c r="AE169" t="s">
        <v>54</v>
      </c>
      <c r="AF169" t="s">
        <v>54</v>
      </c>
      <c r="AG169" t="s">
        <v>54</v>
      </c>
      <c r="AH169" t="s">
        <v>54</v>
      </c>
      <c r="AI169" t="s">
        <v>54</v>
      </c>
      <c r="AJ169" t="s">
        <v>54</v>
      </c>
      <c r="AK169" t="s">
        <v>54</v>
      </c>
      <c r="AL169" t="s">
        <v>54</v>
      </c>
      <c r="AM169" t="s">
        <v>54</v>
      </c>
      <c r="AN169" t="s">
        <v>54</v>
      </c>
      <c r="AO169" t="s">
        <v>54</v>
      </c>
      <c r="AP169" t="s">
        <v>54</v>
      </c>
      <c r="AQ169" t="s">
        <v>54</v>
      </c>
    </row>
    <row r="170" spans="1:43" x14ac:dyDescent="0.25">
      <c r="A170" t="s">
        <v>1633</v>
      </c>
      <c r="B170">
        <v>123</v>
      </c>
      <c r="C170">
        <v>87</v>
      </c>
      <c r="D170" t="s">
        <v>1634</v>
      </c>
      <c r="E170" t="s">
        <v>1635</v>
      </c>
      <c r="F170" t="s">
        <v>1636</v>
      </c>
      <c r="G170" t="s">
        <v>1637</v>
      </c>
      <c r="H170" t="s">
        <v>52</v>
      </c>
      <c r="I170" t="s">
        <v>1638</v>
      </c>
      <c r="J170">
        <v>0</v>
      </c>
      <c r="K170">
        <v>4</v>
      </c>
      <c r="L170">
        <v>5</v>
      </c>
      <c r="M170" t="s">
        <v>1639</v>
      </c>
      <c r="N170">
        <v>79</v>
      </c>
      <c r="O170">
        <v>123</v>
      </c>
      <c r="P170">
        <v>5</v>
      </c>
      <c r="Q170" t="s">
        <v>1393</v>
      </c>
      <c r="R170" t="s">
        <v>105</v>
      </c>
      <c r="S170">
        <v>11</v>
      </c>
      <c r="T170">
        <v>0</v>
      </c>
      <c r="U170" t="s">
        <v>52</v>
      </c>
      <c r="V170" t="s">
        <v>1640</v>
      </c>
      <c r="W170" t="s">
        <v>54</v>
      </c>
      <c r="X170" t="s">
        <v>54</v>
      </c>
      <c r="Y170" t="s">
        <v>54</v>
      </c>
      <c r="Z170" t="s">
        <v>54</v>
      </c>
      <c r="AA170" t="s">
        <v>54</v>
      </c>
      <c r="AB170" t="s">
        <v>54</v>
      </c>
      <c r="AC170" t="s">
        <v>54</v>
      </c>
      <c r="AD170" t="s">
        <v>54</v>
      </c>
      <c r="AE170" t="s">
        <v>54</v>
      </c>
      <c r="AF170" t="s">
        <v>54</v>
      </c>
      <c r="AG170" t="s">
        <v>54</v>
      </c>
      <c r="AH170" t="s">
        <v>54</v>
      </c>
      <c r="AI170" t="s">
        <v>54</v>
      </c>
      <c r="AJ170" t="s">
        <v>54</v>
      </c>
      <c r="AK170" t="s">
        <v>54</v>
      </c>
      <c r="AL170" t="s">
        <v>54</v>
      </c>
      <c r="AM170" t="s">
        <v>54</v>
      </c>
      <c r="AN170" t="s">
        <v>54</v>
      </c>
      <c r="AO170" t="s">
        <v>54</v>
      </c>
      <c r="AP170" t="s">
        <v>54</v>
      </c>
      <c r="AQ170" t="s">
        <v>54</v>
      </c>
    </row>
    <row r="171" spans="1:43" x14ac:dyDescent="0.25">
      <c r="A171" t="s">
        <v>1641</v>
      </c>
      <c r="B171">
        <v>119</v>
      </c>
      <c r="C171">
        <v>78</v>
      </c>
      <c r="D171" t="s">
        <v>1623</v>
      </c>
      <c r="E171" t="s">
        <v>1642</v>
      </c>
      <c r="F171" t="s">
        <v>1643</v>
      </c>
      <c r="G171" t="s">
        <v>1644</v>
      </c>
      <c r="H171" t="s">
        <v>52</v>
      </c>
      <c r="I171" t="s">
        <v>52</v>
      </c>
      <c r="J171">
        <v>0</v>
      </c>
      <c r="K171">
        <v>0</v>
      </c>
      <c r="L171">
        <v>1</v>
      </c>
      <c r="M171" t="s">
        <v>129</v>
      </c>
      <c r="N171">
        <v>68</v>
      </c>
      <c r="O171">
        <v>119</v>
      </c>
      <c r="P171">
        <v>6</v>
      </c>
      <c r="Q171" t="s">
        <v>1645</v>
      </c>
      <c r="R171" t="s">
        <v>1646</v>
      </c>
      <c r="S171">
        <v>8</v>
      </c>
      <c r="T171">
        <v>0</v>
      </c>
      <c r="U171" t="s">
        <v>52</v>
      </c>
      <c r="V171" t="s">
        <v>1647</v>
      </c>
      <c r="W171" t="s">
        <v>54</v>
      </c>
      <c r="X171" t="s">
        <v>54</v>
      </c>
      <c r="Y171" t="s">
        <v>54</v>
      </c>
      <c r="Z171" t="s">
        <v>54</v>
      </c>
      <c r="AA171" t="s">
        <v>54</v>
      </c>
      <c r="AB171" t="s">
        <v>54</v>
      </c>
      <c r="AC171" t="s">
        <v>54</v>
      </c>
      <c r="AD171" t="s">
        <v>54</v>
      </c>
      <c r="AE171" t="s">
        <v>54</v>
      </c>
      <c r="AF171" t="s">
        <v>54</v>
      </c>
      <c r="AG171" t="s">
        <v>54</v>
      </c>
      <c r="AH171" t="s">
        <v>54</v>
      </c>
      <c r="AI171" t="s">
        <v>54</v>
      </c>
      <c r="AJ171" t="s">
        <v>54</v>
      </c>
      <c r="AK171" t="s">
        <v>54</v>
      </c>
      <c r="AL171" t="s">
        <v>54</v>
      </c>
      <c r="AM171" t="s">
        <v>54</v>
      </c>
      <c r="AN171" t="s">
        <v>54</v>
      </c>
      <c r="AO171" t="s">
        <v>54</v>
      </c>
      <c r="AP171" t="s">
        <v>54</v>
      </c>
      <c r="AQ171" t="s">
        <v>54</v>
      </c>
    </row>
    <row r="172" spans="1:43" x14ac:dyDescent="0.25">
      <c r="A172" t="s">
        <v>1648</v>
      </c>
      <c r="B172">
        <v>175</v>
      </c>
      <c r="C172">
        <v>117</v>
      </c>
      <c r="D172" t="s">
        <v>1649</v>
      </c>
      <c r="E172" t="s">
        <v>1650</v>
      </c>
      <c r="F172" t="s">
        <v>1625</v>
      </c>
      <c r="G172" t="s">
        <v>1651</v>
      </c>
      <c r="H172" t="s">
        <v>645</v>
      </c>
      <c r="I172" t="s">
        <v>645</v>
      </c>
      <c r="J172">
        <v>1</v>
      </c>
      <c r="K172">
        <v>1</v>
      </c>
      <c r="L172">
        <v>4</v>
      </c>
      <c r="M172" t="s">
        <v>1652</v>
      </c>
      <c r="N172">
        <v>99</v>
      </c>
      <c r="O172">
        <v>174</v>
      </c>
      <c r="P172">
        <v>2</v>
      </c>
      <c r="Q172" t="s">
        <v>1653</v>
      </c>
      <c r="R172" t="s">
        <v>1654</v>
      </c>
      <c r="S172">
        <v>18</v>
      </c>
      <c r="T172">
        <v>0</v>
      </c>
      <c r="U172" t="s">
        <v>52</v>
      </c>
      <c r="V172" t="s">
        <v>1655</v>
      </c>
      <c r="W172" t="s">
        <v>54</v>
      </c>
      <c r="X172" t="s">
        <v>54</v>
      </c>
      <c r="Y172" t="s">
        <v>54</v>
      </c>
      <c r="Z172" t="s">
        <v>54</v>
      </c>
      <c r="AA172" t="s">
        <v>54</v>
      </c>
      <c r="AB172" t="s">
        <v>54</v>
      </c>
      <c r="AC172" t="s">
        <v>54</v>
      </c>
      <c r="AD172" t="s">
        <v>54</v>
      </c>
      <c r="AE172" t="s">
        <v>54</v>
      </c>
      <c r="AF172" t="s">
        <v>54</v>
      </c>
      <c r="AG172" t="s">
        <v>54</v>
      </c>
      <c r="AH172" t="s">
        <v>54</v>
      </c>
      <c r="AI172" t="s">
        <v>54</v>
      </c>
      <c r="AJ172" t="s">
        <v>54</v>
      </c>
      <c r="AK172" t="s">
        <v>54</v>
      </c>
      <c r="AL172" t="s">
        <v>54</v>
      </c>
      <c r="AM172" t="s">
        <v>54</v>
      </c>
      <c r="AN172" t="s">
        <v>54</v>
      </c>
      <c r="AO172" t="s">
        <v>54</v>
      </c>
      <c r="AP172" t="s">
        <v>54</v>
      </c>
      <c r="AQ172" t="s">
        <v>54</v>
      </c>
    </row>
    <row r="173" spans="1:43" x14ac:dyDescent="0.25">
      <c r="A173" t="s">
        <v>1656</v>
      </c>
      <c r="B173">
        <v>169</v>
      </c>
      <c r="C173">
        <v>116</v>
      </c>
      <c r="D173" t="s">
        <v>1657</v>
      </c>
      <c r="E173" t="s">
        <v>881</v>
      </c>
      <c r="F173" t="s">
        <v>1658</v>
      </c>
      <c r="G173" t="s">
        <v>1659</v>
      </c>
      <c r="H173" t="s">
        <v>1660</v>
      </c>
      <c r="I173" t="s">
        <v>1661</v>
      </c>
      <c r="J173">
        <v>4</v>
      </c>
      <c r="K173">
        <v>11</v>
      </c>
      <c r="L173">
        <v>4</v>
      </c>
      <c r="M173" t="s">
        <v>1662</v>
      </c>
      <c r="N173">
        <v>85</v>
      </c>
      <c r="O173">
        <v>169</v>
      </c>
      <c r="P173">
        <v>7</v>
      </c>
      <c r="Q173" t="s">
        <v>687</v>
      </c>
      <c r="R173" t="s">
        <v>1663</v>
      </c>
      <c r="S173">
        <v>30</v>
      </c>
      <c r="T173">
        <v>1</v>
      </c>
      <c r="U173" t="s">
        <v>1664</v>
      </c>
      <c r="V173" t="s">
        <v>1665</v>
      </c>
      <c r="W173" t="s">
        <v>54</v>
      </c>
      <c r="X173" t="s">
        <v>54</v>
      </c>
      <c r="Y173" t="s">
        <v>54</v>
      </c>
      <c r="Z173" t="s">
        <v>54</v>
      </c>
      <c r="AA173" t="s">
        <v>54</v>
      </c>
      <c r="AB173" t="s">
        <v>54</v>
      </c>
      <c r="AC173" t="s">
        <v>54</v>
      </c>
      <c r="AD173" t="s">
        <v>54</v>
      </c>
      <c r="AE173" t="s">
        <v>54</v>
      </c>
      <c r="AF173" t="s">
        <v>54</v>
      </c>
      <c r="AG173" t="s">
        <v>54</v>
      </c>
      <c r="AH173" t="s">
        <v>54</v>
      </c>
      <c r="AI173" t="s">
        <v>54</v>
      </c>
      <c r="AJ173" t="s">
        <v>54</v>
      </c>
      <c r="AK173" t="s">
        <v>54</v>
      </c>
      <c r="AL173" t="s">
        <v>54</v>
      </c>
      <c r="AM173" t="s">
        <v>54</v>
      </c>
      <c r="AN173" t="s">
        <v>54</v>
      </c>
      <c r="AO173" t="s">
        <v>54</v>
      </c>
      <c r="AP173" t="s">
        <v>54</v>
      </c>
      <c r="AQ173" t="s">
        <v>54</v>
      </c>
    </row>
    <row r="174" spans="1:43" x14ac:dyDescent="0.25">
      <c r="A174" t="s">
        <v>1666</v>
      </c>
      <c r="B174">
        <v>227</v>
      </c>
      <c r="C174">
        <v>144</v>
      </c>
      <c r="D174" t="s">
        <v>1667</v>
      </c>
      <c r="E174" t="s">
        <v>1668</v>
      </c>
      <c r="F174" t="s">
        <v>731</v>
      </c>
      <c r="G174" t="s">
        <v>1669</v>
      </c>
      <c r="H174" t="s">
        <v>1670</v>
      </c>
      <c r="I174" t="s">
        <v>52</v>
      </c>
      <c r="J174">
        <v>3</v>
      </c>
      <c r="K174">
        <v>0</v>
      </c>
      <c r="L174">
        <v>4</v>
      </c>
      <c r="M174" t="s">
        <v>1671</v>
      </c>
      <c r="N174">
        <v>113</v>
      </c>
      <c r="O174">
        <v>228</v>
      </c>
      <c r="P174">
        <v>13</v>
      </c>
      <c r="Q174" t="s">
        <v>1672</v>
      </c>
      <c r="R174" t="s">
        <v>1673</v>
      </c>
      <c r="S174">
        <v>35</v>
      </c>
      <c r="T174">
        <v>0</v>
      </c>
      <c r="U174" t="s">
        <v>52</v>
      </c>
      <c r="V174" t="s">
        <v>1674</v>
      </c>
      <c r="W174" t="s">
        <v>54</v>
      </c>
      <c r="X174" t="s">
        <v>54</v>
      </c>
      <c r="Y174" t="s">
        <v>54</v>
      </c>
      <c r="Z174" t="s">
        <v>54</v>
      </c>
      <c r="AA174" t="s">
        <v>54</v>
      </c>
      <c r="AB174" t="s">
        <v>54</v>
      </c>
      <c r="AC174" t="s">
        <v>54</v>
      </c>
      <c r="AD174" t="s">
        <v>54</v>
      </c>
      <c r="AE174" t="s">
        <v>54</v>
      </c>
      <c r="AF174" t="s">
        <v>54</v>
      </c>
      <c r="AG174" t="s">
        <v>54</v>
      </c>
      <c r="AH174" t="s">
        <v>54</v>
      </c>
      <c r="AI174" t="s">
        <v>54</v>
      </c>
      <c r="AJ174" t="s">
        <v>54</v>
      </c>
      <c r="AK174" t="s">
        <v>54</v>
      </c>
      <c r="AL174" t="s">
        <v>54</v>
      </c>
      <c r="AM174" t="s">
        <v>54</v>
      </c>
      <c r="AN174" t="s">
        <v>54</v>
      </c>
      <c r="AO174" t="s">
        <v>54</v>
      </c>
      <c r="AP174" t="s">
        <v>54</v>
      </c>
      <c r="AQ174" t="s">
        <v>54</v>
      </c>
    </row>
    <row r="175" spans="1:43" x14ac:dyDescent="0.25">
      <c r="A175" t="s">
        <v>1675</v>
      </c>
      <c r="B175">
        <v>86</v>
      </c>
      <c r="C175">
        <v>79</v>
      </c>
      <c r="D175" t="s">
        <v>1676</v>
      </c>
      <c r="E175" t="s">
        <v>1677</v>
      </c>
      <c r="F175" t="s">
        <v>1678</v>
      </c>
      <c r="G175" t="s">
        <v>1679</v>
      </c>
      <c r="H175" t="s">
        <v>52</v>
      </c>
      <c r="I175" t="s">
        <v>52</v>
      </c>
      <c r="J175">
        <v>0</v>
      </c>
      <c r="K175">
        <v>0</v>
      </c>
      <c r="L175">
        <v>3</v>
      </c>
      <c r="M175" t="s">
        <v>1680</v>
      </c>
      <c r="N175">
        <v>55</v>
      </c>
      <c r="O175">
        <v>86</v>
      </c>
      <c r="P175">
        <v>6</v>
      </c>
      <c r="Q175" t="s">
        <v>1281</v>
      </c>
      <c r="R175" t="s">
        <v>1646</v>
      </c>
      <c r="S175">
        <v>8</v>
      </c>
      <c r="T175">
        <v>0</v>
      </c>
      <c r="U175" t="s">
        <v>52</v>
      </c>
      <c r="V175" t="s">
        <v>1681</v>
      </c>
      <c r="W175" t="s">
        <v>54</v>
      </c>
      <c r="X175" t="s">
        <v>54</v>
      </c>
      <c r="Y175" t="s">
        <v>54</v>
      </c>
      <c r="Z175" t="s">
        <v>54</v>
      </c>
      <c r="AA175" t="s">
        <v>54</v>
      </c>
      <c r="AB175" t="s">
        <v>54</v>
      </c>
      <c r="AC175" t="s">
        <v>54</v>
      </c>
      <c r="AD175" t="s">
        <v>54</v>
      </c>
      <c r="AE175" t="s">
        <v>54</v>
      </c>
      <c r="AF175" t="s">
        <v>54</v>
      </c>
      <c r="AG175" t="s">
        <v>54</v>
      </c>
      <c r="AH175" t="s">
        <v>54</v>
      </c>
      <c r="AI175" t="s">
        <v>54</v>
      </c>
      <c r="AJ175" t="s">
        <v>54</v>
      </c>
      <c r="AK175" t="s">
        <v>54</v>
      </c>
      <c r="AL175" t="s">
        <v>54</v>
      </c>
      <c r="AM175" t="s">
        <v>54</v>
      </c>
      <c r="AN175" t="s">
        <v>54</v>
      </c>
      <c r="AO175" t="s">
        <v>54</v>
      </c>
      <c r="AP175" t="s">
        <v>54</v>
      </c>
      <c r="AQ175" t="s">
        <v>54</v>
      </c>
    </row>
    <row r="176" spans="1:43" x14ac:dyDescent="0.25">
      <c r="A176" t="s">
        <v>1682</v>
      </c>
      <c r="B176">
        <v>208</v>
      </c>
      <c r="C176">
        <v>128</v>
      </c>
      <c r="D176" t="s">
        <v>1565</v>
      </c>
      <c r="E176" t="s">
        <v>1048</v>
      </c>
      <c r="F176" t="s">
        <v>1683</v>
      </c>
      <c r="G176" t="s">
        <v>1684</v>
      </c>
      <c r="H176" t="s">
        <v>770</v>
      </c>
      <c r="I176" t="s">
        <v>951</v>
      </c>
      <c r="J176">
        <v>4</v>
      </c>
      <c r="K176">
        <v>3</v>
      </c>
      <c r="L176">
        <v>4</v>
      </c>
      <c r="M176" t="s">
        <v>1685</v>
      </c>
      <c r="N176">
        <v>122</v>
      </c>
      <c r="O176">
        <v>209</v>
      </c>
      <c r="P176">
        <v>13</v>
      </c>
      <c r="Q176" t="s">
        <v>1686</v>
      </c>
      <c r="R176" t="s">
        <v>1687</v>
      </c>
      <c r="S176">
        <v>30</v>
      </c>
      <c r="T176">
        <v>0</v>
      </c>
      <c r="U176" t="s">
        <v>52</v>
      </c>
      <c r="V176" t="s">
        <v>1688</v>
      </c>
      <c r="W176" t="s">
        <v>54</v>
      </c>
      <c r="X176" t="s">
        <v>54</v>
      </c>
      <c r="Y176" t="s">
        <v>54</v>
      </c>
      <c r="Z176" t="s">
        <v>54</v>
      </c>
      <c r="AA176" t="s">
        <v>54</v>
      </c>
      <c r="AB176" t="s">
        <v>54</v>
      </c>
      <c r="AC176" t="s">
        <v>54</v>
      </c>
      <c r="AD176" t="s">
        <v>54</v>
      </c>
      <c r="AE176" t="s">
        <v>54</v>
      </c>
      <c r="AF176" t="s">
        <v>54</v>
      </c>
      <c r="AG176" t="s">
        <v>54</v>
      </c>
      <c r="AH176" t="s">
        <v>54</v>
      </c>
      <c r="AI176" t="s">
        <v>54</v>
      </c>
      <c r="AJ176" t="s">
        <v>54</v>
      </c>
      <c r="AK176" t="s">
        <v>54</v>
      </c>
      <c r="AL176" t="s">
        <v>54</v>
      </c>
      <c r="AM176" t="s">
        <v>54</v>
      </c>
      <c r="AN176" t="s">
        <v>54</v>
      </c>
      <c r="AO176" t="s">
        <v>54</v>
      </c>
      <c r="AP176" t="s">
        <v>54</v>
      </c>
      <c r="AQ176" t="s">
        <v>54</v>
      </c>
    </row>
    <row r="177" spans="1:43" x14ac:dyDescent="0.25">
      <c r="A177" t="s">
        <v>1689</v>
      </c>
      <c r="B177">
        <v>152</v>
      </c>
      <c r="C177">
        <v>106</v>
      </c>
      <c r="D177" t="s">
        <v>1690</v>
      </c>
      <c r="E177" t="s">
        <v>1691</v>
      </c>
      <c r="F177" t="s">
        <v>1692</v>
      </c>
      <c r="G177" t="s">
        <v>1693</v>
      </c>
      <c r="H177" t="s">
        <v>1694</v>
      </c>
      <c r="I177" t="s">
        <v>1594</v>
      </c>
      <c r="J177">
        <v>5</v>
      </c>
      <c r="K177">
        <v>2</v>
      </c>
      <c r="L177">
        <v>4</v>
      </c>
      <c r="M177" t="s">
        <v>1695</v>
      </c>
      <c r="N177">
        <v>80</v>
      </c>
      <c r="O177">
        <v>153</v>
      </c>
      <c r="P177">
        <v>5</v>
      </c>
      <c r="Q177" t="s">
        <v>1696</v>
      </c>
      <c r="R177" t="s">
        <v>1697</v>
      </c>
      <c r="S177">
        <v>23</v>
      </c>
      <c r="T177">
        <v>0</v>
      </c>
      <c r="U177" t="s">
        <v>52</v>
      </c>
      <c r="V177" t="s">
        <v>1698</v>
      </c>
      <c r="W177" t="s">
        <v>54</v>
      </c>
      <c r="X177" t="s">
        <v>54</v>
      </c>
      <c r="Y177" t="s">
        <v>54</v>
      </c>
      <c r="Z177" t="s">
        <v>54</v>
      </c>
      <c r="AA177" t="s">
        <v>54</v>
      </c>
      <c r="AB177" t="s">
        <v>54</v>
      </c>
      <c r="AC177" t="s">
        <v>54</v>
      </c>
      <c r="AD177" t="s">
        <v>54</v>
      </c>
      <c r="AE177" t="s">
        <v>54</v>
      </c>
      <c r="AF177" t="s">
        <v>54</v>
      </c>
      <c r="AG177" t="s">
        <v>54</v>
      </c>
      <c r="AH177" t="s">
        <v>54</v>
      </c>
      <c r="AI177" t="s">
        <v>54</v>
      </c>
      <c r="AJ177" t="s">
        <v>54</v>
      </c>
      <c r="AK177" t="s">
        <v>54</v>
      </c>
      <c r="AL177" t="s">
        <v>54</v>
      </c>
      <c r="AM177" t="s">
        <v>54</v>
      </c>
      <c r="AN177" t="s">
        <v>54</v>
      </c>
      <c r="AO177" t="s">
        <v>54</v>
      </c>
      <c r="AP177" t="s">
        <v>54</v>
      </c>
      <c r="AQ177" t="s">
        <v>54</v>
      </c>
    </row>
    <row r="178" spans="1:43" x14ac:dyDescent="0.25">
      <c r="A178" t="s">
        <v>1699</v>
      </c>
      <c r="B178">
        <v>155</v>
      </c>
      <c r="C178">
        <v>103</v>
      </c>
      <c r="D178" t="s">
        <v>1700</v>
      </c>
      <c r="E178" t="s">
        <v>1701</v>
      </c>
      <c r="F178" t="s">
        <v>330</v>
      </c>
      <c r="G178" t="s">
        <v>1702</v>
      </c>
      <c r="H178" t="s">
        <v>614</v>
      </c>
      <c r="I178" t="s">
        <v>614</v>
      </c>
      <c r="J178">
        <v>1</v>
      </c>
      <c r="K178">
        <v>1</v>
      </c>
      <c r="L178">
        <v>4</v>
      </c>
      <c r="M178" t="s">
        <v>1703</v>
      </c>
      <c r="N178">
        <v>81</v>
      </c>
      <c r="O178">
        <v>155</v>
      </c>
      <c r="P178">
        <v>7</v>
      </c>
      <c r="Q178" t="s">
        <v>1368</v>
      </c>
      <c r="R178" t="s">
        <v>1704</v>
      </c>
      <c r="S178">
        <v>25</v>
      </c>
      <c r="T178">
        <v>0</v>
      </c>
      <c r="U178" t="s">
        <v>52</v>
      </c>
      <c r="V178" t="s">
        <v>1705</v>
      </c>
      <c r="W178" t="s">
        <v>54</v>
      </c>
      <c r="X178" t="s">
        <v>54</v>
      </c>
      <c r="Y178" t="s">
        <v>54</v>
      </c>
      <c r="Z178" t="s">
        <v>54</v>
      </c>
      <c r="AA178" t="s">
        <v>54</v>
      </c>
      <c r="AB178" t="s">
        <v>54</v>
      </c>
      <c r="AC178" t="s">
        <v>54</v>
      </c>
      <c r="AD178" t="s">
        <v>54</v>
      </c>
      <c r="AE178" t="s">
        <v>54</v>
      </c>
      <c r="AF178" t="s">
        <v>54</v>
      </c>
      <c r="AG178" t="s">
        <v>54</v>
      </c>
      <c r="AH178" t="s">
        <v>54</v>
      </c>
      <c r="AI178" t="s">
        <v>54</v>
      </c>
      <c r="AJ178" t="s">
        <v>54</v>
      </c>
      <c r="AK178" t="s">
        <v>54</v>
      </c>
      <c r="AL178" t="s">
        <v>54</v>
      </c>
      <c r="AM178" t="s">
        <v>54</v>
      </c>
      <c r="AN178" t="s">
        <v>54</v>
      </c>
      <c r="AO178" t="s">
        <v>54</v>
      </c>
      <c r="AP178" t="s">
        <v>54</v>
      </c>
      <c r="AQ178" t="s">
        <v>54</v>
      </c>
    </row>
    <row r="179" spans="1:43" x14ac:dyDescent="0.25">
      <c r="A179" t="s">
        <v>1706</v>
      </c>
      <c r="B179">
        <v>164</v>
      </c>
      <c r="C179">
        <v>115</v>
      </c>
      <c r="D179" t="s">
        <v>1707</v>
      </c>
      <c r="E179" t="s">
        <v>1708</v>
      </c>
      <c r="F179" t="s">
        <v>1408</v>
      </c>
      <c r="G179" t="s">
        <v>1709</v>
      </c>
      <c r="H179" t="s">
        <v>1710</v>
      </c>
      <c r="I179" t="s">
        <v>1711</v>
      </c>
      <c r="J179">
        <v>6</v>
      </c>
      <c r="K179">
        <v>1</v>
      </c>
      <c r="L179">
        <v>4</v>
      </c>
      <c r="M179" t="s">
        <v>1712</v>
      </c>
      <c r="N179">
        <v>101</v>
      </c>
      <c r="O179">
        <v>164</v>
      </c>
      <c r="P179">
        <v>11</v>
      </c>
      <c r="Q179" t="s">
        <v>1713</v>
      </c>
      <c r="R179" t="s">
        <v>1714</v>
      </c>
      <c r="S179">
        <v>25</v>
      </c>
      <c r="T179">
        <v>0</v>
      </c>
      <c r="U179" t="s">
        <v>52</v>
      </c>
      <c r="V179" t="s">
        <v>1715</v>
      </c>
      <c r="W179" t="s">
        <v>54</v>
      </c>
      <c r="X179" t="s">
        <v>54</v>
      </c>
      <c r="Y179" t="s">
        <v>54</v>
      </c>
      <c r="Z179" t="s">
        <v>54</v>
      </c>
      <c r="AA179" t="s">
        <v>54</v>
      </c>
      <c r="AB179" t="s">
        <v>54</v>
      </c>
      <c r="AC179" t="s">
        <v>54</v>
      </c>
      <c r="AD179" t="s">
        <v>54</v>
      </c>
      <c r="AE179" t="s">
        <v>54</v>
      </c>
      <c r="AF179" t="s">
        <v>54</v>
      </c>
      <c r="AG179" t="s">
        <v>54</v>
      </c>
      <c r="AH179" t="s">
        <v>54</v>
      </c>
      <c r="AI179" t="s">
        <v>54</v>
      </c>
      <c r="AJ179" t="s">
        <v>54</v>
      </c>
      <c r="AK179" t="s">
        <v>54</v>
      </c>
      <c r="AL179" t="s">
        <v>54</v>
      </c>
      <c r="AM179" t="s">
        <v>54</v>
      </c>
      <c r="AN179" t="s">
        <v>54</v>
      </c>
      <c r="AO179" t="s">
        <v>54</v>
      </c>
      <c r="AP179" t="s">
        <v>54</v>
      </c>
      <c r="AQ179" t="s">
        <v>54</v>
      </c>
    </row>
    <row r="180" spans="1:43" x14ac:dyDescent="0.25">
      <c r="A180" t="s">
        <v>1716</v>
      </c>
      <c r="B180">
        <v>206</v>
      </c>
      <c r="C180">
        <v>150</v>
      </c>
      <c r="D180" t="s">
        <v>1607</v>
      </c>
      <c r="E180" t="s">
        <v>1302</v>
      </c>
      <c r="F180" t="s">
        <v>1608</v>
      </c>
      <c r="G180" t="s">
        <v>1717</v>
      </c>
      <c r="H180" t="s">
        <v>334</v>
      </c>
      <c r="I180" t="s">
        <v>1718</v>
      </c>
      <c r="J180">
        <v>2</v>
      </c>
      <c r="K180">
        <v>4</v>
      </c>
      <c r="L180">
        <v>4</v>
      </c>
      <c r="M180" t="s">
        <v>1243</v>
      </c>
      <c r="N180">
        <v>115</v>
      </c>
      <c r="O180">
        <v>207</v>
      </c>
      <c r="P180">
        <v>7</v>
      </c>
      <c r="Q180" t="s">
        <v>1719</v>
      </c>
      <c r="R180" t="s">
        <v>1720</v>
      </c>
      <c r="S180">
        <v>23</v>
      </c>
      <c r="T180">
        <v>0</v>
      </c>
      <c r="U180" t="s">
        <v>52</v>
      </c>
      <c r="V180" t="s">
        <v>1721</v>
      </c>
      <c r="W180" t="s">
        <v>54</v>
      </c>
      <c r="X180" t="s">
        <v>54</v>
      </c>
      <c r="Y180" t="s">
        <v>54</v>
      </c>
      <c r="Z180" t="s">
        <v>54</v>
      </c>
      <c r="AA180" t="s">
        <v>54</v>
      </c>
      <c r="AB180" t="s">
        <v>54</v>
      </c>
      <c r="AC180" t="s">
        <v>54</v>
      </c>
      <c r="AD180" t="s">
        <v>54</v>
      </c>
      <c r="AE180" t="s">
        <v>54</v>
      </c>
      <c r="AF180" t="s">
        <v>54</v>
      </c>
      <c r="AG180" t="s">
        <v>54</v>
      </c>
      <c r="AH180" t="s">
        <v>54</v>
      </c>
      <c r="AI180" t="s">
        <v>54</v>
      </c>
      <c r="AJ180" t="s">
        <v>54</v>
      </c>
      <c r="AK180" t="s">
        <v>54</v>
      </c>
      <c r="AL180" t="s">
        <v>54</v>
      </c>
      <c r="AM180" t="s">
        <v>54</v>
      </c>
      <c r="AN180" t="s">
        <v>54</v>
      </c>
      <c r="AO180" t="s">
        <v>54</v>
      </c>
      <c r="AP180" t="s">
        <v>54</v>
      </c>
      <c r="AQ180" t="s">
        <v>54</v>
      </c>
    </row>
    <row r="181" spans="1:43" x14ac:dyDescent="0.25">
      <c r="A181" t="s">
        <v>1722</v>
      </c>
      <c r="B181">
        <v>130</v>
      </c>
      <c r="C181">
        <v>88</v>
      </c>
      <c r="D181" t="s">
        <v>1723</v>
      </c>
      <c r="E181" t="s">
        <v>881</v>
      </c>
      <c r="F181" t="s">
        <v>1724</v>
      </c>
      <c r="G181" t="s">
        <v>1725</v>
      </c>
      <c r="H181" t="s">
        <v>1726</v>
      </c>
      <c r="I181" t="s">
        <v>52</v>
      </c>
      <c r="J181">
        <v>6</v>
      </c>
      <c r="K181">
        <v>0</v>
      </c>
      <c r="L181">
        <v>5</v>
      </c>
      <c r="M181" t="s">
        <v>1727</v>
      </c>
      <c r="N181">
        <v>73</v>
      </c>
      <c r="O181">
        <v>130</v>
      </c>
      <c r="P181">
        <v>9</v>
      </c>
      <c r="Q181" t="s">
        <v>1728</v>
      </c>
      <c r="R181" t="s">
        <v>1729</v>
      </c>
      <c r="S181">
        <v>13</v>
      </c>
      <c r="T181">
        <v>0</v>
      </c>
      <c r="U181" t="s">
        <v>52</v>
      </c>
      <c r="V181" t="s">
        <v>1730</v>
      </c>
      <c r="W181" t="s">
        <v>54</v>
      </c>
      <c r="X181" t="s">
        <v>54</v>
      </c>
      <c r="Y181" t="s">
        <v>54</v>
      </c>
      <c r="Z181" t="s">
        <v>54</v>
      </c>
      <c r="AA181" t="s">
        <v>54</v>
      </c>
      <c r="AB181" t="s">
        <v>54</v>
      </c>
      <c r="AC181" t="s">
        <v>54</v>
      </c>
      <c r="AD181" t="s">
        <v>54</v>
      </c>
      <c r="AE181" t="s">
        <v>54</v>
      </c>
      <c r="AF181" t="s">
        <v>54</v>
      </c>
      <c r="AG181" t="s">
        <v>54</v>
      </c>
      <c r="AH181" t="s">
        <v>54</v>
      </c>
      <c r="AI181" t="s">
        <v>54</v>
      </c>
      <c r="AJ181" t="s">
        <v>54</v>
      </c>
      <c r="AK181" t="s">
        <v>54</v>
      </c>
      <c r="AL181" t="s">
        <v>54</v>
      </c>
      <c r="AM181" t="s">
        <v>54</v>
      </c>
      <c r="AN181" t="s">
        <v>54</v>
      </c>
      <c r="AO181" t="s">
        <v>54</v>
      </c>
      <c r="AP181" t="s">
        <v>54</v>
      </c>
      <c r="AQ181" t="s">
        <v>54</v>
      </c>
    </row>
    <row r="182" spans="1:43" x14ac:dyDescent="0.25">
      <c r="A182" t="s">
        <v>1731</v>
      </c>
      <c r="B182">
        <v>235</v>
      </c>
      <c r="C182">
        <v>119</v>
      </c>
      <c r="D182" t="s">
        <v>1732</v>
      </c>
      <c r="E182" t="s">
        <v>1733</v>
      </c>
      <c r="F182" t="s">
        <v>1734</v>
      </c>
      <c r="G182" t="s">
        <v>1735</v>
      </c>
      <c r="H182" t="s">
        <v>1736</v>
      </c>
      <c r="I182" t="s">
        <v>1737</v>
      </c>
      <c r="J182">
        <v>13</v>
      </c>
      <c r="K182">
        <v>15</v>
      </c>
      <c r="L182">
        <v>4</v>
      </c>
      <c r="M182" t="s">
        <v>1738</v>
      </c>
      <c r="N182">
        <v>126</v>
      </c>
      <c r="O182">
        <v>235</v>
      </c>
      <c r="P182">
        <v>9</v>
      </c>
      <c r="Q182" t="s">
        <v>1739</v>
      </c>
      <c r="R182" t="s">
        <v>1740</v>
      </c>
      <c r="S182">
        <v>40</v>
      </c>
      <c r="T182">
        <v>0</v>
      </c>
      <c r="U182" t="s">
        <v>52</v>
      </c>
      <c r="V182" t="s">
        <v>1741</v>
      </c>
      <c r="W182" t="s">
        <v>54</v>
      </c>
      <c r="X182" t="s">
        <v>54</v>
      </c>
      <c r="Y182" t="s">
        <v>54</v>
      </c>
      <c r="Z182" t="s">
        <v>54</v>
      </c>
      <c r="AA182" t="s">
        <v>54</v>
      </c>
      <c r="AB182" t="s">
        <v>54</v>
      </c>
      <c r="AC182" t="s">
        <v>54</v>
      </c>
      <c r="AD182" t="s">
        <v>54</v>
      </c>
      <c r="AE182" t="s">
        <v>54</v>
      </c>
      <c r="AF182" t="s">
        <v>54</v>
      </c>
      <c r="AG182" t="s">
        <v>54</v>
      </c>
      <c r="AH182" t="s">
        <v>54</v>
      </c>
      <c r="AI182" t="s">
        <v>54</v>
      </c>
      <c r="AJ182" t="s">
        <v>54</v>
      </c>
      <c r="AK182" t="s">
        <v>54</v>
      </c>
      <c r="AL182" t="s">
        <v>54</v>
      </c>
      <c r="AM182" t="s">
        <v>54</v>
      </c>
      <c r="AN182" t="s">
        <v>54</v>
      </c>
      <c r="AO182" t="s">
        <v>54</v>
      </c>
      <c r="AP182" t="s">
        <v>54</v>
      </c>
      <c r="AQ182" t="s">
        <v>54</v>
      </c>
    </row>
    <row r="183" spans="1:43" x14ac:dyDescent="0.25">
      <c r="A183" t="s">
        <v>1742</v>
      </c>
      <c r="B183">
        <v>197</v>
      </c>
      <c r="C183">
        <v>139</v>
      </c>
      <c r="D183" t="s">
        <v>1743</v>
      </c>
      <c r="E183" t="s">
        <v>1744</v>
      </c>
      <c r="F183" t="s">
        <v>1745</v>
      </c>
      <c r="G183" t="s">
        <v>1746</v>
      </c>
      <c r="H183" t="s">
        <v>1747</v>
      </c>
      <c r="I183" t="s">
        <v>1748</v>
      </c>
      <c r="J183">
        <v>4</v>
      </c>
      <c r="K183">
        <v>8</v>
      </c>
      <c r="L183">
        <v>3</v>
      </c>
      <c r="M183" t="s">
        <v>1749</v>
      </c>
      <c r="N183">
        <v>101</v>
      </c>
      <c r="O183">
        <v>197</v>
      </c>
      <c r="P183">
        <v>4</v>
      </c>
      <c r="Q183" t="s">
        <v>1750</v>
      </c>
      <c r="R183" t="s">
        <v>527</v>
      </c>
      <c r="S183">
        <v>23</v>
      </c>
      <c r="T183">
        <v>0</v>
      </c>
      <c r="U183" t="s">
        <v>52</v>
      </c>
      <c r="V183" t="s">
        <v>1751</v>
      </c>
      <c r="W183" t="s">
        <v>54</v>
      </c>
      <c r="X183" t="s">
        <v>54</v>
      </c>
      <c r="Y183" t="s">
        <v>54</v>
      </c>
      <c r="Z183" t="s">
        <v>54</v>
      </c>
      <c r="AA183" t="s">
        <v>54</v>
      </c>
      <c r="AB183" t="s">
        <v>54</v>
      </c>
      <c r="AC183" t="s">
        <v>54</v>
      </c>
      <c r="AD183" t="s">
        <v>54</v>
      </c>
      <c r="AE183" t="s">
        <v>54</v>
      </c>
      <c r="AF183" t="s">
        <v>54</v>
      </c>
      <c r="AG183" t="s">
        <v>54</v>
      </c>
      <c r="AH183" t="s">
        <v>54</v>
      </c>
      <c r="AI183" t="s">
        <v>54</v>
      </c>
      <c r="AJ183" t="s">
        <v>54</v>
      </c>
      <c r="AK183" t="s">
        <v>54</v>
      </c>
      <c r="AL183" t="s">
        <v>54</v>
      </c>
      <c r="AM183" t="s">
        <v>54</v>
      </c>
      <c r="AN183" t="s">
        <v>54</v>
      </c>
      <c r="AO183" t="s">
        <v>54</v>
      </c>
      <c r="AP183" t="s">
        <v>54</v>
      </c>
      <c r="AQ183" t="s">
        <v>54</v>
      </c>
    </row>
    <row r="184" spans="1:43" x14ac:dyDescent="0.25">
      <c r="A184" t="s">
        <v>1752</v>
      </c>
      <c r="B184">
        <v>146</v>
      </c>
      <c r="C184">
        <v>106</v>
      </c>
      <c r="D184" t="s">
        <v>1753</v>
      </c>
      <c r="E184" t="s">
        <v>1754</v>
      </c>
      <c r="F184" t="s">
        <v>1755</v>
      </c>
      <c r="G184" t="s">
        <v>1756</v>
      </c>
      <c r="H184" t="s">
        <v>1757</v>
      </c>
      <c r="I184" t="s">
        <v>1758</v>
      </c>
      <c r="J184">
        <v>2</v>
      </c>
      <c r="K184">
        <v>1</v>
      </c>
      <c r="L184">
        <v>2</v>
      </c>
      <c r="M184" t="s">
        <v>1759</v>
      </c>
      <c r="N184">
        <v>78</v>
      </c>
      <c r="O184">
        <v>144</v>
      </c>
      <c r="P184">
        <v>12</v>
      </c>
      <c r="Q184" t="s">
        <v>1760</v>
      </c>
      <c r="R184" t="s">
        <v>1761</v>
      </c>
      <c r="S184">
        <v>13</v>
      </c>
      <c r="T184">
        <v>0</v>
      </c>
      <c r="U184" t="s">
        <v>52</v>
      </c>
      <c r="V184" t="s">
        <v>1762</v>
      </c>
      <c r="W184" t="s">
        <v>54</v>
      </c>
      <c r="X184" t="s">
        <v>54</v>
      </c>
      <c r="Y184" t="s">
        <v>54</v>
      </c>
      <c r="Z184" t="s">
        <v>54</v>
      </c>
      <c r="AA184" t="s">
        <v>54</v>
      </c>
      <c r="AB184" t="s">
        <v>54</v>
      </c>
      <c r="AC184" t="s">
        <v>54</v>
      </c>
      <c r="AD184" t="s">
        <v>54</v>
      </c>
      <c r="AE184" t="s">
        <v>54</v>
      </c>
      <c r="AF184" t="s">
        <v>54</v>
      </c>
      <c r="AG184" t="s">
        <v>54</v>
      </c>
      <c r="AH184" t="s">
        <v>54</v>
      </c>
      <c r="AI184" t="s">
        <v>54</v>
      </c>
      <c r="AJ184" t="s">
        <v>54</v>
      </c>
      <c r="AK184" t="s">
        <v>54</v>
      </c>
      <c r="AL184" t="s">
        <v>54</v>
      </c>
      <c r="AM184" t="s">
        <v>54</v>
      </c>
      <c r="AN184" t="s">
        <v>54</v>
      </c>
      <c r="AO184" t="s">
        <v>54</v>
      </c>
      <c r="AP184" t="s">
        <v>54</v>
      </c>
      <c r="AQ184" t="s">
        <v>54</v>
      </c>
    </row>
    <row r="185" spans="1:43" x14ac:dyDescent="0.25">
      <c r="A185" t="s">
        <v>1763</v>
      </c>
      <c r="B185">
        <v>144</v>
      </c>
      <c r="C185">
        <v>100</v>
      </c>
      <c r="D185" t="s">
        <v>1764</v>
      </c>
      <c r="E185" t="s">
        <v>1765</v>
      </c>
      <c r="F185" t="s">
        <v>1266</v>
      </c>
      <c r="G185" t="s">
        <v>1766</v>
      </c>
      <c r="H185" t="s">
        <v>1767</v>
      </c>
      <c r="I185" t="s">
        <v>753</v>
      </c>
      <c r="J185">
        <v>4</v>
      </c>
      <c r="K185">
        <v>1</v>
      </c>
      <c r="L185">
        <v>2</v>
      </c>
      <c r="M185" t="s">
        <v>1768</v>
      </c>
      <c r="N185">
        <v>68</v>
      </c>
      <c r="O185">
        <v>145</v>
      </c>
      <c r="P185">
        <v>3</v>
      </c>
      <c r="Q185" t="s">
        <v>1769</v>
      </c>
      <c r="R185" t="s">
        <v>1770</v>
      </c>
      <c r="S185">
        <v>17</v>
      </c>
      <c r="T185">
        <v>0</v>
      </c>
      <c r="U185" t="s">
        <v>52</v>
      </c>
      <c r="V185" t="s">
        <v>1771</v>
      </c>
      <c r="W185" t="s">
        <v>54</v>
      </c>
      <c r="X185" t="s">
        <v>54</v>
      </c>
      <c r="Y185" t="s">
        <v>54</v>
      </c>
      <c r="Z185" t="s">
        <v>54</v>
      </c>
      <c r="AA185" t="s">
        <v>54</v>
      </c>
      <c r="AB185" t="s">
        <v>54</v>
      </c>
      <c r="AC185" t="s">
        <v>54</v>
      </c>
      <c r="AD185" t="s">
        <v>54</v>
      </c>
      <c r="AE185" t="s">
        <v>54</v>
      </c>
      <c r="AF185" t="s">
        <v>54</v>
      </c>
      <c r="AG185" t="s">
        <v>54</v>
      </c>
      <c r="AH185" t="s">
        <v>54</v>
      </c>
      <c r="AI185" t="s">
        <v>54</v>
      </c>
      <c r="AJ185" t="s">
        <v>54</v>
      </c>
      <c r="AK185" t="s">
        <v>54</v>
      </c>
      <c r="AL185" t="s">
        <v>54</v>
      </c>
      <c r="AM185" t="s">
        <v>54</v>
      </c>
      <c r="AN185" t="s">
        <v>54</v>
      </c>
      <c r="AO185" t="s">
        <v>54</v>
      </c>
      <c r="AP185" t="s">
        <v>54</v>
      </c>
      <c r="AQ185" t="s">
        <v>54</v>
      </c>
    </row>
    <row r="186" spans="1:43" x14ac:dyDescent="0.25">
      <c r="A186" t="s">
        <v>1772</v>
      </c>
      <c r="B186">
        <v>125</v>
      </c>
      <c r="C186">
        <v>92</v>
      </c>
      <c r="D186" t="s">
        <v>1773</v>
      </c>
      <c r="E186" t="s">
        <v>1774</v>
      </c>
      <c r="F186" t="s">
        <v>1775</v>
      </c>
      <c r="G186" t="s">
        <v>1776</v>
      </c>
      <c r="H186" t="s">
        <v>52</v>
      </c>
      <c r="I186" t="s">
        <v>1777</v>
      </c>
      <c r="J186">
        <v>0</v>
      </c>
      <c r="K186">
        <v>2</v>
      </c>
      <c r="L186">
        <v>2</v>
      </c>
      <c r="M186" t="s">
        <v>1778</v>
      </c>
      <c r="N186">
        <v>77</v>
      </c>
      <c r="O186">
        <v>125</v>
      </c>
      <c r="P186">
        <v>23</v>
      </c>
      <c r="Q186" t="s">
        <v>1779</v>
      </c>
      <c r="R186" t="s">
        <v>1780</v>
      </c>
      <c r="S186">
        <v>8</v>
      </c>
      <c r="T186">
        <v>1</v>
      </c>
      <c r="U186" t="s">
        <v>1781</v>
      </c>
      <c r="V186" t="s">
        <v>1782</v>
      </c>
      <c r="W186" t="s">
        <v>54</v>
      </c>
      <c r="X186" t="s">
        <v>54</v>
      </c>
      <c r="Y186" t="s">
        <v>54</v>
      </c>
      <c r="Z186" t="s">
        <v>54</v>
      </c>
      <c r="AA186" t="s">
        <v>54</v>
      </c>
      <c r="AB186" t="s">
        <v>54</v>
      </c>
      <c r="AC186" t="s">
        <v>54</v>
      </c>
      <c r="AD186" t="s">
        <v>54</v>
      </c>
      <c r="AE186" t="s">
        <v>54</v>
      </c>
      <c r="AF186" t="s">
        <v>54</v>
      </c>
      <c r="AG186" t="s">
        <v>54</v>
      </c>
      <c r="AH186" t="s">
        <v>54</v>
      </c>
      <c r="AI186" t="s">
        <v>54</v>
      </c>
      <c r="AJ186" t="s">
        <v>54</v>
      </c>
      <c r="AK186" t="s">
        <v>54</v>
      </c>
      <c r="AL186" t="s">
        <v>54</v>
      </c>
      <c r="AM186" t="s">
        <v>54</v>
      </c>
      <c r="AN186" t="s">
        <v>54</v>
      </c>
      <c r="AO186" t="s">
        <v>54</v>
      </c>
      <c r="AP186" t="s">
        <v>54</v>
      </c>
      <c r="AQ186" t="s">
        <v>54</v>
      </c>
    </row>
    <row r="187" spans="1:43" x14ac:dyDescent="0.25">
      <c r="A187" t="s">
        <v>1783</v>
      </c>
      <c r="B187">
        <v>161</v>
      </c>
      <c r="C187">
        <v>98</v>
      </c>
      <c r="D187" t="s">
        <v>1174</v>
      </c>
      <c r="E187" t="s">
        <v>1784</v>
      </c>
      <c r="F187" t="s">
        <v>1785</v>
      </c>
      <c r="G187" t="s">
        <v>1786</v>
      </c>
      <c r="H187" t="s">
        <v>1578</v>
      </c>
      <c r="I187" t="s">
        <v>1787</v>
      </c>
      <c r="J187">
        <v>4</v>
      </c>
      <c r="K187">
        <v>7</v>
      </c>
      <c r="L187">
        <v>4</v>
      </c>
      <c r="M187" t="s">
        <v>1788</v>
      </c>
      <c r="N187">
        <v>84</v>
      </c>
      <c r="O187">
        <v>161</v>
      </c>
      <c r="P187">
        <v>35</v>
      </c>
      <c r="Q187" t="s">
        <v>1697</v>
      </c>
      <c r="R187" t="s">
        <v>1789</v>
      </c>
      <c r="S187">
        <v>14</v>
      </c>
      <c r="T187">
        <v>1</v>
      </c>
      <c r="U187" t="s">
        <v>1790</v>
      </c>
      <c r="V187" t="s">
        <v>1791</v>
      </c>
      <c r="W187" t="s">
        <v>54</v>
      </c>
      <c r="X187" t="s">
        <v>54</v>
      </c>
      <c r="Y187" t="s">
        <v>54</v>
      </c>
      <c r="Z187" t="s">
        <v>54</v>
      </c>
      <c r="AA187" t="s">
        <v>54</v>
      </c>
      <c r="AB187" t="s">
        <v>54</v>
      </c>
      <c r="AC187" t="s">
        <v>54</v>
      </c>
      <c r="AD187" t="s">
        <v>54</v>
      </c>
      <c r="AE187" t="s">
        <v>54</v>
      </c>
      <c r="AF187" t="s">
        <v>54</v>
      </c>
      <c r="AG187" t="s">
        <v>54</v>
      </c>
      <c r="AH187" t="s">
        <v>54</v>
      </c>
      <c r="AI187" t="s">
        <v>54</v>
      </c>
      <c r="AJ187" t="s">
        <v>54</v>
      </c>
      <c r="AK187" t="s">
        <v>54</v>
      </c>
      <c r="AL187" t="s">
        <v>54</v>
      </c>
      <c r="AM187" t="s">
        <v>54</v>
      </c>
      <c r="AN187" t="s">
        <v>54</v>
      </c>
      <c r="AO187" t="s">
        <v>54</v>
      </c>
      <c r="AP187" t="s">
        <v>54</v>
      </c>
      <c r="AQ187" t="s">
        <v>54</v>
      </c>
    </row>
    <row r="188" spans="1:43" x14ac:dyDescent="0.25">
      <c r="A188" t="s">
        <v>1792</v>
      </c>
      <c r="B188">
        <v>105</v>
      </c>
      <c r="C188">
        <v>88</v>
      </c>
      <c r="D188" t="s">
        <v>1793</v>
      </c>
      <c r="E188" t="s">
        <v>1794</v>
      </c>
      <c r="F188" t="s">
        <v>382</v>
      </c>
      <c r="G188" t="s">
        <v>1795</v>
      </c>
      <c r="H188" t="s">
        <v>1796</v>
      </c>
      <c r="I188" t="s">
        <v>1797</v>
      </c>
      <c r="J188">
        <v>1</v>
      </c>
      <c r="K188">
        <v>4</v>
      </c>
      <c r="L188">
        <v>4</v>
      </c>
      <c r="M188" t="s">
        <v>1798</v>
      </c>
      <c r="N188">
        <v>62</v>
      </c>
      <c r="O188">
        <v>105</v>
      </c>
      <c r="P188">
        <v>12</v>
      </c>
      <c r="Q188" t="s">
        <v>1799</v>
      </c>
      <c r="R188" t="s">
        <v>1060</v>
      </c>
      <c r="S188">
        <v>8</v>
      </c>
      <c r="T188">
        <v>0</v>
      </c>
      <c r="U188" t="s">
        <v>52</v>
      </c>
      <c r="V188" t="s">
        <v>1800</v>
      </c>
      <c r="W188" t="s">
        <v>54</v>
      </c>
      <c r="X188" t="s">
        <v>54</v>
      </c>
      <c r="Y188" t="s">
        <v>54</v>
      </c>
      <c r="Z188" t="s">
        <v>54</v>
      </c>
      <c r="AA188" t="s">
        <v>54</v>
      </c>
      <c r="AB188" t="s">
        <v>54</v>
      </c>
      <c r="AC188" t="s">
        <v>54</v>
      </c>
      <c r="AD188" t="s">
        <v>54</v>
      </c>
      <c r="AE188" t="s">
        <v>54</v>
      </c>
      <c r="AF188" t="s">
        <v>54</v>
      </c>
      <c r="AG188" t="s">
        <v>54</v>
      </c>
      <c r="AH188" t="s">
        <v>54</v>
      </c>
      <c r="AI188" t="s">
        <v>54</v>
      </c>
      <c r="AJ188" t="s">
        <v>54</v>
      </c>
      <c r="AK188" t="s">
        <v>54</v>
      </c>
      <c r="AL188" t="s">
        <v>54</v>
      </c>
      <c r="AM188" t="s">
        <v>54</v>
      </c>
      <c r="AN188" t="s">
        <v>54</v>
      </c>
      <c r="AO188" t="s">
        <v>54</v>
      </c>
      <c r="AP188" t="s">
        <v>54</v>
      </c>
      <c r="AQ188" t="s">
        <v>54</v>
      </c>
    </row>
    <row r="189" spans="1:43" x14ac:dyDescent="0.25">
      <c r="A189" t="s">
        <v>1801</v>
      </c>
      <c r="B189">
        <v>149</v>
      </c>
      <c r="C189">
        <v>108</v>
      </c>
      <c r="D189" t="s">
        <v>1802</v>
      </c>
      <c r="E189" t="s">
        <v>1803</v>
      </c>
      <c r="F189" t="s">
        <v>1804</v>
      </c>
      <c r="G189" t="s">
        <v>1805</v>
      </c>
      <c r="H189" t="s">
        <v>1806</v>
      </c>
      <c r="I189" t="s">
        <v>1001</v>
      </c>
      <c r="J189">
        <v>3</v>
      </c>
      <c r="K189">
        <v>4</v>
      </c>
      <c r="L189">
        <v>3</v>
      </c>
      <c r="M189" t="s">
        <v>1377</v>
      </c>
      <c r="N189">
        <v>80</v>
      </c>
      <c r="O189">
        <v>150</v>
      </c>
      <c r="P189">
        <v>7</v>
      </c>
      <c r="Q189" t="s">
        <v>1807</v>
      </c>
      <c r="R189" t="s">
        <v>832</v>
      </c>
      <c r="S189">
        <v>20</v>
      </c>
      <c r="T189">
        <v>0</v>
      </c>
      <c r="U189" t="s">
        <v>52</v>
      </c>
      <c r="V189" t="s">
        <v>1808</v>
      </c>
      <c r="W189" t="s">
        <v>54</v>
      </c>
      <c r="X189" t="s">
        <v>54</v>
      </c>
      <c r="Y189" t="s">
        <v>54</v>
      </c>
      <c r="Z189" t="s">
        <v>54</v>
      </c>
      <c r="AA189" t="s">
        <v>54</v>
      </c>
      <c r="AB189" t="s">
        <v>54</v>
      </c>
      <c r="AC189" t="s">
        <v>54</v>
      </c>
      <c r="AD189" t="s">
        <v>54</v>
      </c>
      <c r="AE189" t="s">
        <v>54</v>
      </c>
      <c r="AF189" t="s">
        <v>54</v>
      </c>
      <c r="AG189" t="s">
        <v>54</v>
      </c>
      <c r="AH189" t="s">
        <v>54</v>
      </c>
      <c r="AI189" t="s">
        <v>54</v>
      </c>
      <c r="AJ189" t="s">
        <v>54</v>
      </c>
      <c r="AK189" t="s">
        <v>54</v>
      </c>
      <c r="AL189" t="s">
        <v>54</v>
      </c>
      <c r="AM189" t="s">
        <v>54</v>
      </c>
      <c r="AN189" t="s">
        <v>54</v>
      </c>
      <c r="AO189" t="s">
        <v>54</v>
      </c>
      <c r="AP189" t="s">
        <v>54</v>
      </c>
      <c r="AQ189" t="s">
        <v>54</v>
      </c>
    </row>
    <row r="190" spans="1:43" x14ac:dyDescent="0.25">
      <c r="A190" t="s">
        <v>1809</v>
      </c>
      <c r="B190">
        <v>228</v>
      </c>
      <c r="C190">
        <v>122</v>
      </c>
      <c r="D190" t="s">
        <v>573</v>
      </c>
      <c r="E190" t="s">
        <v>1810</v>
      </c>
      <c r="F190" t="s">
        <v>1811</v>
      </c>
      <c r="G190" t="s">
        <v>1812</v>
      </c>
      <c r="H190" t="s">
        <v>572</v>
      </c>
      <c r="I190" t="s">
        <v>1813</v>
      </c>
      <c r="J190">
        <v>6</v>
      </c>
      <c r="K190">
        <v>15</v>
      </c>
      <c r="L190">
        <v>4</v>
      </c>
      <c r="M190" t="s">
        <v>1814</v>
      </c>
      <c r="N190">
        <v>115</v>
      </c>
      <c r="O190">
        <v>228</v>
      </c>
      <c r="P190">
        <v>4</v>
      </c>
      <c r="Q190" t="s">
        <v>1815</v>
      </c>
      <c r="R190" t="s">
        <v>1816</v>
      </c>
      <c r="S190">
        <v>40</v>
      </c>
      <c r="T190">
        <v>1</v>
      </c>
      <c r="U190" t="s">
        <v>1817</v>
      </c>
      <c r="V190" t="s">
        <v>1818</v>
      </c>
      <c r="W190" t="s">
        <v>54</v>
      </c>
      <c r="X190" t="s">
        <v>54</v>
      </c>
      <c r="Y190" t="s">
        <v>54</v>
      </c>
      <c r="Z190" t="s">
        <v>54</v>
      </c>
      <c r="AA190" t="s">
        <v>54</v>
      </c>
      <c r="AB190" t="s">
        <v>54</v>
      </c>
      <c r="AC190" t="s">
        <v>54</v>
      </c>
      <c r="AD190" t="s">
        <v>54</v>
      </c>
      <c r="AE190" t="s">
        <v>54</v>
      </c>
      <c r="AF190" t="s">
        <v>54</v>
      </c>
      <c r="AG190" t="s">
        <v>54</v>
      </c>
      <c r="AH190" t="s">
        <v>54</v>
      </c>
      <c r="AI190" t="s">
        <v>54</v>
      </c>
      <c r="AJ190" t="s">
        <v>54</v>
      </c>
      <c r="AK190" t="s">
        <v>54</v>
      </c>
      <c r="AL190" t="s">
        <v>54</v>
      </c>
      <c r="AM190" t="s">
        <v>54</v>
      </c>
      <c r="AN190" t="s">
        <v>54</v>
      </c>
      <c r="AO190" t="s">
        <v>54</v>
      </c>
      <c r="AP190" t="s">
        <v>54</v>
      </c>
      <c r="AQ190" t="s">
        <v>54</v>
      </c>
    </row>
    <row r="191" spans="1:43" x14ac:dyDescent="0.25">
      <c r="A191" t="s">
        <v>1819</v>
      </c>
      <c r="B191">
        <v>191</v>
      </c>
      <c r="C191">
        <v>125</v>
      </c>
      <c r="D191" t="s">
        <v>1820</v>
      </c>
      <c r="E191" t="s">
        <v>1821</v>
      </c>
      <c r="F191" t="s">
        <v>1822</v>
      </c>
      <c r="G191" t="s">
        <v>1823</v>
      </c>
      <c r="H191" t="s">
        <v>1401</v>
      </c>
      <c r="I191" t="s">
        <v>1824</v>
      </c>
      <c r="J191">
        <v>3</v>
      </c>
      <c r="K191">
        <v>1</v>
      </c>
      <c r="L191">
        <v>3</v>
      </c>
      <c r="M191" t="s">
        <v>1825</v>
      </c>
      <c r="N191">
        <v>107</v>
      </c>
      <c r="O191">
        <v>191</v>
      </c>
      <c r="P191">
        <v>9</v>
      </c>
      <c r="Q191" t="s">
        <v>1540</v>
      </c>
      <c r="R191" t="s">
        <v>1826</v>
      </c>
      <c r="S191">
        <v>31</v>
      </c>
      <c r="T191">
        <v>0</v>
      </c>
      <c r="U191" t="s">
        <v>52</v>
      </c>
      <c r="V191" t="s">
        <v>1827</v>
      </c>
      <c r="W191" t="s">
        <v>54</v>
      </c>
      <c r="X191" t="s">
        <v>54</v>
      </c>
      <c r="Y191" t="s">
        <v>54</v>
      </c>
      <c r="Z191" t="s">
        <v>54</v>
      </c>
      <c r="AA191" t="s">
        <v>54</v>
      </c>
      <c r="AB191" t="s">
        <v>54</v>
      </c>
      <c r="AC191" t="s">
        <v>54</v>
      </c>
      <c r="AD191" t="s">
        <v>54</v>
      </c>
      <c r="AE191" t="s">
        <v>54</v>
      </c>
      <c r="AF191" t="s">
        <v>54</v>
      </c>
      <c r="AG191" t="s">
        <v>54</v>
      </c>
      <c r="AH191" t="s">
        <v>54</v>
      </c>
      <c r="AI191" t="s">
        <v>54</v>
      </c>
      <c r="AJ191" t="s">
        <v>54</v>
      </c>
      <c r="AK191" t="s">
        <v>54</v>
      </c>
      <c r="AL191" t="s">
        <v>54</v>
      </c>
      <c r="AM191" t="s">
        <v>54</v>
      </c>
      <c r="AN191" t="s">
        <v>54</v>
      </c>
      <c r="AO191" t="s">
        <v>54</v>
      </c>
      <c r="AP191" t="s">
        <v>54</v>
      </c>
      <c r="AQ191" t="s">
        <v>54</v>
      </c>
    </row>
    <row r="192" spans="1:43" x14ac:dyDescent="0.25">
      <c r="A192" t="s">
        <v>1828</v>
      </c>
      <c r="B192">
        <v>222</v>
      </c>
      <c r="C192">
        <v>147</v>
      </c>
      <c r="D192" t="s">
        <v>1829</v>
      </c>
      <c r="E192" t="s">
        <v>1830</v>
      </c>
      <c r="F192" t="s">
        <v>1831</v>
      </c>
      <c r="G192" t="s">
        <v>1832</v>
      </c>
      <c r="H192" t="s">
        <v>1833</v>
      </c>
      <c r="I192" t="s">
        <v>1834</v>
      </c>
      <c r="J192">
        <v>5</v>
      </c>
      <c r="K192">
        <v>4</v>
      </c>
      <c r="L192">
        <v>3</v>
      </c>
      <c r="M192" t="s">
        <v>1835</v>
      </c>
      <c r="N192">
        <v>114</v>
      </c>
      <c r="O192">
        <v>223</v>
      </c>
      <c r="P192">
        <v>7</v>
      </c>
      <c r="Q192" t="s">
        <v>1836</v>
      </c>
      <c r="R192" t="s">
        <v>1837</v>
      </c>
      <c r="S192">
        <v>34</v>
      </c>
      <c r="T192">
        <v>0</v>
      </c>
      <c r="U192" t="s">
        <v>52</v>
      </c>
      <c r="V192" t="s">
        <v>1838</v>
      </c>
      <c r="W192" t="s">
        <v>54</v>
      </c>
      <c r="X192" t="s">
        <v>54</v>
      </c>
      <c r="Y192" t="s">
        <v>54</v>
      </c>
      <c r="Z192" t="s">
        <v>54</v>
      </c>
      <c r="AA192" t="s">
        <v>54</v>
      </c>
      <c r="AB192" t="s">
        <v>54</v>
      </c>
      <c r="AC192" t="s">
        <v>54</v>
      </c>
      <c r="AD192" t="s">
        <v>54</v>
      </c>
      <c r="AE192" t="s">
        <v>54</v>
      </c>
      <c r="AF192" t="s">
        <v>54</v>
      </c>
      <c r="AG192" t="s">
        <v>54</v>
      </c>
      <c r="AH192" t="s">
        <v>54</v>
      </c>
      <c r="AI192" t="s">
        <v>54</v>
      </c>
      <c r="AJ192" t="s">
        <v>54</v>
      </c>
      <c r="AK192" t="s">
        <v>54</v>
      </c>
      <c r="AL192" t="s">
        <v>54</v>
      </c>
      <c r="AM192" t="s">
        <v>54</v>
      </c>
      <c r="AN192" t="s">
        <v>54</v>
      </c>
      <c r="AO192" t="s">
        <v>54</v>
      </c>
      <c r="AP192" t="s">
        <v>54</v>
      </c>
      <c r="AQ192" t="s">
        <v>54</v>
      </c>
    </row>
    <row r="193" spans="1:43" x14ac:dyDescent="0.25">
      <c r="A193" t="s">
        <v>1839</v>
      </c>
      <c r="B193">
        <v>184</v>
      </c>
      <c r="C193">
        <v>114</v>
      </c>
      <c r="D193" t="s">
        <v>1840</v>
      </c>
      <c r="E193" t="s">
        <v>1841</v>
      </c>
      <c r="F193" t="s">
        <v>369</v>
      </c>
      <c r="G193" t="s">
        <v>1842</v>
      </c>
      <c r="H193" t="s">
        <v>1843</v>
      </c>
      <c r="I193" t="s">
        <v>1844</v>
      </c>
      <c r="J193">
        <v>6</v>
      </c>
      <c r="K193">
        <v>7</v>
      </c>
      <c r="L193">
        <v>4</v>
      </c>
      <c r="M193" t="s">
        <v>1845</v>
      </c>
      <c r="N193">
        <v>100</v>
      </c>
      <c r="O193">
        <v>187</v>
      </c>
      <c r="P193">
        <v>13</v>
      </c>
      <c r="Q193" t="s">
        <v>1846</v>
      </c>
      <c r="R193" t="s">
        <v>1847</v>
      </c>
      <c r="S193">
        <v>31</v>
      </c>
      <c r="T193">
        <v>1</v>
      </c>
      <c r="U193" t="s">
        <v>1848</v>
      </c>
      <c r="V193" t="s">
        <v>1849</v>
      </c>
      <c r="W193" t="s">
        <v>54</v>
      </c>
      <c r="X193" t="s">
        <v>54</v>
      </c>
      <c r="Y193" t="s">
        <v>54</v>
      </c>
      <c r="Z193" t="s">
        <v>54</v>
      </c>
      <c r="AA193" t="s">
        <v>54</v>
      </c>
      <c r="AB193" t="s">
        <v>54</v>
      </c>
      <c r="AC193" t="s">
        <v>54</v>
      </c>
      <c r="AD193" t="s">
        <v>54</v>
      </c>
      <c r="AE193" t="s">
        <v>54</v>
      </c>
      <c r="AF193" t="s">
        <v>54</v>
      </c>
      <c r="AG193" t="s">
        <v>54</v>
      </c>
      <c r="AH193" t="s">
        <v>54</v>
      </c>
      <c r="AI193" t="s">
        <v>54</v>
      </c>
      <c r="AJ193" t="s">
        <v>54</v>
      </c>
      <c r="AK193" t="s">
        <v>54</v>
      </c>
      <c r="AL193" t="s">
        <v>54</v>
      </c>
      <c r="AM193" t="s">
        <v>54</v>
      </c>
      <c r="AN193" t="s">
        <v>54</v>
      </c>
      <c r="AO193" t="s">
        <v>54</v>
      </c>
      <c r="AP193" t="s">
        <v>54</v>
      </c>
      <c r="AQ193" t="s">
        <v>54</v>
      </c>
    </row>
    <row r="194" spans="1:43" x14ac:dyDescent="0.25">
      <c r="A194" t="s">
        <v>1850</v>
      </c>
      <c r="B194">
        <v>181</v>
      </c>
      <c r="C194">
        <v>132</v>
      </c>
      <c r="D194" t="s">
        <v>1851</v>
      </c>
      <c r="E194" t="s">
        <v>1852</v>
      </c>
      <c r="F194" t="s">
        <v>1853</v>
      </c>
      <c r="G194" t="s">
        <v>1854</v>
      </c>
      <c r="H194" t="s">
        <v>1855</v>
      </c>
      <c r="I194" t="s">
        <v>1855</v>
      </c>
      <c r="J194">
        <v>1</v>
      </c>
      <c r="K194">
        <v>1</v>
      </c>
      <c r="L194">
        <v>3</v>
      </c>
      <c r="M194" t="s">
        <v>296</v>
      </c>
      <c r="N194">
        <v>100</v>
      </c>
      <c r="O194">
        <v>183</v>
      </c>
      <c r="P194">
        <v>11</v>
      </c>
      <c r="Q194" t="s">
        <v>1856</v>
      </c>
      <c r="R194" t="s">
        <v>1857</v>
      </c>
      <c r="S194">
        <v>24</v>
      </c>
      <c r="T194">
        <v>0</v>
      </c>
      <c r="U194" t="s">
        <v>52</v>
      </c>
      <c r="V194" t="s">
        <v>1858</v>
      </c>
      <c r="W194" t="s">
        <v>54</v>
      </c>
      <c r="X194" t="s">
        <v>54</v>
      </c>
      <c r="Y194" t="s">
        <v>54</v>
      </c>
      <c r="Z194" t="s">
        <v>54</v>
      </c>
      <c r="AA194" t="s">
        <v>54</v>
      </c>
      <c r="AB194" t="s">
        <v>54</v>
      </c>
      <c r="AC194" t="s">
        <v>54</v>
      </c>
      <c r="AD194" t="s">
        <v>54</v>
      </c>
      <c r="AE194" t="s">
        <v>54</v>
      </c>
      <c r="AF194" t="s">
        <v>54</v>
      </c>
      <c r="AG194" t="s">
        <v>54</v>
      </c>
      <c r="AH194" t="s">
        <v>54</v>
      </c>
      <c r="AI194" t="s">
        <v>54</v>
      </c>
      <c r="AJ194" t="s">
        <v>54</v>
      </c>
      <c r="AK194" t="s">
        <v>54</v>
      </c>
      <c r="AL194" t="s">
        <v>54</v>
      </c>
      <c r="AM194" t="s">
        <v>54</v>
      </c>
      <c r="AN194" t="s">
        <v>54</v>
      </c>
      <c r="AO194" t="s">
        <v>54</v>
      </c>
      <c r="AP194" t="s">
        <v>54</v>
      </c>
      <c r="AQ194" t="s">
        <v>54</v>
      </c>
    </row>
    <row r="195" spans="1:43" x14ac:dyDescent="0.25">
      <c r="A195" t="s">
        <v>1859</v>
      </c>
      <c r="B195">
        <v>140</v>
      </c>
      <c r="C195">
        <v>92</v>
      </c>
      <c r="D195" t="s">
        <v>1860</v>
      </c>
      <c r="E195" t="s">
        <v>642</v>
      </c>
      <c r="F195" t="s">
        <v>1861</v>
      </c>
      <c r="G195" t="s">
        <v>1862</v>
      </c>
      <c r="H195" t="s">
        <v>1863</v>
      </c>
      <c r="I195" t="s">
        <v>52</v>
      </c>
      <c r="J195">
        <v>3</v>
      </c>
      <c r="K195">
        <v>0</v>
      </c>
      <c r="L195">
        <v>2</v>
      </c>
      <c r="M195" t="s">
        <v>1864</v>
      </c>
      <c r="N195">
        <v>86</v>
      </c>
      <c r="O195">
        <v>140</v>
      </c>
      <c r="P195">
        <v>11</v>
      </c>
      <c r="Q195" t="s">
        <v>1865</v>
      </c>
      <c r="R195" t="s">
        <v>146</v>
      </c>
      <c r="S195">
        <v>22</v>
      </c>
      <c r="T195">
        <v>0</v>
      </c>
      <c r="U195" t="s">
        <v>52</v>
      </c>
      <c r="V195" t="s">
        <v>1866</v>
      </c>
      <c r="W195" t="s">
        <v>54</v>
      </c>
      <c r="X195" t="s">
        <v>54</v>
      </c>
      <c r="Y195" t="s">
        <v>54</v>
      </c>
      <c r="Z195" t="s">
        <v>54</v>
      </c>
      <c r="AA195" t="s">
        <v>54</v>
      </c>
      <c r="AB195" t="s">
        <v>54</v>
      </c>
      <c r="AC195" t="s">
        <v>54</v>
      </c>
      <c r="AD195" t="s">
        <v>54</v>
      </c>
      <c r="AE195" t="s">
        <v>54</v>
      </c>
      <c r="AF195" t="s">
        <v>54</v>
      </c>
      <c r="AG195" t="s">
        <v>54</v>
      </c>
      <c r="AH195" t="s">
        <v>54</v>
      </c>
      <c r="AI195" t="s">
        <v>54</v>
      </c>
      <c r="AJ195" t="s">
        <v>54</v>
      </c>
      <c r="AK195" t="s">
        <v>54</v>
      </c>
      <c r="AL195" t="s">
        <v>54</v>
      </c>
      <c r="AM195" t="s">
        <v>54</v>
      </c>
      <c r="AN195" t="s">
        <v>54</v>
      </c>
      <c r="AO195" t="s">
        <v>54</v>
      </c>
      <c r="AP195" t="s">
        <v>54</v>
      </c>
      <c r="AQ195" t="s">
        <v>54</v>
      </c>
    </row>
    <row r="196" spans="1:43" x14ac:dyDescent="0.25">
      <c r="A196" t="s">
        <v>1867</v>
      </c>
      <c r="B196">
        <v>179</v>
      </c>
      <c r="C196">
        <v>117</v>
      </c>
      <c r="D196" t="s">
        <v>1868</v>
      </c>
      <c r="E196" t="s">
        <v>1869</v>
      </c>
      <c r="F196" t="s">
        <v>1870</v>
      </c>
      <c r="G196" t="s">
        <v>1871</v>
      </c>
      <c r="H196" t="s">
        <v>52</v>
      </c>
      <c r="I196" t="s">
        <v>1872</v>
      </c>
      <c r="J196">
        <v>0</v>
      </c>
      <c r="K196">
        <v>1</v>
      </c>
      <c r="L196">
        <v>4</v>
      </c>
      <c r="M196" t="s">
        <v>1873</v>
      </c>
      <c r="N196">
        <v>102</v>
      </c>
      <c r="O196">
        <v>179</v>
      </c>
      <c r="P196">
        <v>6</v>
      </c>
      <c r="Q196" t="s">
        <v>1874</v>
      </c>
      <c r="R196" t="s">
        <v>954</v>
      </c>
      <c r="S196">
        <v>21</v>
      </c>
      <c r="T196">
        <v>0</v>
      </c>
      <c r="U196" t="s">
        <v>52</v>
      </c>
      <c r="V196" t="s">
        <v>1875</v>
      </c>
      <c r="W196" t="s">
        <v>54</v>
      </c>
      <c r="X196" t="s">
        <v>54</v>
      </c>
      <c r="Y196" t="s">
        <v>54</v>
      </c>
      <c r="Z196" t="s">
        <v>54</v>
      </c>
      <c r="AA196" t="s">
        <v>54</v>
      </c>
      <c r="AB196" t="s">
        <v>54</v>
      </c>
      <c r="AC196" t="s">
        <v>54</v>
      </c>
      <c r="AD196" t="s">
        <v>54</v>
      </c>
      <c r="AE196" t="s">
        <v>54</v>
      </c>
      <c r="AF196" t="s">
        <v>54</v>
      </c>
      <c r="AG196" t="s">
        <v>54</v>
      </c>
      <c r="AH196" t="s">
        <v>54</v>
      </c>
      <c r="AI196" t="s">
        <v>54</v>
      </c>
      <c r="AJ196" t="s">
        <v>54</v>
      </c>
      <c r="AK196" t="s">
        <v>54</v>
      </c>
      <c r="AL196" t="s">
        <v>54</v>
      </c>
      <c r="AM196" t="s">
        <v>54</v>
      </c>
      <c r="AN196" t="s">
        <v>54</v>
      </c>
      <c r="AO196" t="s">
        <v>54</v>
      </c>
      <c r="AP196" t="s">
        <v>54</v>
      </c>
      <c r="AQ196" t="s">
        <v>54</v>
      </c>
    </row>
    <row r="197" spans="1:43" x14ac:dyDescent="0.25">
      <c r="A197" t="s">
        <v>1876</v>
      </c>
      <c r="B197">
        <v>199</v>
      </c>
      <c r="C197">
        <v>129</v>
      </c>
      <c r="D197" t="s">
        <v>1877</v>
      </c>
      <c r="E197" t="s">
        <v>1878</v>
      </c>
      <c r="F197" t="s">
        <v>422</v>
      </c>
      <c r="G197" t="s">
        <v>1879</v>
      </c>
      <c r="H197" t="s">
        <v>1880</v>
      </c>
      <c r="I197" t="s">
        <v>1881</v>
      </c>
      <c r="J197">
        <v>6</v>
      </c>
      <c r="K197">
        <v>1</v>
      </c>
      <c r="L197">
        <v>5</v>
      </c>
      <c r="M197" t="s">
        <v>1882</v>
      </c>
      <c r="N197">
        <v>105</v>
      </c>
      <c r="O197">
        <v>199</v>
      </c>
      <c r="P197">
        <v>11</v>
      </c>
      <c r="Q197" t="s">
        <v>1883</v>
      </c>
      <c r="R197" t="s">
        <v>146</v>
      </c>
      <c r="S197">
        <v>22</v>
      </c>
      <c r="T197">
        <v>0</v>
      </c>
      <c r="U197" t="s">
        <v>52</v>
      </c>
      <c r="V197" t="s">
        <v>1884</v>
      </c>
      <c r="W197" t="s">
        <v>54</v>
      </c>
      <c r="X197" t="s">
        <v>54</v>
      </c>
      <c r="Y197" t="s">
        <v>54</v>
      </c>
      <c r="Z197" t="s">
        <v>54</v>
      </c>
      <c r="AA197" t="s">
        <v>54</v>
      </c>
      <c r="AB197" t="s">
        <v>54</v>
      </c>
      <c r="AC197" t="s">
        <v>54</v>
      </c>
      <c r="AD197" t="s">
        <v>54</v>
      </c>
      <c r="AE197" t="s">
        <v>54</v>
      </c>
      <c r="AF197" t="s">
        <v>54</v>
      </c>
      <c r="AG197" t="s">
        <v>54</v>
      </c>
      <c r="AH197" t="s">
        <v>54</v>
      </c>
      <c r="AI197" t="s">
        <v>54</v>
      </c>
      <c r="AJ197" t="s">
        <v>54</v>
      </c>
      <c r="AK197" t="s">
        <v>54</v>
      </c>
      <c r="AL197" t="s">
        <v>54</v>
      </c>
      <c r="AM197" t="s">
        <v>54</v>
      </c>
      <c r="AN197" t="s">
        <v>54</v>
      </c>
      <c r="AO197" t="s">
        <v>54</v>
      </c>
      <c r="AP197" t="s">
        <v>54</v>
      </c>
      <c r="AQ197" t="s">
        <v>54</v>
      </c>
    </row>
    <row r="198" spans="1:43" x14ac:dyDescent="0.25">
      <c r="A198" t="s">
        <v>1885</v>
      </c>
      <c r="B198">
        <v>151</v>
      </c>
      <c r="C198">
        <v>102</v>
      </c>
      <c r="D198" t="s">
        <v>1886</v>
      </c>
      <c r="E198" t="s">
        <v>1887</v>
      </c>
      <c r="F198" t="s">
        <v>905</v>
      </c>
      <c r="G198" t="s">
        <v>1888</v>
      </c>
      <c r="H198" t="s">
        <v>1889</v>
      </c>
      <c r="I198" t="s">
        <v>52</v>
      </c>
      <c r="J198">
        <v>2</v>
      </c>
      <c r="K198">
        <v>0</v>
      </c>
      <c r="L198">
        <v>3</v>
      </c>
      <c r="M198" t="s">
        <v>1890</v>
      </c>
      <c r="N198">
        <v>88</v>
      </c>
      <c r="O198">
        <v>151</v>
      </c>
      <c r="P198">
        <v>8</v>
      </c>
      <c r="Q198" t="s">
        <v>1891</v>
      </c>
      <c r="R198" t="s">
        <v>1892</v>
      </c>
      <c r="S198">
        <v>22</v>
      </c>
      <c r="T198">
        <v>0</v>
      </c>
      <c r="U198" t="s">
        <v>52</v>
      </c>
      <c r="V198" t="s">
        <v>1893</v>
      </c>
      <c r="W198" t="s">
        <v>54</v>
      </c>
      <c r="X198" t="s">
        <v>54</v>
      </c>
      <c r="Y198" t="s">
        <v>54</v>
      </c>
      <c r="Z198" t="s">
        <v>54</v>
      </c>
      <c r="AA198" t="s">
        <v>54</v>
      </c>
      <c r="AB198" t="s">
        <v>54</v>
      </c>
      <c r="AC198" t="s">
        <v>54</v>
      </c>
      <c r="AD198" t="s">
        <v>54</v>
      </c>
      <c r="AE198" t="s">
        <v>54</v>
      </c>
      <c r="AF198" t="s">
        <v>54</v>
      </c>
      <c r="AG198" t="s">
        <v>54</v>
      </c>
      <c r="AH198" t="s">
        <v>54</v>
      </c>
      <c r="AI198" t="s">
        <v>54</v>
      </c>
      <c r="AJ198" t="s">
        <v>54</v>
      </c>
      <c r="AK198" t="s">
        <v>54</v>
      </c>
      <c r="AL198" t="s">
        <v>54</v>
      </c>
      <c r="AM198" t="s">
        <v>54</v>
      </c>
      <c r="AN198" t="s">
        <v>54</v>
      </c>
      <c r="AO198" t="s">
        <v>54</v>
      </c>
      <c r="AP198" t="s">
        <v>54</v>
      </c>
      <c r="AQ198" t="s">
        <v>54</v>
      </c>
    </row>
    <row r="199" spans="1:43" x14ac:dyDescent="0.25">
      <c r="A199" t="s">
        <v>1894</v>
      </c>
      <c r="B199">
        <v>95</v>
      </c>
      <c r="C199">
        <v>61</v>
      </c>
      <c r="D199" t="s">
        <v>1895</v>
      </c>
      <c r="E199" t="s">
        <v>1896</v>
      </c>
      <c r="F199" t="s">
        <v>494</v>
      </c>
      <c r="G199" t="s">
        <v>1897</v>
      </c>
      <c r="H199" t="s">
        <v>1898</v>
      </c>
      <c r="I199" t="s">
        <v>52</v>
      </c>
      <c r="J199">
        <v>3</v>
      </c>
      <c r="K199">
        <v>0</v>
      </c>
      <c r="L199">
        <v>3</v>
      </c>
      <c r="M199" t="s">
        <v>1899</v>
      </c>
      <c r="N199">
        <v>56</v>
      </c>
      <c r="O199">
        <v>95</v>
      </c>
      <c r="P199">
        <v>4</v>
      </c>
      <c r="Q199" t="s">
        <v>1195</v>
      </c>
      <c r="R199" t="s">
        <v>366</v>
      </c>
      <c r="S199">
        <v>4</v>
      </c>
      <c r="T199">
        <v>0</v>
      </c>
      <c r="U199" t="s">
        <v>52</v>
      </c>
      <c r="V199" t="s">
        <v>1900</v>
      </c>
      <c r="W199" t="s">
        <v>54</v>
      </c>
      <c r="X199" t="s">
        <v>54</v>
      </c>
      <c r="Y199" t="s">
        <v>54</v>
      </c>
      <c r="Z199" t="s">
        <v>54</v>
      </c>
      <c r="AA199" t="s">
        <v>54</v>
      </c>
      <c r="AB199" t="s">
        <v>54</v>
      </c>
      <c r="AC199" t="s">
        <v>54</v>
      </c>
      <c r="AD199" t="s">
        <v>54</v>
      </c>
      <c r="AE199" t="s">
        <v>54</v>
      </c>
      <c r="AF199" t="s">
        <v>54</v>
      </c>
      <c r="AG199" t="s">
        <v>54</v>
      </c>
      <c r="AH199" t="s">
        <v>54</v>
      </c>
      <c r="AI199" t="s">
        <v>54</v>
      </c>
      <c r="AJ199" t="s">
        <v>54</v>
      </c>
      <c r="AK199" t="s">
        <v>54</v>
      </c>
      <c r="AL199" t="s">
        <v>54</v>
      </c>
      <c r="AM199" t="s">
        <v>54</v>
      </c>
      <c r="AN199" t="s">
        <v>54</v>
      </c>
      <c r="AO199" t="s">
        <v>54</v>
      </c>
      <c r="AP199" t="s">
        <v>54</v>
      </c>
      <c r="AQ199" t="s">
        <v>54</v>
      </c>
    </row>
    <row r="200" spans="1:43" x14ac:dyDescent="0.25">
      <c r="A200" t="s">
        <v>1901</v>
      </c>
      <c r="B200">
        <v>122</v>
      </c>
      <c r="C200">
        <v>96</v>
      </c>
      <c r="D200" t="s">
        <v>1902</v>
      </c>
      <c r="E200" t="s">
        <v>1903</v>
      </c>
      <c r="F200" t="s">
        <v>1904</v>
      </c>
      <c r="G200" t="s">
        <v>1905</v>
      </c>
      <c r="H200" t="s">
        <v>1906</v>
      </c>
      <c r="I200" t="s">
        <v>1906</v>
      </c>
      <c r="J200">
        <v>3</v>
      </c>
      <c r="K200">
        <v>3</v>
      </c>
      <c r="L200">
        <v>3</v>
      </c>
      <c r="M200" t="s">
        <v>942</v>
      </c>
      <c r="N200">
        <v>70</v>
      </c>
      <c r="O200">
        <v>122</v>
      </c>
      <c r="P200">
        <v>6</v>
      </c>
      <c r="Q200" t="s">
        <v>1907</v>
      </c>
      <c r="R200" t="s">
        <v>457</v>
      </c>
      <c r="S200">
        <v>13</v>
      </c>
      <c r="T200">
        <v>0</v>
      </c>
      <c r="U200" t="s">
        <v>52</v>
      </c>
      <c r="V200" t="s">
        <v>1908</v>
      </c>
      <c r="W200" t="s">
        <v>54</v>
      </c>
      <c r="X200" t="s">
        <v>54</v>
      </c>
      <c r="Y200" t="s">
        <v>54</v>
      </c>
      <c r="Z200" t="s">
        <v>54</v>
      </c>
      <c r="AA200" t="s">
        <v>54</v>
      </c>
      <c r="AB200" t="s">
        <v>54</v>
      </c>
      <c r="AC200" t="s">
        <v>54</v>
      </c>
      <c r="AD200" t="s">
        <v>54</v>
      </c>
      <c r="AE200" t="s">
        <v>54</v>
      </c>
      <c r="AF200" t="s">
        <v>54</v>
      </c>
      <c r="AG200" t="s">
        <v>54</v>
      </c>
      <c r="AH200" t="s">
        <v>54</v>
      </c>
      <c r="AI200" t="s">
        <v>54</v>
      </c>
      <c r="AJ200" t="s">
        <v>54</v>
      </c>
      <c r="AK200" t="s">
        <v>54</v>
      </c>
      <c r="AL200" t="s">
        <v>54</v>
      </c>
      <c r="AM200" t="s">
        <v>54</v>
      </c>
      <c r="AN200" t="s">
        <v>54</v>
      </c>
      <c r="AO200" t="s">
        <v>54</v>
      </c>
      <c r="AP200" t="s">
        <v>54</v>
      </c>
      <c r="AQ200" t="s">
        <v>54</v>
      </c>
    </row>
    <row r="201" spans="1:43" x14ac:dyDescent="0.25">
      <c r="A201" t="s">
        <v>1909</v>
      </c>
      <c r="B201">
        <v>122</v>
      </c>
      <c r="C201">
        <v>94</v>
      </c>
      <c r="D201" t="s">
        <v>1910</v>
      </c>
      <c r="E201" t="s">
        <v>1911</v>
      </c>
      <c r="F201" t="s">
        <v>1912</v>
      </c>
      <c r="G201" t="s">
        <v>1913</v>
      </c>
      <c r="H201" t="s">
        <v>1914</v>
      </c>
      <c r="I201" t="s">
        <v>1915</v>
      </c>
      <c r="J201">
        <v>1</v>
      </c>
      <c r="K201">
        <v>4</v>
      </c>
      <c r="L201">
        <v>2</v>
      </c>
      <c r="M201" t="s">
        <v>1916</v>
      </c>
      <c r="N201">
        <v>68</v>
      </c>
      <c r="O201">
        <v>123</v>
      </c>
      <c r="P201">
        <v>10</v>
      </c>
      <c r="Q201" t="s">
        <v>1917</v>
      </c>
      <c r="R201" t="s">
        <v>934</v>
      </c>
      <c r="S201">
        <v>16</v>
      </c>
      <c r="T201">
        <v>0</v>
      </c>
      <c r="U201" t="s">
        <v>52</v>
      </c>
      <c r="V201" t="s">
        <v>1918</v>
      </c>
      <c r="W201" t="s">
        <v>54</v>
      </c>
      <c r="X201" t="s">
        <v>54</v>
      </c>
      <c r="Y201" t="s">
        <v>54</v>
      </c>
      <c r="Z201" t="s">
        <v>54</v>
      </c>
      <c r="AA201" t="s">
        <v>54</v>
      </c>
      <c r="AB201" t="s">
        <v>54</v>
      </c>
      <c r="AC201" t="s">
        <v>54</v>
      </c>
      <c r="AD201" t="s">
        <v>54</v>
      </c>
      <c r="AE201" t="s">
        <v>54</v>
      </c>
      <c r="AF201" t="s">
        <v>54</v>
      </c>
      <c r="AG201" t="s">
        <v>54</v>
      </c>
      <c r="AH201" t="s">
        <v>54</v>
      </c>
      <c r="AI201" t="s">
        <v>54</v>
      </c>
      <c r="AJ201" t="s">
        <v>54</v>
      </c>
      <c r="AK201" t="s">
        <v>54</v>
      </c>
      <c r="AL201" t="s">
        <v>54</v>
      </c>
      <c r="AM201" t="s">
        <v>54</v>
      </c>
      <c r="AN201" t="s">
        <v>54</v>
      </c>
      <c r="AO201" t="s">
        <v>54</v>
      </c>
      <c r="AP201" t="s">
        <v>54</v>
      </c>
      <c r="AQ201" t="s">
        <v>54</v>
      </c>
    </row>
    <row r="202" spans="1:43" x14ac:dyDescent="0.25">
      <c r="A202" t="s">
        <v>1919</v>
      </c>
      <c r="B202">
        <v>144</v>
      </c>
      <c r="C202">
        <v>108</v>
      </c>
      <c r="D202" t="s">
        <v>720</v>
      </c>
      <c r="E202" t="s">
        <v>1583</v>
      </c>
      <c r="F202" t="s">
        <v>1373</v>
      </c>
      <c r="G202" t="s">
        <v>1920</v>
      </c>
      <c r="H202" t="s">
        <v>753</v>
      </c>
      <c r="I202" t="s">
        <v>1921</v>
      </c>
      <c r="J202">
        <v>1</v>
      </c>
      <c r="K202">
        <v>3</v>
      </c>
      <c r="L202">
        <v>4</v>
      </c>
      <c r="M202" t="s">
        <v>1922</v>
      </c>
      <c r="N202">
        <v>73</v>
      </c>
      <c r="O202">
        <v>144</v>
      </c>
      <c r="P202">
        <v>7</v>
      </c>
      <c r="Q202" t="s">
        <v>1923</v>
      </c>
      <c r="R202" t="s">
        <v>1720</v>
      </c>
      <c r="S202">
        <v>23</v>
      </c>
      <c r="T202">
        <v>0</v>
      </c>
      <c r="U202" t="s">
        <v>52</v>
      </c>
      <c r="V202" t="s">
        <v>1924</v>
      </c>
      <c r="W202" t="s">
        <v>54</v>
      </c>
      <c r="X202" t="s">
        <v>54</v>
      </c>
      <c r="Y202" t="s">
        <v>54</v>
      </c>
      <c r="Z202" t="s">
        <v>54</v>
      </c>
      <c r="AA202" t="s">
        <v>54</v>
      </c>
      <c r="AB202" t="s">
        <v>54</v>
      </c>
      <c r="AC202" t="s">
        <v>54</v>
      </c>
      <c r="AD202" t="s">
        <v>54</v>
      </c>
      <c r="AE202" t="s">
        <v>54</v>
      </c>
      <c r="AF202" t="s">
        <v>54</v>
      </c>
      <c r="AG202" t="s">
        <v>54</v>
      </c>
      <c r="AH202" t="s">
        <v>54</v>
      </c>
      <c r="AI202" t="s">
        <v>54</v>
      </c>
      <c r="AJ202" t="s">
        <v>54</v>
      </c>
      <c r="AK202" t="s">
        <v>54</v>
      </c>
      <c r="AL202" t="s">
        <v>54</v>
      </c>
      <c r="AM202" t="s">
        <v>54</v>
      </c>
      <c r="AN202" t="s">
        <v>54</v>
      </c>
      <c r="AO202" t="s">
        <v>54</v>
      </c>
      <c r="AP202" t="s">
        <v>54</v>
      </c>
      <c r="AQ202" t="s">
        <v>54</v>
      </c>
    </row>
    <row r="203" spans="1:43" x14ac:dyDescent="0.25">
      <c r="A203" t="s">
        <v>1925</v>
      </c>
      <c r="B203">
        <v>106</v>
      </c>
      <c r="C203">
        <v>79</v>
      </c>
      <c r="D203" t="s">
        <v>1926</v>
      </c>
      <c r="E203" t="s">
        <v>1927</v>
      </c>
      <c r="F203" t="s">
        <v>1928</v>
      </c>
      <c r="G203" t="s">
        <v>1929</v>
      </c>
      <c r="H203" t="s">
        <v>1930</v>
      </c>
      <c r="I203" t="s">
        <v>1930</v>
      </c>
      <c r="J203">
        <v>1</v>
      </c>
      <c r="K203">
        <v>1</v>
      </c>
      <c r="L203">
        <v>3</v>
      </c>
      <c r="M203" t="s">
        <v>1931</v>
      </c>
      <c r="N203">
        <v>67</v>
      </c>
      <c r="O203">
        <v>106</v>
      </c>
      <c r="P203">
        <v>13</v>
      </c>
      <c r="Q203" t="s">
        <v>1932</v>
      </c>
      <c r="R203" t="s">
        <v>1933</v>
      </c>
      <c r="S203">
        <v>11</v>
      </c>
      <c r="T203">
        <v>0</v>
      </c>
      <c r="U203" t="s">
        <v>52</v>
      </c>
      <c r="V203" t="s">
        <v>1934</v>
      </c>
      <c r="W203" t="s">
        <v>54</v>
      </c>
      <c r="X203" t="s">
        <v>54</v>
      </c>
      <c r="Y203" t="s">
        <v>54</v>
      </c>
      <c r="Z203" t="s">
        <v>54</v>
      </c>
      <c r="AA203" t="s">
        <v>54</v>
      </c>
      <c r="AB203" t="s">
        <v>54</v>
      </c>
      <c r="AC203" t="s">
        <v>54</v>
      </c>
      <c r="AD203" t="s">
        <v>54</v>
      </c>
      <c r="AE203" t="s">
        <v>54</v>
      </c>
      <c r="AF203" t="s">
        <v>54</v>
      </c>
      <c r="AG203" t="s">
        <v>54</v>
      </c>
      <c r="AH203" t="s">
        <v>54</v>
      </c>
      <c r="AI203" t="s">
        <v>54</v>
      </c>
      <c r="AJ203" t="s">
        <v>54</v>
      </c>
      <c r="AK203" t="s">
        <v>54</v>
      </c>
      <c r="AL203" t="s">
        <v>54</v>
      </c>
      <c r="AM203" t="s">
        <v>54</v>
      </c>
      <c r="AN203" t="s">
        <v>54</v>
      </c>
      <c r="AO203" t="s">
        <v>54</v>
      </c>
      <c r="AP203" t="s">
        <v>54</v>
      </c>
      <c r="AQ203" t="s">
        <v>54</v>
      </c>
    </row>
    <row r="204" spans="1:43" x14ac:dyDescent="0.25">
      <c r="A204" t="s">
        <v>1935</v>
      </c>
      <c r="B204">
        <v>99</v>
      </c>
      <c r="C204">
        <v>74</v>
      </c>
      <c r="D204" t="s">
        <v>1936</v>
      </c>
      <c r="E204" t="s">
        <v>1937</v>
      </c>
      <c r="F204" t="s">
        <v>1938</v>
      </c>
      <c r="G204" t="s">
        <v>1939</v>
      </c>
      <c r="H204" t="s">
        <v>52</v>
      </c>
      <c r="I204" t="s">
        <v>1940</v>
      </c>
      <c r="J204">
        <v>0</v>
      </c>
      <c r="K204">
        <v>1</v>
      </c>
      <c r="L204">
        <v>2</v>
      </c>
      <c r="M204" t="s">
        <v>1941</v>
      </c>
      <c r="N204">
        <v>57</v>
      </c>
      <c r="O204">
        <v>99</v>
      </c>
      <c r="P204">
        <v>7</v>
      </c>
      <c r="Q204" t="s">
        <v>1942</v>
      </c>
      <c r="R204" t="s">
        <v>1943</v>
      </c>
      <c r="S204">
        <v>12</v>
      </c>
      <c r="T204">
        <v>0</v>
      </c>
      <c r="U204" t="s">
        <v>52</v>
      </c>
      <c r="V204" t="s">
        <v>1944</v>
      </c>
      <c r="W204" t="s">
        <v>54</v>
      </c>
      <c r="X204" t="s">
        <v>54</v>
      </c>
      <c r="Y204" t="s">
        <v>54</v>
      </c>
      <c r="Z204" t="s">
        <v>54</v>
      </c>
      <c r="AA204" t="s">
        <v>54</v>
      </c>
      <c r="AB204" t="s">
        <v>54</v>
      </c>
      <c r="AC204" t="s">
        <v>54</v>
      </c>
      <c r="AD204" t="s">
        <v>54</v>
      </c>
      <c r="AE204" t="s">
        <v>54</v>
      </c>
      <c r="AF204" t="s">
        <v>54</v>
      </c>
      <c r="AG204" t="s">
        <v>54</v>
      </c>
      <c r="AH204" t="s">
        <v>54</v>
      </c>
      <c r="AI204" t="s">
        <v>54</v>
      </c>
      <c r="AJ204" t="s">
        <v>54</v>
      </c>
      <c r="AK204" t="s">
        <v>54</v>
      </c>
      <c r="AL204" t="s">
        <v>54</v>
      </c>
      <c r="AM204" t="s">
        <v>54</v>
      </c>
      <c r="AN204" t="s">
        <v>54</v>
      </c>
      <c r="AO204" t="s">
        <v>54</v>
      </c>
      <c r="AP204" t="s">
        <v>54</v>
      </c>
      <c r="AQ204" t="s">
        <v>54</v>
      </c>
    </row>
    <row r="205" spans="1:43" x14ac:dyDescent="0.25">
      <c r="A205" t="s">
        <v>1945</v>
      </c>
      <c r="B205">
        <v>196</v>
      </c>
      <c r="C205">
        <v>136</v>
      </c>
      <c r="D205" t="s">
        <v>1946</v>
      </c>
      <c r="E205" t="s">
        <v>1947</v>
      </c>
      <c r="F205" t="s">
        <v>1473</v>
      </c>
      <c r="G205" t="s">
        <v>1948</v>
      </c>
      <c r="H205" t="s">
        <v>1949</v>
      </c>
      <c r="I205" t="s">
        <v>1950</v>
      </c>
      <c r="J205">
        <v>5</v>
      </c>
      <c r="K205">
        <v>3</v>
      </c>
      <c r="L205">
        <v>4</v>
      </c>
      <c r="M205" t="s">
        <v>1951</v>
      </c>
      <c r="N205">
        <v>108</v>
      </c>
      <c r="O205">
        <v>196</v>
      </c>
      <c r="P205">
        <v>9</v>
      </c>
      <c r="Q205" t="s">
        <v>1952</v>
      </c>
      <c r="R205" t="s">
        <v>1112</v>
      </c>
      <c r="S205">
        <v>22</v>
      </c>
      <c r="T205">
        <v>0</v>
      </c>
      <c r="U205" t="s">
        <v>52</v>
      </c>
      <c r="V205" t="s">
        <v>1953</v>
      </c>
      <c r="W205" t="s">
        <v>54</v>
      </c>
      <c r="X205" t="s">
        <v>54</v>
      </c>
      <c r="Y205" t="s">
        <v>54</v>
      </c>
      <c r="Z205" t="s">
        <v>54</v>
      </c>
      <c r="AA205" t="s">
        <v>54</v>
      </c>
      <c r="AB205" t="s">
        <v>54</v>
      </c>
      <c r="AC205" t="s">
        <v>54</v>
      </c>
      <c r="AD205" t="s">
        <v>54</v>
      </c>
      <c r="AE205" t="s">
        <v>54</v>
      </c>
      <c r="AF205" t="s">
        <v>54</v>
      </c>
      <c r="AG205" t="s">
        <v>54</v>
      </c>
      <c r="AH205" t="s">
        <v>54</v>
      </c>
      <c r="AI205" t="s">
        <v>54</v>
      </c>
      <c r="AJ205" t="s">
        <v>54</v>
      </c>
      <c r="AK205" t="s">
        <v>54</v>
      </c>
      <c r="AL205" t="s">
        <v>54</v>
      </c>
      <c r="AM205" t="s">
        <v>54</v>
      </c>
      <c r="AN205" t="s">
        <v>54</v>
      </c>
      <c r="AO205" t="s">
        <v>54</v>
      </c>
      <c r="AP205" t="s">
        <v>54</v>
      </c>
      <c r="AQ205" t="s">
        <v>54</v>
      </c>
    </row>
    <row r="206" spans="1:43" x14ac:dyDescent="0.25">
      <c r="A206" t="s">
        <v>1954</v>
      </c>
      <c r="B206">
        <v>168</v>
      </c>
      <c r="C206">
        <v>119</v>
      </c>
      <c r="D206" t="s">
        <v>257</v>
      </c>
      <c r="E206" t="s">
        <v>1955</v>
      </c>
      <c r="F206" t="s">
        <v>1956</v>
      </c>
      <c r="G206" t="s">
        <v>1957</v>
      </c>
      <c r="H206" t="s">
        <v>1411</v>
      </c>
      <c r="I206" t="s">
        <v>1411</v>
      </c>
      <c r="J206">
        <v>1</v>
      </c>
      <c r="K206">
        <v>1</v>
      </c>
      <c r="L206">
        <v>3</v>
      </c>
      <c r="M206" t="s">
        <v>1958</v>
      </c>
      <c r="N206">
        <v>107</v>
      </c>
      <c r="O206">
        <v>167</v>
      </c>
      <c r="P206">
        <v>32</v>
      </c>
      <c r="Q206" t="s">
        <v>1959</v>
      </c>
      <c r="R206" t="s">
        <v>1960</v>
      </c>
      <c r="S206">
        <v>9</v>
      </c>
      <c r="T206">
        <v>0</v>
      </c>
      <c r="U206" t="s">
        <v>52</v>
      </c>
      <c r="V206" t="s">
        <v>1961</v>
      </c>
      <c r="W206" t="s">
        <v>54</v>
      </c>
      <c r="X206" t="s">
        <v>54</v>
      </c>
      <c r="Y206" t="s">
        <v>54</v>
      </c>
      <c r="Z206" t="s">
        <v>54</v>
      </c>
      <c r="AA206" t="s">
        <v>54</v>
      </c>
      <c r="AB206" t="s">
        <v>54</v>
      </c>
      <c r="AC206" t="s">
        <v>54</v>
      </c>
      <c r="AD206" t="s">
        <v>54</v>
      </c>
      <c r="AE206" t="s">
        <v>54</v>
      </c>
      <c r="AF206" t="s">
        <v>54</v>
      </c>
      <c r="AG206" t="s">
        <v>54</v>
      </c>
      <c r="AH206" t="s">
        <v>54</v>
      </c>
      <c r="AI206" t="s">
        <v>54</v>
      </c>
      <c r="AJ206" t="s">
        <v>54</v>
      </c>
      <c r="AK206" t="s">
        <v>54</v>
      </c>
      <c r="AL206" t="s">
        <v>54</v>
      </c>
      <c r="AM206" t="s">
        <v>54</v>
      </c>
      <c r="AN206" t="s">
        <v>54</v>
      </c>
      <c r="AO206" t="s">
        <v>54</v>
      </c>
      <c r="AP206" t="s">
        <v>54</v>
      </c>
      <c r="AQ206" t="s">
        <v>54</v>
      </c>
    </row>
    <row r="207" spans="1:43" x14ac:dyDescent="0.25">
      <c r="A207" t="s">
        <v>1962</v>
      </c>
      <c r="B207">
        <v>131</v>
      </c>
      <c r="C207">
        <v>95</v>
      </c>
      <c r="D207" t="s">
        <v>1963</v>
      </c>
      <c r="E207" t="s">
        <v>1964</v>
      </c>
      <c r="F207" t="s">
        <v>1965</v>
      </c>
      <c r="G207" t="s">
        <v>1966</v>
      </c>
      <c r="H207" t="s">
        <v>1967</v>
      </c>
      <c r="I207" t="s">
        <v>918</v>
      </c>
      <c r="J207">
        <v>1</v>
      </c>
      <c r="K207">
        <v>5</v>
      </c>
      <c r="L207">
        <v>2</v>
      </c>
      <c r="M207" t="s">
        <v>1968</v>
      </c>
      <c r="N207">
        <v>67</v>
      </c>
      <c r="O207">
        <v>131</v>
      </c>
      <c r="P207">
        <v>10</v>
      </c>
      <c r="Q207" t="s">
        <v>1969</v>
      </c>
      <c r="R207" t="s">
        <v>717</v>
      </c>
      <c r="S207">
        <v>18</v>
      </c>
      <c r="T207">
        <v>0</v>
      </c>
      <c r="U207" t="s">
        <v>52</v>
      </c>
      <c r="V207" t="s">
        <v>1970</v>
      </c>
      <c r="W207" t="s">
        <v>54</v>
      </c>
      <c r="X207" t="s">
        <v>54</v>
      </c>
      <c r="Y207" t="s">
        <v>54</v>
      </c>
      <c r="Z207" t="s">
        <v>54</v>
      </c>
      <c r="AA207" t="s">
        <v>54</v>
      </c>
      <c r="AB207" t="s">
        <v>54</v>
      </c>
      <c r="AC207" t="s">
        <v>54</v>
      </c>
      <c r="AD207" t="s">
        <v>54</v>
      </c>
      <c r="AE207" t="s">
        <v>54</v>
      </c>
      <c r="AF207" t="s">
        <v>54</v>
      </c>
      <c r="AG207" t="s">
        <v>54</v>
      </c>
      <c r="AH207" t="s">
        <v>54</v>
      </c>
      <c r="AI207" t="s">
        <v>54</v>
      </c>
      <c r="AJ207" t="s">
        <v>54</v>
      </c>
      <c r="AK207" t="s">
        <v>54</v>
      </c>
      <c r="AL207" t="s">
        <v>54</v>
      </c>
      <c r="AM207" t="s">
        <v>54</v>
      </c>
      <c r="AN207" t="s">
        <v>54</v>
      </c>
      <c r="AO207" t="s">
        <v>54</v>
      </c>
      <c r="AP207" t="s">
        <v>54</v>
      </c>
      <c r="AQ207" t="s">
        <v>54</v>
      </c>
    </row>
    <row r="208" spans="1:43" x14ac:dyDescent="0.25">
      <c r="A208" t="s">
        <v>1971</v>
      </c>
      <c r="B208">
        <v>128</v>
      </c>
      <c r="C208">
        <v>96</v>
      </c>
      <c r="D208" t="s">
        <v>720</v>
      </c>
      <c r="E208" t="s">
        <v>1972</v>
      </c>
      <c r="F208" t="s">
        <v>1016</v>
      </c>
      <c r="G208" t="s">
        <v>1973</v>
      </c>
      <c r="H208" t="s">
        <v>1974</v>
      </c>
      <c r="I208" t="s">
        <v>52</v>
      </c>
      <c r="J208">
        <v>5</v>
      </c>
      <c r="K208">
        <v>0</v>
      </c>
      <c r="L208">
        <v>4</v>
      </c>
      <c r="M208" t="s">
        <v>1975</v>
      </c>
      <c r="N208">
        <v>71</v>
      </c>
      <c r="O208">
        <v>128</v>
      </c>
      <c r="P208">
        <v>18</v>
      </c>
      <c r="Q208" t="s">
        <v>1976</v>
      </c>
      <c r="R208" t="s">
        <v>975</v>
      </c>
      <c r="S208">
        <v>13</v>
      </c>
      <c r="T208">
        <v>0</v>
      </c>
      <c r="U208" t="s">
        <v>52</v>
      </c>
      <c r="V208" t="s">
        <v>1977</v>
      </c>
      <c r="W208" t="s">
        <v>54</v>
      </c>
      <c r="X208" t="s">
        <v>54</v>
      </c>
      <c r="Y208" t="s">
        <v>54</v>
      </c>
      <c r="Z208" t="s">
        <v>54</v>
      </c>
      <c r="AA208" t="s">
        <v>54</v>
      </c>
      <c r="AB208" t="s">
        <v>54</v>
      </c>
      <c r="AC208" t="s">
        <v>54</v>
      </c>
      <c r="AD208" t="s">
        <v>54</v>
      </c>
      <c r="AE208" t="s">
        <v>54</v>
      </c>
      <c r="AF208" t="s">
        <v>54</v>
      </c>
      <c r="AG208" t="s">
        <v>54</v>
      </c>
      <c r="AH208" t="s">
        <v>54</v>
      </c>
      <c r="AI208" t="s">
        <v>54</v>
      </c>
      <c r="AJ208" t="s">
        <v>54</v>
      </c>
      <c r="AK208" t="s">
        <v>54</v>
      </c>
      <c r="AL208" t="s">
        <v>54</v>
      </c>
      <c r="AM208" t="s">
        <v>54</v>
      </c>
      <c r="AN208" t="s">
        <v>54</v>
      </c>
      <c r="AO208" t="s">
        <v>54</v>
      </c>
      <c r="AP208" t="s">
        <v>54</v>
      </c>
      <c r="AQ208" t="s">
        <v>54</v>
      </c>
    </row>
    <row r="209" spans="1:43" x14ac:dyDescent="0.25">
      <c r="A209" t="s">
        <v>1978</v>
      </c>
      <c r="B209">
        <v>138</v>
      </c>
      <c r="C209">
        <v>95</v>
      </c>
      <c r="D209" t="s">
        <v>1979</v>
      </c>
      <c r="E209" t="s">
        <v>1980</v>
      </c>
      <c r="F209" t="s">
        <v>342</v>
      </c>
      <c r="G209" t="s">
        <v>1981</v>
      </c>
      <c r="H209" t="s">
        <v>1982</v>
      </c>
      <c r="I209" t="s">
        <v>1982</v>
      </c>
      <c r="J209">
        <v>1</v>
      </c>
      <c r="K209">
        <v>1</v>
      </c>
      <c r="L209">
        <v>5</v>
      </c>
      <c r="M209" t="s">
        <v>1788</v>
      </c>
      <c r="N209">
        <v>72</v>
      </c>
      <c r="O209">
        <v>138</v>
      </c>
      <c r="P209">
        <v>5</v>
      </c>
      <c r="Q209" t="s">
        <v>1983</v>
      </c>
      <c r="R209" t="s">
        <v>921</v>
      </c>
      <c r="S209">
        <v>14</v>
      </c>
      <c r="T209">
        <v>0</v>
      </c>
      <c r="U209" t="s">
        <v>52</v>
      </c>
      <c r="V209" t="s">
        <v>1984</v>
      </c>
      <c r="W209" t="s">
        <v>54</v>
      </c>
      <c r="X209" t="s">
        <v>54</v>
      </c>
      <c r="Y209" t="s">
        <v>54</v>
      </c>
      <c r="Z209" t="s">
        <v>54</v>
      </c>
      <c r="AA209" t="s">
        <v>54</v>
      </c>
      <c r="AB209" t="s">
        <v>54</v>
      </c>
      <c r="AC209" t="s">
        <v>54</v>
      </c>
      <c r="AD209" t="s">
        <v>54</v>
      </c>
      <c r="AE209" t="s">
        <v>54</v>
      </c>
      <c r="AF209" t="s">
        <v>54</v>
      </c>
      <c r="AG209" t="s">
        <v>54</v>
      </c>
      <c r="AH209" t="s">
        <v>54</v>
      </c>
      <c r="AI209" t="s">
        <v>54</v>
      </c>
      <c r="AJ209" t="s">
        <v>54</v>
      </c>
      <c r="AK209" t="s">
        <v>54</v>
      </c>
      <c r="AL209" t="s">
        <v>54</v>
      </c>
      <c r="AM209" t="s">
        <v>54</v>
      </c>
      <c r="AN209" t="s">
        <v>54</v>
      </c>
      <c r="AO209" t="s">
        <v>54</v>
      </c>
      <c r="AP209" t="s">
        <v>54</v>
      </c>
      <c r="AQ209" t="s">
        <v>54</v>
      </c>
    </row>
    <row r="210" spans="1:43" x14ac:dyDescent="0.25">
      <c r="A210" t="s">
        <v>1985</v>
      </c>
      <c r="B210">
        <v>195</v>
      </c>
      <c r="C210">
        <v>137</v>
      </c>
      <c r="D210" t="s">
        <v>1986</v>
      </c>
      <c r="E210" t="s">
        <v>1562</v>
      </c>
      <c r="F210" t="s">
        <v>1987</v>
      </c>
      <c r="G210" t="s">
        <v>1988</v>
      </c>
      <c r="H210" t="s">
        <v>1989</v>
      </c>
      <c r="I210" t="s">
        <v>52</v>
      </c>
      <c r="J210">
        <v>1</v>
      </c>
      <c r="K210">
        <v>0</v>
      </c>
      <c r="L210">
        <v>5</v>
      </c>
      <c r="M210" t="s">
        <v>1951</v>
      </c>
      <c r="N210">
        <v>108</v>
      </c>
      <c r="O210">
        <v>196</v>
      </c>
      <c r="P210">
        <v>10</v>
      </c>
      <c r="Q210" t="s">
        <v>1990</v>
      </c>
      <c r="R210" t="s">
        <v>1991</v>
      </c>
      <c r="S210">
        <v>23</v>
      </c>
      <c r="T210">
        <v>0</v>
      </c>
      <c r="U210" t="s">
        <v>52</v>
      </c>
      <c r="V210" t="s">
        <v>1992</v>
      </c>
      <c r="W210" t="s">
        <v>54</v>
      </c>
      <c r="X210" t="s">
        <v>54</v>
      </c>
      <c r="Y210" t="s">
        <v>54</v>
      </c>
      <c r="Z210" t="s">
        <v>54</v>
      </c>
      <c r="AA210" t="s">
        <v>54</v>
      </c>
      <c r="AB210" t="s">
        <v>54</v>
      </c>
      <c r="AC210" t="s">
        <v>54</v>
      </c>
      <c r="AD210" t="s">
        <v>54</v>
      </c>
      <c r="AE210" t="s">
        <v>54</v>
      </c>
      <c r="AF210" t="s">
        <v>54</v>
      </c>
      <c r="AG210" t="s">
        <v>54</v>
      </c>
      <c r="AH210" t="s">
        <v>54</v>
      </c>
      <c r="AI210" t="s">
        <v>54</v>
      </c>
      <c r="AJ210" t="s">
        <v>54</v>
      </c>
      <c r="AK210" t="s">
        <v>54</v>
      </c>
      <c r="AL210" t="s">
        <v>54</v>
      </c>
      <c r="AM210" t="s">
        <v>54</v>
      </c>
      <c r="AN210" t="s">
        <v>54</v>
      </c>
      <c r="AO210" t="s">
        <v>54</v>
      </c>
      <c r="AP210" t="s">
        <v>54</v>
      </c>
      <c r="AQ210" t="s">
        <v>54</v>
      </c>
    </row>
    <row r="211" spans="1:43" x14ac:dyDescent="0.25">
      <c r="A211" t="s">
        <v>1993</v>
      </c>
      <c r="B211">
        <v>151</v>
      </c>
      <c r="C211">
        <v>105</v>
      </c>
      <c r="D211" t="s">
        <v>1994</v>
      </c>
      <c r="E211" t="s">
        <v>1995</v>
      </c>
      <c r="F211" t="s">
        <v>1996</v>
      </c>
      <c r="G211" t="s">
        <v>1997</v>
      </c>
      <c r="H211" t="s">
        <v>1889</v>
      </c>
      <c r="I211" t="s">
        <v>1998</v>
      </c>
      <c r="J211">
        <v>2</v>
      </c>
      <c r="K211">
        <v>1</v>
      </c>
      <c r="L211">
        <v>3</v>
      </c>
      <c r="M211" t="s">
        <v>1999</v>
      </c>
      <c r="N211">
        <v>89</v>
      </c>
      <c r="O211">
        <v>151</v>
      </c>
      <c r="P211">
        <v>5</v>
      </c>
      <c r="Q211" t="s">
        <v>2000</v>
      </c>
      <c r="R211" t="s">
        <v>2001</v>
      </c>
      <c r="S211">
        <v>17</v>
      </c>
      <c r="T211">
        <v>0</v>
      </c>
      <c r="U211" t="s">
        <v>52</v>
      </c>
      <c r="V211" t="s">
        <v>2002</v>
      </c>
      <c r="W211" t="s">
        <v>54</v>
      </c>
      <c r="X211" t="s">
        <v>54</v>
      </c>
      <c r="Y211" t="s">
        <v>54</v>
      </c>
      <c r="Z211" t="s">
        <v>54</v>
      </c>
      <c r="AA211" t="s">
        <v>54</v>
      </c>
      <c r="AB211" t="s">
        <v>54</v>
      </c>
      <c r="AC211" t="s">
        <v>54</v>
      </c>
      <c r="AD211" t="s">
        <v>54</v>
      </c>
      <c r="AE211" t="s">
        <v>54</v>
      </c>
      <c r="AF211" t="s">
        <v>54</v>
      </c>
      <c r="AG211" t="s">
        <v>54</v>
      </c>
      <c r="AH211" t="s">
        <v>54</v>
      </c>
      <c r="AI211" t="s">
        <v>54</v>
      </c>
      <c r="AJ211" t="s">
        <v>54</v>
      </c>
      <c r="AK211" t="s">
        <v>54</v>
      </c>
      <c r="AL211" t="s">
        <v>54</v>
      </c>
      <c r="AM211" t="s">
        <v>54</v>
      </c>
      <c r="AN211" t="s">
        <v>54</v>
      </c>
      <c r="AO211" t="s">
        <v>54</v>
      </c>
      <c r="AP211" t="s">
        <v>54</v>
      </c>
      <c r="AQ211" t="s">
        <v>54</v>
      </c>
    </row>
    <row r="212" spans="1:43" x14ac:dyDescent="0.25">
      <c r="A212" t="s">
        <v>2003</v>
      </c>
      <c r="B212">
        <v>176</v>
      </c>
      <c r="C212">
        <v>121</v>
      </c>
      <c r="D212" t="s">
        <v>2004</v>
      </c>
      <c r="E212" t="s">
        <v>2005</v>
      </c>
      <c r="F212" t="s">
        <v>2006</v>
      </c>
      <c r="G212" t="s">
        <v>2007</v>
      </c>
      <c r="H212" t="s">
        <v>2008</v>
      </c>
      <c r="I212" t="s">
        <v>2009</v>
      </c>
      <c r="J212">
        <v>3</v>
      </c>
      <c r="K212">
        <v>5</v>
      </c>
      <c r="L212">
        <v>2</v>
      </c>
      <c r="M212" t="s">
        <v>2010</v>
      </c>
      <c r="N212">
        <v>94</v>
      </c>
      <c r="O212">
        <v>176</v>
      </c>
      <c r="P212">
        <v>2</v>
      </c>
      <c r="Q212" t="s">
        <v>2011</v>
      </c>
      <c r="R212" t="s">
        <v>2012</v>
      </c>
      <c r="S212">
        <v>27</v>
      </c>
      <c r="T212">
        <v>0</v>
      </c>
      <c r="U212" t="s">
        <v>52</v>
      </c>
      <c r="V212" t="s">
        <v>2013</v>
      </c>
      <c r="W212" t="s">
        <v>54</v>
      </c>
      <c r="X212" t="s">
        <v>54</v>
      </c>
      <c r="Y212" t="s">
        <v>54</v>
      </c>
      <c r="Z212" t="s">
        <v>54</v>
      </c>
      <c r="AA212" t="s">
        <v>54</v>
      </c>
      <c r="AB212" t="s">
        <v>54</v>
      </c>
      <c r="AC212" t="s">
        <v>54</v>
      </c>
      <c r="AD212" t="s">
        <v>54</v>
      </c>
      <c r="AE212" t="s">
        <v>54</v>
      </c>
      <c r="AF212" t="s">
        <v>54</v>
      </c>
      <c r="AG212" t="s">
        <v>54</v>
      </c>
      <c r="AH212" t="s">
        <v>54</v>
      </c>
      <c r="AI212" t="s">
        <v>54</v>
      </c>
      <c r="AJ212" t="s">
        <v>54</v>
      </c>
      <c r="AK212" t="s">
        <v>54</v>
      </c>
      <c r="AL212" t="s">
        <v>54</v>
      </c>
      <c r="AM212" t="s">
        <v>54</v>
      </c>
      <c r="AN212" t="s">
        <v>54</v>
      </c>
      <c r="AO212" t="s">
        <v>54</v>
      </c>
      <c r="AP212" t="s">
        <v>54</v>
      </c>
      <c r="AQ212" t="s">
        <v>54</v>
      </c>
    </row>
    <row r="213" spans="1:43" x14ac:dyDescent="0.25">
      <c r="A213" t="s">
        <v>2014</v>
      </c>
      <c r="B213">
        <v>212</v>
      </c>
      <c r="C213">
        <v>142</v>
      </c>
      <c r="D213" t="s">
        <v>2015</v>
      </c>
      <c r="E213" t="s">
        <v>2016</v>
      </c>
      <c r="F213" t="s">
        <v>2017</v>
      </c>
      <c r="G213" t="s">
        <v>2018</v>
      </c>
      <c r="H213" t="s">
        <v>2019</v>
      </c>
      <c r="I213" t="s">
        <v>1930</v>
      </c>
      <c r="J213">
        <v>7</v>
      </c>
      <c r="K213">
        <v>2</v>
      </c>
      <c r="L213">
        <v>3</v>
      </c>
      <c r="M213" t="s">
        <v>2020</v>
      </c>
      <c r="N213">
        <v>110</v>
      </c>
      <c r="O213">
        <v>214</v>
      </c>
      <c r="P213">
        <v>11</v>
      </c>
      <c r="Q213" t="s">
        <v>2021</v>
      </c>
      <c r="R213" t="s">
        <v>2022</v>
      </c>
      <c r="S213">
        <v>31</v>
      </c>
      <c r="T213">
        <v>0</v>
      </c>
      <c r="U213" t="s">
        <v>52</v>
      </c>
      <c r="V213" t="s">
        <v>2023</v>
      </c>
      <c r="W213" t="s">
        <v>54</v>
      </c>
      <c r="X213" t="s">
        <v>54</v>
      </c>
      <c r="Y213" t="s">
        <v>54</v>
      </c>
      <c r="Z213" t="s">
        <v>54</v>
      </c>
      <c r="AA213" t="s">
        <v>54</v>
      </c>
      <c r="AB213" t="s">
        <v>54</v>
      </c>
      <c r="AC213" t="s">
        <v>54</v>
      </c>
      <c r="AD213" t="s">
        <v>54</v>
      </c>
      <c r="AE213" t="s">
        <v>54</v>
      </c>
      <c r="AF213" t="s">
        <v>54</v>
      </c>
      <c r="AG213" t="s">
        <v>54</v>
      </c>
      <c r="AH213" t="s">
        <v>54</v>
      </c>
      <c r="AI213" t="s">
        <v>54</v>
      </c>
      <c r="AJ213" t="s">
        <v>54</v>
      </c>
      <c r="AK213" t="s">
        <v>54</v>
      </c>
      <c r="AL213" t="s">
        <v>54</v>
      </c>
      <c r="AM213" t="s">
        <v>54</v>
      </c>
      <c r="AN213" t="s">
        <v>54</v>
      </c>
      <c r="AO213" t="s">
        <v>54</v>
      </c>
      <c r="AP213" t="s">
        <v>54</v>
      </c>
      <c r="AQ213" t="s">
        <v>54</v>
      </c>
    </row>
    <row r="214" spans="1:43" x14ac:dyDescent="0.25">
      <c r="A214" t="s">
        <v>2024</v>
      </c>
      <c r="B214">
        <v>154</v>
      </c>
      <c r="C214">
        <v>94</v>
      </c>
      <c r="D214" t="s">
        <v>2025</v>
      </c>
      <c r="E214" t="s">
        <v>2026</v>
      </c>
      <c r="F214" t="s">
        <v>2027</v>
      </c>
      <c r="G214" t="s">
        <v>2028</v>
      </c>
      <c r="H214" t="s">
        <v>52</v>
      </c>
      <c r="I214" t="s">
        <v>52</v>
      </c>
      <c r="J214">
        <v>0</v>
      </c>
      <c r="K214">
        <v>0</v>
      </c>
      <c r="L214">
        <v>2</v>
      </c>
      <c r="M214" t="s">
        <v>2029</v>
      </c>
      <c r="N214">
        <v>93</v>
      </c>
      <c r="O214">
        <v>153</v>
      </c>
      <c r="P214">
        <v>18</v>
      </c>
      <c r="Q214" t="s">
        <v>2030</v>
      </c>
      <c r="R214" t="s">
        <v>275</v>
      </c>
      <c r="S214">
        <v>14</v>
      </c>
      <c r="T214">
        <v>0</v>
      </c>
      <c r="U214" t="s">
        <v>52</v>
      </c>
      <c r="V214" t="s">
        <v>2031</v>
      </c>
      <c r="W214" t="s">
        <v>54</v>
      </c>
      <c r="X214" t="s">
        <v>54</v>
      </c>
      <c r="Y214" t="s">
        <v>54</v>
      </c>
      <c r="Z214" t="s">
        <v>54</v>
      </c>
      <c r="AA214" t="s">
        <v>54</v>
      </c>
      <c r="AB214" t="s">
        <v>54</v>
      </c>
      <c r="AC214" t="s">
        <v>54</v>
      </c>
      <c r="AD214" t="s">
        <v>54</v>
      </c>
      <c r="AE214" t="s">
        <v>54</v>
      </c>
      <c r="AF214" t="s">
        <v>54</v>
      </c>
      <c r="AG214" t="s">
        <v>54</v>
      </c>
      <c r="AH214" t="s">
        <v>54</v>
      </c>
      <c r="AI214" t="s">
        <v>54</v>
      </c>
      <c r="AJ214" t="s">
        <v>54</v>
      </c>
      <c r="AK214" t="s">
        <v>54</v>
      </c>
      <c r="AL214" t="s">
        <v>54</v>
      </c>
      <c r="AM214" t="s">
        <v>54</v>
      </c>
      <c r="AN214" t="s">
        <v>54</v>
      </c>
      <c r="AO214" t="s">
        <v>54</v>
      </c>
      <c r="AP214" t="s">
        <v>54</v>
      </c>
      <c r="AQ214" t="s">
        <v>54</v>
      </c>
    </row>
    <row r="215" spans="1:43" x14ac:dyDescent="0.25">
      <c r="A215" t="s">
        <v>2032</v>
      </c>
      <c r="B215">
        <v>128</v>
      </c>
      <c r="C215">
        <v>90</v>
      </c>
      <c r="D215" t="s">
        <v>2033</v>
      </c>
      <c r="E215" t="s">
        <v>2034</v>
      </c>
      <c r="F215" t="s">
        <v>1016</v>
      </c>
      <c r="G215" t="s">
        <v>2035</v>
      </c>
      <c r="H215" t="s">
        <v>2036</v>
      </c>
      <c r="I215" t="s">
        <v>52</v>
      </c>
      <c r="J215">
        <v>1</v>
      </c>
      <c r="K215">
        <v>0</v>
      </c>
      <c r="L215">
        <v>2</v>
      </c>
      <c r="M215" t="s">
        <v>2037</v>
      </c>
      <c r="N215">
        <v>66</v>
      </c>
      <c r="O215">
        <v>128</v>
      </c>
      <c r="P215">
        <v>5</v>
      </c>
      <c r="Q215" t="s">
        <v>2038</v>
      </c>
      <c r="R215" t="s">
        <v>1121</v>
      </c>
      <c r="S215">
        <v>21</v>
      </c>
      <c r="T215">
        <v>0</v>
      </c>
      <c r="U215" t="s">
        <v>52</v>
      </c>
      <c r="V215" t="s">
        <v>2039</v>
      </c>
      <c r="W215" t="s">
        <v>54</v>
      </c>
      <c r="X215" t="s">
        <v>54</v>
      </c>
      <c r="Y215" t="s">
        <v>54</v>
      </c>
      <c r="Z215" t="s">
        <v>54</v>
      </c>
      <c r="AA215" t="s">
        <v>54</v>
      </c>
      <c r="AB215" t="s">
        <v>54</v>
      </c>
      <c r="AC215" t="s">
        <v>54</v>
      </c>
      <c r="AD215" t="s">
        <v>54</v>
      </c>
      <c r="AE215" t="s">
        <v>54</v>
      </c>
      <c r="AF215" t="s">
        <v>54</v>
      </c>
      <c r="AG215" t="s">
        <v>54</v>
      </c>
      <c r="AH215" t="s">
        <v>54</v>
      </c>
      <c r="AI215" t="s">
        <v>54</v>
      </c>
      <c r="AJ215" t="s">
        <v>54</v>
      </c>
      <c r="AK215" t="s">
        <v>54</v>
      </c>
      <c r="AL215" t="s">
        <v>54</v>
      </c>
      <c r="AM215" t="s">
        <v>54</v>
      </c>
      <c r="AN215" t="s">
        <v>54</v>
      </c>
      <c r="AO215" t="s">
        <v>54</v>
      </c>
      <c r="AP215" t="s">
        <v>54</v>
      </c>
      <c r="AQ215" t="s">
        <v>54</v>
      </c>
    </row>
    <row r="216" spans="1:43" x14ac:dyDescent="0.25">
      <c r="A216" t="s">
        <v>2040</v>
      </c>
      <c r="B216">
        <v>139</v>
      </c>
      <c r="C216">
        <v>82</v>
      </c>
      <c r="D216" t="s">
        <v>2041</v>
      </c>
      <c r="E216" t="s">
        <v>2042</v>
      </c>
      <c r="F216" t="s">
        <v>1544</v>
      </c>
      <c r="G216" t="s">
        <v>2043</v>
      </c>
      <c r="H216" t="s">
        <v>52</v>
      </c>
      <c r="I216" t="s">
        <v>1203</v>
      </c>
      <c r="J216">
        <v>0</v>
      </c>
      <c r="K216">
        <v>3</v>
      </c>
      <c r="L216">
        <v>3</v>
      </c>
      <c r="M216" t="s">
        <v>2044</v>
      </c>
      <c r="N216">
        <v>68</v>
      </c>
      <c r="O216">
        <v>139</v>
      </c>
      <c r="P216">
        <v>11</v>
      </c>
      <c r="Q216" t="s">
        <v>2045</v>
      </c>
      <c r="R216" t="s">
        <v>1559</v>
      </c>
      <c r="S216">
        <v>12</v>
      </c>
      <c r="T216">
        <v>0</v>
      </c>
      <c r="U216" t="s">
        <v>52</v>
      </c>
      <c r="V216" t="s">
        <v>2046</v>
      </c>
      <c r="W216" t="s">
        <v>54</v>
      </c>
      <c r="X216" t="s">
        <v>54</v>
      </c>
      <c r="Y216" t="s">
        <v>54</v>
      </c>
      <c r="Z216" t="s">
        <v>54</v>
      </c>
      <c r="AA216" t="s">
        <v>54</v>
      </c>
      <c r="AB216" t="s">
        <v>54</v>
      </c>
      <c r="AC216" t="s">
        <v>54</v>
      </c>
      <c r="AD216" t="s">
        <v>54</v>
      </c>
      <c r="AE216" t="s">
        <v>54</v>
      </c>
      <c r="AF216" t="s">
        <v>54</v>
      </c>
      <c r="AG216" t="s">
        <v>54</v>
      </c>
      <c r="AH216" t="s">
        <v>54</v>
      </c>
      <c r="AI216" t="s">
        <v>54</v>
      </c>
      <c r="AJ216" t="s">
        <v>54</v>
      </c>
      <c r="AK216" t="s">
        <v>54</v>
      </c>
      <c r="AL216" t="s">
        <v>54</v>
      </c>
      <c r="AM216" t="s">
        <v>54</v>
      </c>
      <c r="AN216" t="s">
        <v>54</v>
      </c>
      <c r="AO216" t="s">
        <v>54</v>
      </c>
      <c r="AP216" t="s">
        <v>54</v>
      </c>
      <c r="AQ216" t="s">
        <v>54</v>
      </c>
    </row>
    <row r="217" spans="1:43" x14ac:dyDescent="0.25">
      <c r="A217" t="s">
        <v>2047</v>
      </c>
      <c r="B217">
        <v>124</v>
      </c>
      <c r="C217">
        <v>89</v>
      </c>
      <c r="D217" t="s">
        <v>2048</v>
      </c>
      <c r="E217" t="s">
        <v>2049</v>
      </c>
      <c r="F217" t="s">
        <v>1563</v>
      </c>
      <c r="G217" t="s">
        <v>2050</v>
      </c>
      <c r="H217" t="s">
        <v>385</v>
      </c>
      <c r="I217" t="s">
        <v>52</v>
      </c>
      <c r="J217">
        <v>4</v>
      </c>
      <c r="K217">
        <v>0</v>
      </c>
      <c r="L217">
        <v>2</v>
      </c>
      <c r="M217" t="s">
        <v>2051</v>
      </c>
      <c r="N217">
        <v>64</v>
      </c>
      <c r="O217">
        <v>126</v>
      </c>
      <c r="P217">
        <v>1</v>
      </c>
      <c r="Q217" t="s">
        <v>2052</v>
      </c>
      <c r="R217" t="s">
        <v>2053</v>
      </c>
      <c r="S217">
        <v>21</v>
      </c>
      <c r="T217">
        <v>0</v>
      </c>
      <c r="U217" t="s">
        <v>52</v>
      </c>
      <c r="V217" t="s">
        <v>2054</v>
      </c>
      <c r="W217" t="s">
        <v>54</v>
      </c>
      <c r="X217" t="s">
        <v>54</v>
      </c>
      <c r="Y217" t="s">
        <v>54</v>
      </c>
      <c r="Z217" t="s">
        <v>54</v>
      </c>
      <c r="AA217" t="s">
        <v>54</v>
      </c>
      <c r="AB217" t="s">
        <v>54</v>
      </c>
      <c r="AC217" t="s">
        <v>54</v>
      </c>
      <c r="AD217" t="s">
        <v>54</v>
      </c>
      <c r="AE217" t="s">
        <v>54</v>
      </c>
      <c r="AF217" t="s">
        <v>54</v>
      </c>
      <c r="AG217" t="s">
        <v>54</v>
      </c>
      <c r="AH217" t="s">
        <v>54</v>
      </c>
      <c r="AI217" t="s">
        <v>54</v>
      </c>
      <c r="AJ217" t="s">
        <v>54</v>
      </c>
      <c r="AK217" t="s">
        <v>54</v>
      </c>
      <c r="AL217" t="s">
        <v>54</v>
      </c>
      <c r="AM217" t="s">
        <v>54</v>
      </c>
      <c r="AN217" t="s">
        <v>54</v>
      </c>
      <c r="AO217" t="s">
        <v>54</v>
      </c>
      <c r="AP217" t="s">
        <v>54</v>
      </c>
      <c r="AQ217" t="s">
        <v>54</v>
      </c>
    </row>
    <row r="218" spans="1:43" x14ac:dyDescent="0.25">
      <c r="A218" t="s">
        <v>2055</v>
      </c>
      <c r="B218">
        <v>168</v>
      </c>
      <c r="C218">
        <v>115</v>
      </c>
      <c r="D218" t="s">
        <v>1406</v>
      </c>
      <c r="E218" t="s">
        <v>2056</v>
      </c>
      <c r="F218" t="s">
        <v>2057</v>
      </c>
      <c r="G218" t="s">
        <v>2058</v>
      </c>
      <c r="H218" t="s">
        <v>593</v>
      </c>
      <c r="I218" t="s">
        <v>2059</v>
      </c>
      <c r="J218">
        <v>3</v>
      </c>
      <c r="K218">
        <v>5</v>
      </c>
      <c r="L218">
        <v>4</v>
      </c>
      <c r="M218" t="s">
        <v>881</v>
      </c>
      <c r="N218">
        <v>78</v>
      </c>
      <c r="O218">
        <v>169</v>
      </c>
      <c r="P218">
        <v>11</v>
      </c>
      <c r="Q218" t="s">
        <v>2060</v>
      </c>
      <c r="R218" t="s">
        <v>2061</v>
      </c>
      <c r="S218">
        <v>18</v>
      </c>
      <c r="T218">
        <v>0</v>
      </c>
      <c r="U218" t="s">
        <v>52</v>
      </c>
      <c r="V218" t="s">
        <v>2062</v>
      </c>
      <c r="W218" t="s">
        <v>54</v>
      </c>
      <c r="X218" t="s">
        <v>54</v>
      </c>
      <c r="Y218" t="s">
        <v>54</v>
      </c>
      <c r="Z218" t="s">
        <v>54</v>
      </c>
      <c r="AA218" t="s">
        <v>54</v>
      </c>
      <c r="AB218" t="s">
        <v>54</v>
      </c>
      <c r="AC218" t="s">
        <v>54</v>
      </c>
      <c r="AD218" t="s">
        <v>54</v>
      </c>
      <c r="AE218" t="s">
        <v>54</v>
      </c>
      <c r="AF218" t="s">
        <v>54</v>
      </c>
      <c r="AG218" t="s">
        <v>54</v>
      </c>
      <c r="AH218" t="s">
        <v>54</v>
      </c>
      <c r="AI218" t="s">
        <v>54</v>
      </c>
      <c r="AJ218" t="s">
        <v>54</v>
      </c>
      <c r="AK218" t="s">
        <v>54</v>
      </c>
      <c r="AL218" t="s">
        <v>54</v>
      </c>
      <c r="AM218" t="s">
        <v>54</v>
      </c>
      <c r="AN218" t="s">
        <v>54</v>
      </c>
      <c r="AO218" t="s">
        <v>54</v>
      </c>
      <c r="AP218" t="s">
        <v>54</v>
      </c>
      <c r="AQ218" t="s">
        <v>54</v>
      </c>
    </row>
    <row r="219" spans="1:43" x14ac:dyDescent="0.25">
      <c r="A219" t="s">
        <v>2063</v>
      </c>
      <c r="B219">
        <v>73</v>
      </c>
      <c r="C219">
        <v>56</v>
      </c>
      <c r="D219" t="s">
        <v>1027</v>
      </c>
      <c r="E219" t="s">
        <v>2064</v>
      </c>
      <c r="F219" t="s">
        <v>382</v>
      </c>
      <c r="G219" t="s">
        <v>2065</v>
      </c>
      <c r="H219" t="s">
        <v>52</v>
      </c>
      <c r="I219" t="s">
        <v>52</v>
      </c>
      <c r="J219">
        <v>0</v>
      </c>
      <c r="K219">
        <v>0</v>
      </c>
      <c r="L219">
        <v>4</v>
      </c>
      <c r="M219" t="s">
        <v>2066</v>
      </c>
      <c r="N219">
        <v>50</v>
      </c>
      <c r="O219">
        <v>73</v>
      </c>
      <c r="P219">
        <v>9</v>
      </c>
      <c r="Q219" t="s">
        <v>2067</v>
      </c>
      <c r="R219" t="s">
        <v>2068</v>
      </c>
      <c r="S219">
        <v>8</v>
      </c>
      <c r="T219">
        <v>0</v>
      </c>
      <c r="U219" t="s">
        <v>52</v>
      </c>
      <c r="V219" t="s">
        <v>2069</v>
      </c>
      <c r="W219" t="s">
        <v>54</v>
      </c>
      <c r="X219" t="s">
        <v>54</v>
      </c>
      <c r="Y219" t="s">
        <v>54</v>
      </c>
      <c r="Z219" t="s">
        <v>54</v>
      </c>
      <c r="AA219" t="s">
        <v>54</v>
      </c>
      <c r="AB219" t="s">
        <v>54</v>
      </c>
      <c r="AC219" t="s">
        <v>54</v>
      </c>
      <c r="AD219" t="s">
        <v>54</v>
      </c>
      <c r="AE219" t="s">
        <v>54</v>
      </c>
      <c r="AF219" t="s">
        <v>54</v>
      </c>
      <c r="AG219" t="s">
        <v>54</v>
      </c>
      <c r="AH219" t="s">
        <v>54</v>
      </c>
      <c r="AI219" t="s">
        <v>54</v>
      </c>
      <c r="AJ219" t="s">
        <v>54</v>
      </c>
      <c r="AK219" t="s">
        <v>54</v>
      </c>
      <c r="AL219" t="s">
        <v>54</v>
      </c>
      <c r="AM219" t="s">
        <v>54</v>
      </c>
      <c r="AN219" t="s">
        <v>54</v>
      </c>
      <c r="AO219" t="s">
        <v>54</v>
      </c>
      <c r="AP219" t="s">
        <v>54</v>
      </c>
      <c r="AQ219" t="s">
        <v>54</v>
      </c>
    </row>
    <row r="220" spans="1:43" x14ac:dyDescent="0.25">
      <c r="A220" t="s">
        <v>2070</v>
      </c>
      <c r="B220">
        <v>202</v>
      </c>
      <c r="C220">
        <v>130</v>
      </c>
      <c r="D220" t="s">
        <v>2071</v>
      </c>
      <c r="E220" t="s">
        <v>2072</v>
      </c>
      <c r="F220" t="s">
        <v>2073</v>
      </c>
      <c r="G220" t="s">
        <v>2074</v>
      </c>
      <c r="H220" t="s">
        <v>52</v>
      </c>
      <c r="I220" t="s">
        <v>2075</v>
      </c>
      <c r="J220">
        <v>0</v>
      </c>
      <c r="K220">
        <v>1</v>
      </c>
      <c r="L220">
        <v>2</v>
      </c>
      <c r="M220" t="s">
        <v>2076</v>
      </c>
      <c r="N220">
        <v>119</v>
      </c>
      <c r="O220">
        <v>202</v>
      </c>
      <c r="P220">
        <v>9</v>
      </c>
      <c r="Q220" t="s">
        <v>2077</v>
      </c>
      <c r="R220" t="s">
        <v>1541</v>
      </c>
      <c r="S220">
        <v>24</v>
      </c>
      <c r="T220">
        <v>0</v>
      </c>
      <c r="U220" t="s">
        <v>52</v>
      </c>
      <c r="V220" t="s">
        <v>2078</v>
      </c>
      <c r="W220" t="s">
        <v>54</v>
      </c>
      <c r="X220" t="s">
        <v>54</v>
      </c>
      <c r="Y220" t="s">
        <v>54</v>
      </c>
      <c r="Z220" t="s">
        <v>54</v>
      </c>
      <c r="AA220" t="s">
        <v>54</v>
      </c>
      <c r="AB220" t="s">
        <v>54</v>
      </c>
      <c r="AC220" t="s">
        <v>54</v>
      </c>
      <c r="AD220" t="s">
        <v>54</v>
      </c>
      <c r="AE220" t="s">
        <v>54</v>
      </c>
      <c r="AF220" t="s">
        <v>54</v>
      </c>
      <c r="AG220" t="s">
        <v>54</v>
      </c>
      <c r="AH220" t="s">
        <v>54</v>
      </c>
      <c r="AI220" t="s">
        <v>54</v>
      </c>
      <c r="AJ220" t="s">
        <v>54</v>
      </c>
      <c r="AK220" t="s">
        <v>54</v>
      </c>
      <c r="AL220" t="s">
        <v>54</v>
      </c>
      <c r="AM220" t="s">
        <v>54</v>
      </c>
      <c r="AN220" t="s">
        <v>54</v>
      </c>
      <c r="AO220" t="s">
        <v>54</v>
      </c>
      <c r="AP220" t="s">
        <v>54</v>
      </c>
      <c r="AQ220" t="s">
        <v>54</v>
      </c>
    </row>
    <row r="221" spans="1:43" x14ac:dyDescent="0.25">
      <c r="A221" t="s">
        <v>2079</v>
      </c>
      <c r="B221">
        <v>117</v>
      </c>
      <c r="C221">
        <v>85</v>
      </c>
      <c r="D221" t="s">
        <v>2080</v>
      </c>
      <c r="E221" t="s">
        <v>2081</v>
      </c>
      <c r="F221" t="s">
        <v>342</v>
      </c>
      <c r="G221" t="s">
        <v>2082</v>
      </c>
      <c r="H221" t="s">
        <v>2083</v>
      </c>
      <c r="I221" t="s">
        <v>2084</v>
      </c>
      <c r="J221">
        <v>2</v>
      </c>
      <c r="K221">
        <v>1</v>
      </c>
      <c r="L221">
        <v>2</v>
      </c>
      <c r="M221" t="s">
        <v>2085</v>
      </c>
      <c r="N221">
        <v>66</v>
      </c>
      <c r="O221">
        <v>117</v>
      </c>
      <c r="P221">
        <v>15</v>
      </c>
      <c r="Q221" t="s">
        <v>2086</v>
      </c>
      <c r="R221" t="s">
        <v>2087</v>
      </c>
      <c r="S221">
        <v>16</v>
      </c>
      <c r="T221">
        <v>0</v>
      </c>
      <c r="U221" t="s">
        <v>52</v>
      </c>
      <c r="V221" t="s">
        <v>2088</v>
      </c>
      <c r="W221" t="s">
        <v>54</v>
      </c>
      <c r="X221" t="s">
        <v>54</v>
      </c>
      <c r="Y221" t="s">
        <v>54</v>
      </c>
      <c r="Z221" t="s">
        <v>54</v>
      </c>
      <c r="AA221" t="s">
        <v>54</v>
      </c>
      <c r="AB221" t="s">
        <v>54</v>
      </c>
      <c r="AC221" t="s">
        <v>54</v>
      </c>
      <c r="AD221" t="s">
        <v>54</v>
      </c>
      <c r="AE221" t="s">
        <v>54</v>
      </c>
      <c r="AF221" t="s">
        <v>54</v>
      </c>
      <c r="AG221" t="s">
        <v>54</v>
      </c>
      <c r="AH221" t="s">
        <v>54</v>
      </c>
      <c r="AI221" t="s">
        <v>54</v>
      </c>
      <c r="AJ221" t="s">
        <v>54</v>
      </c>
      <c r="AK221" t="s">
        <v>54</v>
      </c>
      <c r="AL221" t="s">
        <v>54</v>
      </c>
      <c r="AM221" t="s">
        <v>54</v>
      </c>
      <c r="AN221" t="s">
        <v>54</v>
      </c>
      <c r="AO221" t="s">
        <v>54</v>
      </c>
      <c r="AP221" t="s">
        <v>54</v>
      </c>
      <c r="AQ221" t="s">
        <v>54</v>
      </c>
    </row>
    <row r="222" spans="1:43" x14ac:dyDescent="0.25">
      <c r="A222" t="s">
        <v>2089</v>
      </c>
      <c r="B222">
        <v>101</v>
      </c>
      <c r="C222">
        <v>76</v>
      </c>
      <c r="D222" t="s">
        <v>2090</v>
      </c>
      <c r="E222" t="s">
        <v>2091</v>
      </c>
      <c r="F222" t="s">
        <v>2092</v>
      </c>
      <c r="G222" t="s">
        <v>2093</v>
      </c>
      <c r="H222" t="s">
        <v>2094</v>
      </c>
      <c r="I222" t="s">
        <v>2094</v>
      </c>
      <c r="J222">
        <v>3</v>
      </c>
      <c r="K222">
        <v>3</v>
      </c>
      <c r="L222">
        <v>3</v>
      </c>
      <c r="M222" t="s">
        <v>2095</v>
      </c>
      <c r="N222">
        <v>58</v>
      </c>
      <c r="O222">
        <v>101</v>
      </c>
      <c r="P222">
        <v>9</v>
      </c>
      <c r="Q222" t="s">
        <v>2096</v>
      </c>
      <c r="R222" t="s">
        <v>1646</v>
      </c>
      <c r="S222">
        <v>12</v>
      </c>
      <c r="T222">
        <v>0</v>
      </c>
      <c r="U222" t="s">
        <v>52</v>
      </c>
      <c r="V222" t="s">
        <v>2097</v>
      </c>
      <c r="W222" t="s">
        <v>54</v>
      </c>
      <c r="X222" t="s">
        <v>54</v>
      </c>
      <c r="Y222" t="s">
        <v>54</v>
      </c>
      <c r="Z222" t="s">
        <v>54</v>
      </c>
      <c r="AA222" t="s">
        <v>54</v>
      </c>
      <c r="AB222" t="s">
        <v>54</v>
      </c>
      <c r="AC222" t="s">
        <v>54</v>
      </c>
      <c r="AD222" t="s">
        <v>54</v>
      </c>
      <c r="AE222" t="s">
        <v>54</v>
      </c>
      <c r="AF222" t="s">
        <v>54</v>
      </c>
      <c r="AG222" t="s">
        <v>54</v>
      </c>
      <c r="AH222" t="s">
        <v>54</v>
      </c>
      <c r="AI222" t="s">
        <v>54</v>
      </c>
      <c r="AJ222" t="s">
        <v>54</v>
      </c>
      <c r="AK222" t="s">
        <v>54</v>
      </c>
      <c r="AL222" t="s">
        <v>54</v>
      </c>
      <c r="AM222" t="s">
        <v>54</v>
      </c>
      <c r="AN222" t="s">
        <v>54</v>
      </c>
      <c r="AO222" t="s">
        <v>54</v>
      </c>
      <c r="AP222" t="s">
        <v>54</v>
      </c>
      <c r="AQ222" t="s">
        <v>54</v>
      </c>
    </row>
    <row r="223" spans="1:43" x14ac:dyDescent="0.25">
      <c r="A223" t="s">
        <v>2098</v>
      </c>
      <c r="B223">
        <v>137</v>
      </c>
      <c r="C223">
        <v>89</v>
      </c>
      <c r="D223" t="s">
        <v>2099</v>
      </c>
      <c r="E223" t="s">
        <v>2100</v>
      </c>
      <c r="F223" t="s">
        <v>2101</v>
      </c>
      <c r="G223" t="s">
        <v>2102</v>
      </c>
      <c r="H223" t="s">
        <v>2103</v>
      </c>
      <c r="I223" t="s">
        <v>52</v>
      </c>
      <c r="J223">
        <v>1</v>
      </c>
      <c r="K223">
        <v>0</v>
      </c>
      <c r="L223">
        <v>3</v>
      </c>
      <c r="M223" t="s">
        <v>2104</v>
      </c>
      <c r="N223">
        <v>86</v>
      </c>
      <c r="O223">
        <v>139</v>
      </c>
      <c r="P223">
        <v>9</v>
      </c>
      <c r="Q223" t="s">
        <v>2105</v>
      </c>
      <c r="R223" t="s">
        <v>446</v>
      </c>
      <c r="S223">
        <v>17</v>
      </c>
      <c r="T223">
        <v>0</v>
      </c>
      <c r="U223" t="s">
        <v>52</v>
      </c>
      <c r="V223" t="s">
        <v>2106</v>
      </c>
      <c r="W223" t="s">
        <v>54</v>
      </c>
      <c r="X223" t="s">
        <v>54</v>
      </c>
      <c r="Y223" t="s">
        <v>54</v>
      </c>
      <c r="Z223" t="s">
        <v>54</v>
      </c>
      <c r="AA223" t="s">
        <v>54</v>
      </c>
      <c r="AB223" t="s">
        <v>54</v>
      </c>
      <c r="AC223" t="s">
        <v>54</v>
      </c>
      <c r="AD223" t="s">
        <v>54</v>
      </c>
      <c r="AE223" t="s">
        <v>54</v>
      </c>
      <c r="AF223" t="s">
        <v>54</v>
      </c>
      <c r="AG223" t="s">
        <v>54</v>
      </c>
      <c r="AH223" t="s">
        <v>54</v>
      </c>
      <c r="AI223" t="s">
        <v>54</v>
      </c>
      <c r="AJ223" t="s">
        <v>54</v>
      </c>
      <c r="AK223" t="s">
        <v>54</v>
      </c>
      <c r="AL223" t="s">
        <v>54</v>
      </c>
      <c r="AM223" t="s">
        <v>54</v>
      </c>
      <c r="AN223" t="s">
        <v>54</v>
      </c>
      <c r="AO223" t="s">
        <v>54</v>
      </c>
      <c r="AP223" t="s">
        <v>54</v>
      </c>
      <c r="AQ223" t="s">
        <v>54</v>
      </c>
    </row>
    <row r="224" spans="1:43" x14ac:dyDescent="0.25">
      <c r="A224" t="s">
        <v>2107</v>
      </c>
      <c r="B224">
        <v>197</v>
      </c>
      <c r="C224">
        <v>135</v>
      </c>
      <c r="D224" t="s">
        <v>2108</v>
      </c>
      <c r="E224" t="s">
        <v>2109</v>
      </c>
      <c r="F224" t="s">
        <v>2110</v>
      </c>
      <c r="G224" t="s">
        <v>2111</v>
      </c>
      <c r="H224" t="s">
        <v>2112</v>
      </c>
      <c r="I224" t="s">
        <v>2113</v>
      </c>
      <c r="J224">
        <v>1</v>
      </c>
      <c r="K224">
        <v>2</v>
      </c>
      <c r="L224">
        <v>3</v>
      </c>
      <c r="M224" t="s">
        <v>2114</v>
      </c>
      <c r="N224">
        <v>105</v>
      </c>
      <c r="O224">
        <v>196</v>
      </c>
      <c r="P224">
        <v>11</v>
      </c>
      <c r="Q224" t="s">
        <v>2115</v>
      </c>
      <c r="R224" t="s">
        <v>2116</v>
      </c>
      <c r="S224">
        <v>26</v>
      </c>
      <c r="T224">
        <v>0</v>
      </c>
      <c r="U224" t="s">
        <v>52</v>
      </c>
      <c r="V224" t="s">
        <v>2117</v>
      </c>
      <c r="W224" t="s">
        <v>54</v>
      </c>
      <c r="X224" t="s">
        <v>54</v>
      </c>
      <c r="Y224" t="s">
        <v>54</v>
      </c>
      <c r="Z224" t="s">
        <v>54</v>
      </c>
      <c r="AA224" t="s">
        <v>54</v>
      </c>
      <c r="AB224" t="s">
        <v>54</v>
      </c>
      <c r="AC224" t="s">
        <v>54</v>
      </c>
      <c r="AD224" t="s">
        <v>54</v>
      </c>
      <c r="AE224" t="s">
        <v>54</v>
      </c>
      <c r="AF224" t="s">
        <v>54</v>
      </c>
      <c r="AG224" t="s">
        <v>54</v>
      </c>
      <c r="AH224" t="s">
        <v>54</v>
      </c>
      <c r="AI224" t="s">
        <v>54</v>
      </c>
      <c r="AJ224" t="s">
        <v>54</v>
      </c>
      <c r="AK224" t="s">
        <v>54</v>
      </c>
      <c r="AL224" t="s">
        <v>54</v>
      </c>
      <c r="AM224" t="s">
        <v>54</v>
      </c>
      <c r="AN224" t="s">
        <v>54</v>
      </c>
      <c r="AO224" t="s">
        <v>54</v>
      </c>
      <c r="AP224" t="s">
        <v>54</v>
      </c>
      <c r="AQ224" t="s">
        <v>54</v>
      </c>
    </row>
    <row r="225" spans="1:43" x14ac:dyDescent="0.25">
      <c r="A225" t="s">
        <v>2118</v>
      </c>
      <c r="B225">
        <v>147</v>
      </c>
      <c r="C225">
        <v>105</v>
      </c>
      <c r="D225" t="s">
        <v>307</v>
      </c>
      <c r="E225" t="s">
        <v>2119</v>
      </c>
      <c r="F225" t="s">
        <v>2120</v>
      </c>
      <c r="G225" t="s">
        <v>2121</v>
      </c>
      <c r="H225" t="s">
        <v>519</v>
      </c>
      <c r="I225" t="s">
        <v>52</v>
      </c>
      <c r="J225">
        <v>1</v>
      </c>
      <c r="K225">
        <v>0</v>
      </c>
      <c r="L225">
        <v>2</v>
      </c>
      <c r="M225" t="s">
        <v>2122</v>
      </c>
      <c r="N225">
        <v>73</v>
      </c>
      <c r="O225">
        <v>148</v>
      </c>
      <c r="P225">
        <v>12</v>
      </c>
      <c r="Q225" t="s">
        <v>2123</v>
      </c>
      <c r="R225" t="s">
        <v>607</v>
      </c>
      <c r="S225">
        <v>21</v>
      </c>
      <c r="T225">
        <v>0</v>
      </c>
      <c r="U225" t="s">
        <v>52</v>
      </c>
      <c r="V225" t="s">
        <v>2124</v>
      </c>
      <c r="W225" t="s">
        <v>54</v>
      </c>
      <c r="X225" t="s">
        <v>54</v>
      </c>
      <c r="Y225" t="s">
        <v>54</v>
      </c>
      <c r="Z225" t="s">
        <v>54</v>
      </c>
      <c r="AA225" t="s">
        <v>54</v>
      </c>
      <c r="AB225" t="s">
        <v>54</v>
      </c>
      <c r="AC225" t="s">
        <v>54</v>
      </c>
      <c r="AD225" t="s">
        <v>54</v>
      </c>
      <c r="AE225" t="s">
        <v>54</v>
      </c>
      <c r="AF225" t="s">
        <v>54</v>
      </c>
      <c r="AG225" t="s">
        <v>54</v>
      </c>
      <c r="AH225" t="s">
        <v>54</v>
      </c>
      <c r="AI225" t="s">
        <v>54</v>
      </c>
      <c r="AJ225" t="s">
        <v>54</v>
      </c>
      <c r="AK225" t="s">
        <v>54</v>
      </c>
      <c r="AL225" t="s">
        <v>54</v>
      </c>
      <c r="AM225" t="s">
        <v>54</v>
      </c>
      <c r="AN225" t="s">
        <v>54</v>
      </c>
      <c r="AO225" t="s">
        <v>54</v>
      </c>
      <c r="AP225" t="s">
        <v>54</v>
      </c>
      <c r="AQ225" t="s">
        <v>54</v>
      </c>
    </row>
    <row r="226" spans="1:43" x14ac:dyDescent="0.25">
      <c r="A226" t="s">
        <v>2125</v>
      </c>
      <c r="B226">
        <v>149</v>
      </c>
      <c r="C226">
        <v>116</v>
      </c>
      <c r="D226" t="s">
        <v>2126</v>
      </c>
      <c r="E226" t="s">
        <v>2127</v>
      </c>
      <c r="F226" t="s">
        <v>2128</v>
      </c>
      <c r="G226" t="s">
        <v>2129</v>
      </c>
      <c r="H226" t="s">
        <v>1000</v>
      </c>
      <c r="I226" t="s">
        <v>52</v>
      </c>
      <c r="J226">
        <v>2</v>
      </c>
      <c r="K226">
        <v>0</v>
      </c>
      <c r="L226">
        <v>2</v>
      </c>
      <c r="M226" t="s">
        <v>2130</v>
      </c>
      <c r="N226">
        <v>94</v>
      </c>
      <c r="O226">
        <v>149</v>
      </c>
      <c r="P226">
        <v>13</v>
      </c>
      <c r="Q226" t="s">
        <v>2131</v>
      </c>
      <c r="R226" t="s">
        <v>1565</v>
      </c>
      <c r="S226">
        <v>8</v>
      </c>
      <c r="T226">
        <v>0</v>
      </c>
      <c r="U226" t="s">
        <v>52</v>
      </c>
      <c r="V226" t="s">
        <v>2132</v>
      </c>
      <c r="W226" t="s">
        <v>54</v>
      </c>
      <c r="X226" t="s">
        <v>54</v>
      </c>
      <c r="Y226" t="s">
        <v>54</v>
      </c>
      <c r="Z226" t="s">
        <v>54</v>
      </c>
      <c r="AA226" t="s">
        <v>54</v>
      </c>
      <c r="AB226" t="s">
        <v>54</v>
      </c>
      <c r="AC226" t="s">
        <v>54</v>
      </c>
      <c r="AD226" t="s">
        <v>54</v>
      </c>
      <c r="AE226" t="s">
        <v>54</v>
      </c>
      <c r="AF226" t="s">
        <v>54</v>
      </c>
      <c r="AG226" t="s">
        <v>54</v>
      </c>
      <c r="AH226" t="s">
        <v>54</v>
      </c>
      <c r="AI226" t="s">
        <v>54</v>
      </c>
      <c r="AJ226" t="s">
        <v>54</v>
      </c>
      <c r="AK226" t="s">
        <v>54</v>
      </c>
      <c r="AL226" t="s">
        <v>54</v>
      </c>
      <c r="AM226" t="s">
        <v>54</v>
      </c>
      <c r="AN226" t="s">
        <v>54</v>
      </c>
      <c r="AO226" t="s">
        <v>54</v>
      </c>
      <c r="AP226" t="s">
        <v>54</v>
      </c>
      <c r="AQ226" t="s">
        <v>54</v>
      </c>
    </row>
    <row r="227" spans="1:43" x14ac:dyDescent="0.25">
      <c r="A227" t="s">
        <v>2133</v>
      </c>
      <c r="B227">
        <v>188</v>
      </c>
      <c r="C227">
        <v>126</v>
      </c>
      <c r="D227" t="s">
        <v>2134</v>
      </c>
      <c r="E227" t="s">
        <v>2135</v>
      </c>
      <c r="F227" t="s">
        <v>2136</v>
      </c>
      <c r="G227" t="s">
        <v>2137</v>
      </c>
      <c r="H227" t="s">
        <v>2138</v>
      </c>
      <c r="I227" t="s">
        <v>2138</v>
      </c>
      <c r="J227">
        <v>1</v>
      </c>
      <c r="K227">
        <v>1</v>
      </c>
      <c r="L227">
        <v>3</v>
      </c>
      <c r="M227" t="s">
        <v>2139</v>
      </c>
      <c r="N227">
        <v>102</v>
      </c>
      <c r="O227">
        <v>188</v>
      </c>
      <c r="P227">
        <v>7</v>
      </c>
      <c r="Q227" t="s">
        <v>2140</v>
      </c>
      <c r="R227" t="s">
        <v>168</v>
      </c>
      <c r="S227">
        <v>21</v>
      </c>
      <c r="T227">
        <v>0</v>
      </c>
      <c r="U227" t="s">
        <v>52</v>
      </c>
      <c r="V227" t="s">
        <v>2141</v>
      </c>
      <c r="W227" t="s">
        <v>54</v>
      </c>
      <c r="X227" t="s">
        <v>54</v>
      </c>
      <c r="Y227" t="s">
        <v>54</v>
      </c>
      <c r="Z227" t="s">
        <v>54</v>
      </c>
      <c r="AA227" t="s">
        <v>54</v>
      </c>
      <c r="AB227" t="s">
        <v>54</v>
      </c>
      <c r="AC227" t="s">
        <v>54</v>
      </c>
      <c r="AD227" t="s">
        <v>54</v>
      </c>
      <c r="AE227" t="s">
        <v>54</v>
      </c>
      <c r="AF227" t="s">
        <v>54</v>
      </c>
      <c r="AG227" t="s">
        <v>54</v>
      </c>
      <c r="AH227" t="s">
        <v>54</v>
      </c>
      <c r="AI227" t="s">
        <v>54</v>
      </c>
      <c r="AJ227" t="s">
        <v>54</v>
      </c>
      <c r="AK227" t="s">
        <v>54</v>
      </c>
      <c r="AL227" t="s">
        <v>54</v>
      </c>
      <c r="AM227" t="s">
        <v>54</v>
      </c>
      <c r="AN227" t="s">
        <v>54</v>
      </c>
      <c r="AO227" t="s">
        <v>54</v>
      </c>
      <c r="AP227" t="s">
        <v>54</v>
      </c>
      <c r="AQ227" t="s">
        <v>54</v>
      </c>
    </row>
    <row r="228" spans="1:43" x14ac:dyDescent="0.25">
      <c r="A228" t="s">
        <v>2142</v>
      </c>
      <c r="B228">
        <v>115</v>
      </c>
      <c r="C228">
        <v>87</v>
      </c>
      <c r="D228" t="s">
        <v>2143</v>
      </c>
      <c r="E228" t="s">
        <v>1125</v>
      </c>
      <c r="F228" t="s">
        <v>2144</v>
      </c>
      <c r="G228" t="s">
        <v>2145</v>
      </c>
      <c r="H228" t="s">
        <v>1128</v>
      </c>
      <c r="I228" t="s">
        <v>1128</v>
      </c>
      <c r="J228">
        <v>1</v>
      </c>
      <c r="K228">
        <v>1</v>
      </c>
      <c r="L228">
        <v>0</v>
      </c>
      <c r="M228" t="s">
        <v>2146</v>
      </c>
      <c r="N228">
        <v>73</v>
      </c>
      <c r="O228">
        <v>115</v>
      </c>
      <c r="P228">
        <v>6</v>
      </c>
      <c r="Q228" t="s">
        <v>2147</v>
      </c>
      <c r="R228" t="s">
        <v>1604</v>
      </c>
      <c r="S228">
        <v>10</v>
      </c>
      <c r="T228">
        <v>0</v>
      </c>
      <c r="U228" t="s">
        <v>52</v>
      </c>
      <c r="V228" t="s">
        <v>2148</v>
      </c>
      <c r="W228" t="s">
        <v>54</v>
      </c>
      <c r="X228" t="s">
        <v>54</v>
      </c>
      <c r="Y228" t="s">
        <v>54</v>
      </c>
      <c r="Z228" t="s">
        <v>54</v>
      </c>
      <c r="AA228" t="s">
        <v>54</v>
      </c>
      <c r="AB228" t="s">
        <v>54</v>
      </c>
      <c r="AC228" t="s">
        <v>54</v>
      </c>
      <c r="AD228" t="s">
        <v>54</v>
      </c>
      <c r="AE228" t="s">
        <v>54</v>
      </c>
      <c r="AF228" t="s">
        <v>54</v>
      </c>
      <c r="AG228" t="s">
        <v>54</v>
      </c>
      <c r="AH228" t="s">
        <v>54</v>
      </c>
      <c r="AI228" t="s">
        <v>54</v>
      </c>
      <c r="AJ228" t="s">
        <v>54</v>
      </c>
      <c r="AK228" t="s">
        <v>54</v>
      </c>
      <c r="AL228" t="s">
        <v>54</v>
      </c>
      <c r="AM228" t="s">
        <v>54</v>
      </c>
      <c r="AN228" t="s">
        <v>54</v>
      </c>
      <c r="AO228" t="s">
        <v>54</v>
      </c>
      <c r="AP228" t="s">
        <v>54</v>
      </c>
      <c r="AQ228" t="s">
        <v>54</v>
      </c>
    </row>
    <row r="229" spans="1:43" x14ac:dyDescent="0.25">
      <c r="A229" t="s">
        <v>2149</v>
      </c>
      <c r="B229">
        <v>135</v>
      </c>
      <c r="C229">
        <v>99</v>
      </c>
      <c r="D229" t="s">
        <v>160</v>
      </c>
      <c r="E229" t="s">
        <v>2150</v>
      </c>
      <c r="F229" t="s">
        <v>2151</v>
      </c>
      <c r="G229" t="s">
        <v>2152</v>
      </c>
      <c r="H229" t="s">
        <v>2153</v>
      </c>
      <c r="I229" t="s">
        <v>52</v>
      </c>
      <c r="J229">
        <v>1</v>
      </c>
      <c r="K229">
        <v>0</v>
      </c>
      <c r="L229">
        <v>4</v>
      </c>
      <c r="M229" t="s">
        <v>2154</v>
      </c>
      <c r="N229">
        <v>100</v>
      </c>
      <c r="O229">
        <v>135</v>
      </c>
      <c r="P229">
        <v>4</v>
      </c>
      <c r="Q229" t="s">
        <v>2155</v>
      </c>
      <c r="R229" t="s">
        <v>1892</v>
      </c>
      <c r="S229">
        <v>11</v>
      </c>
      <c r="T229">
        <v>0</v>
      </c>
      <c r="U229" t="s">
        <v>52</v>
      </c>
      <c r="V229" t="s">
        <v>2156</v>
      </c>
      <c r="W229" t="s">
        <v>54</v>
      </c>
      <c r="X229" t="s">
        <v>54</v>
      </c>
      <c r="Y229" t="s">
        <v>54</v>
      </c>
      <c r="Z229" t="s">
        <v>54</v>
      </c>
      <c r="AA229" t="s">
        <v>54</v>
      </c>
      <c r="AB229" t="s">
        <v>54</v>
      </c>
      <c r="AC229" t="s">
        <v>54</v>
      </c>
      <c r="AD229" t="s">
        <v>54</v>
      </c>
      <c r="AE229" t="s">
        <v>54</v>
      </c>
      <c r="AF229" t="s">
        <v>54</v>
      </c>
      <c r="AG229" t="s">
        <v>54</v>
      </c>
      <c r="AH229" t="s">
        <v>54</v>
      </c>
      <c r="AI229" t="s">
        <v>54</v>
      </c>
      <c r="AJ229" t="s">
        <v>54</v>
      </c>
      <c r="AK229" t="s">
        <v>54</v>
      </c>
      <c r="AL229" t="s">
        <v>54</v>
      </c>
      <c r="AM229" t="s">
        <v>54</v>
      </c>
      <c r="AN229" t="s">
        <v>54</v>
      </c>
      <c r="AO229" t="s">
        <v>54</v>
      </c>
      <c r="AP229" t="s">
        <v>54</v>
      </c>
      <c r="AQ229" t="s">
        <v>54</v>
      </c>
    </row>
    <row r="230" spans="1:43" x14ac:dyDescent="0.25">
      <c r="A230" t="s">
        <v>2157</v>
      </c>
      <c r="B230">
        <v>182</v>
      </c>
      <c r="C230">
        <v>116</v>
      </c>
      <c r="D230" t="s">
        <v>2158</v>
      </c>
      <c r="E230" t="s">
        <v>2159</v>
      </c>
      <c r="F230" t="s">
        <v>2160</v>
      </c>
      <c r="G230" t="s">
        <v>2161</v>
      </c>
      <c r="H230" t="s">
        <v>2162</v>
      </c>
      <c r="I230" t="s">
        <v>2163</v>
      </c>
      <c r="J230">
        <v>7</v>
      </c>
      <c r="K230">
        <v>6</v>
      </c>
      <c r="L230">
        <v>5</v>
      </c>
      <c r="M230" t="s">
        <v>2164</v>
      </c>
      <c r="N230">
        <v>86</v>
      </c>
      <c r="O230">
        <v>181</v>
      </c>
      <c r="P230">
        <v>5</v>
      </c>
      <c r="Q230" t="s">
        <v>2165</v>
      </c>
      <c r="R230" t="s">
        <v>1697</v>
      </c>
      <c r="S230">
        <v>23</v>
      </c>
      <c r="T230">
        <v>0</v>
      </c>
      <c r="U230" t="s">
        <v>52</v>
      </c>
      <c r="V230" t="s">
        <v>2166</v>
      </c>
      <c r="W230" t="s">
        <v>54</v>
      </c>
      <c r="X230" t="s">
        <v>54</v>
      </c>
      <c r="Y230" t="s">
        <v>54</v>
      </c>
      <c r="Z230" t="s">
        <v>54</v>
      </c>
      <c r="AA230" t="s">
        <v>54</v>
      </c>
      <c r="AB230" t="s">
        <v>54</v>
      </c>
      <c r="AC230" t="s">
        <v>54</v>
      </c>
      <c r="AD230" t="s">
        <v>54</v>
      </c>
      <c r="AE230" t="s">
        <v>54</v>
      </c>
      <c r="AF230" t="s">
        <v>54</v>
      </c>
      <c r="AG230" t="s">
        <v>54</v>
      </c>
      <c r="AH230" t="s">
        <v>54</v>
      </c>
      <c r="AI230" t="s">
        <v>54</v>
      </c>
      <c r="AJ230" t="s">
        <v>54</v>
      </c>
      <c r="AK230" t="s">
        <v>54</v>
      </c>
      <c r="AL230" t="s">
        <v>54</v>
      </c>
      <c r="AM230" t="s">
        <v>54</v>
      </c>
      <c r="AN230" t="s">
        <v>54</v>
      </c>
      <c r="AO230" t="s">
        <v>54</v>
      </c>
      <c r="AP230" t="s">
        <v>54</v>
      </c>
      <c r="AQ230" t="s">
        <v>54</v>
      </c>
    </row>
    <row r="231" spans="1:43" x14ac:dyDescent="0.25">
      <c r="A231" t="s">
        <v>2167</v>
      </c>
      <c r="B231">
        <v>163</v>
      </c>
      <c r="C231">
        <v>101</v>
      </c>
      <c r="D231" t="s">
        <v>2168</v>
      </c>
      <c r="E231" t="s">
        <v>2169</v>
      </c>
      <c r="F231" t="s">
        <v>2170</v>
      </c>
      <c r="G231" t="s">
        <v>2171</v>
      </c>
      <c r="H231" t="s">
        <v>1010</v>
      </c>
      <c r="I231" t="s">
        <v>1011</v>
      </c>
      <c r="J231">
        <v>1</v>
      </c>
      <c r="K231">
        <v>2</v>
      </c>
      <c r="L231">
        <v>3</v>
      </c>
      <c r="M231" t="s">
        <v>2172</v>
      </c>
      <c r="N231">
        <v>94</v>
      </c>
      <c r="O231">
        <v>163</v>
      </c>
      <c r="P231">
        <v>6</v>
      </c>
      <c r="Q231" t="s">
        <v>2173</v>
      </c>
      <c r="R231" t="s">
        <v>157</v>
      </c>
      <c r="S231">
        <v>25</v>
      </c>
      <c r="T231">
        <v>0</v>
      </c>
      <c r="U231" t="s">
        <v>52</v>
      </c>
      <c r="V231" t="s">
        <v>2174</v>
      </c>
      <c r="W231" t="s">
        <v>54</v>
      </c>
      <c r="X231" t="s">
        <v>54</v>
      </c>
      <c r="Y231" t="s">
        <v>54</v>
      </c>
      <c r="Z231" t="s">
        <v>54</v>
      </c>
      <c r="AA231" t="s">
        <v>54</v>
      </c>
      <c r="AB231" t="s">
        <v>54</v>
      </c>
      <c r="AC231" t="s">
        <v>54</v>
      </c>
      <c r="AD231" t="s">
        <v>54</v>
      </c>
      <c r="AE231" t="s">
        <v>54</v>
      </c>
      <c r="AF231" t="s">
        <v>54</v>
      </c>
      <c r="AG231" t="s">
        <v>54</v>
      </c>
      <c r="AH231" t="s">
        <v>54</v>
      </c>
      <c r="AI231" t="s">
        <v>54</v>
      </c>
      <c r="AJ231" t="s">
        <v>54</v>
      </c>
      <c r="AK231" t="s">
        <v>54</v>
      </c>
      <c r="AL231" t="s">
        <v>54</v>
      </c>
      <c r="AM231" t="s">
        <v>54</v>
      </c>
      <c r="AN231" t="s">
        <v>54</v>
      </c>
      <c r="AO231" t="s">
        <v>54</v>
      </c>
      <c r="AP231" t="s">
        <v>54</v>
      </c>
      <c r="AQ231" t="s">
        <v>54</v>
      </c>
    </row>
    <row r="232" spans="1:43" x14ac:dyDescent="0.25">
      <c r="A232" t="s">
        <v>2175</v>
      </c>
      <c r="B232">
        <v>110</v>
      </c>
      <c r="C232">
        <v>93</v>
      </c>
      <c r="D232" t="s">
        <v>2176</v>
      </c>
      <c r="E232" t="s">
        <v>2177</v>
      </c>
      <c r="F232" t="s">
        <v>2178</v>
      </c>
      <c r="G232" t="s">
        <v>2179</v>
      </c>
      <c r="H232" t="s">
        <v>344</v>
      </c>
      <c r="I232" t="s">
        <v>2180</v>
      </c>
      <c r="J232">
        <v>1</v>
      </c>
      <c r="K232">
        <v>2</v>
      </c>
      <c r="L232">
        <v>2</v>
      </c>
      <c r="M232" t="s">
        <v>2181</v>
      </c>
      <c r="N232">
        <v>67</v>
      </c>
      <c r="O232">
        <v>110</v>
      </c>
      <c r="P232">
        <v>8</v>
      </c>
      <c r="Q232" t="s">
        <v>2182</v>
      </c>
      <c r="R232" t="s">
        <v>2183</v>
      </c>
      <c r="S232">
        <v>10</v>
      </c>
      <c r="T232">
        <v>0</v>
      </c>
      <c r="U232" t="s">
        <v>52</v>
      </c>
      <c r="V232" t="s">
        <v>2184</v>
      </c>
      <c r="W232" t="s">
        <v>54</v>
      </c>
      <c r="X232" t="s">
        <v>54</v>
      </c>
      <c r="Y232" t="s">
        <v>54</v>
      </c>
      <c r="Z232" t="s">
        <v>54</v>
      </c>
      <c r="AA232" t="s">
        <v>54</v>
      </c>
      <c r="AB232" t="s">
        <v>54</v>
      </c>
      <c r="AC232" t="s">
        <v>54</v>
      </c>
      <c r="AD232" t="s">
        <v>54</v>
      </c>
      <c r="AE232" t="s">
        <v>54</v>
      </c>
      <c r="AF232" t="s">
        <v>54</v>
      </c>
      <c r="AG232" t="s">
        <v>54</v>
      </c>
      <c r="AH232" t="s">
        <v>54</v>
      </c>
      <c r="AI232" t="s">
        <v>54</v>
      </c>
      <c r="AJ232" t="s">
        <v>54</v>
      </c>
      <c r="AK232" t="s">
        <v>54</v>
      </c>
      <c r="AL232" t="s">
        <v>54</v>
      </c>
      <c r="AM232" t="s">
        <v>54</v>
      </c>
      <c r="AN232" t="s">
        <v>54</v>
      </c>
      <c r="AO232" t="s">
        <v>54</v>
      </c>
      <c r="AP232" t="s">
        <v>54</v>
      </c>
      <c r="AQ232" t="s">
        <v>54</v>
      </c>
    </row>
    <row r="233" spans="1:43" x14ac:dyDescent="0.25">
      <c r="A233" t="s">
        <v>2185</v>
      </c>
      <c r="B233">
        <v>166</v>
      </c>
      <c r="C233">
        <v>126</v>
      </c>
      <c r="D233" t="s">
        <v>1310</v>
      </c>
      <c r="E233" t="s">
        <v>2186</v>
      </c>
      <c r="F233" t="s">
        <v>1399</v>
      </c>
      <c r="G233" t="s">
        <v>2187</v>
      </c>
      <c r="H233" t="s">
        <v>2188</v>
      </c>
      <c r="I233" t="s">
        <v>2188</v>
      </c>
      <c r="J233">
        <v>4</v>
      </c>
      <c r="K233">
        <v>4</v>
      </c>
      <c r="L233">
        <v>1</v>
      </c>
      <c r="M233" t="s">
        <v>2189</v>
      </c>
      <c r="N233">
        <v>96</v>
      </c>
      <c r="O233">
        <v>166</v>
      </c>
      <c r="P233">
        <v>17</v>
      </c>
      <c r="Q233" t="s">
        <v>2190</v>
      </c>
      <c r="R233" t="s">
        <v>1441</v>
      </c>
      <c r="S233">
        <v>13</v>
      </c>
      <c r="T233">
        <v>0</v>
      </c>
      <c r="U233" t="s">
        <v>52</v>
      </c>
      <c r="V233" t="s">
        <v>2191</v>
      </c>
      <c r="W233" t="s">
        <v>54</v>
      </c>
      <c r="X233" t="s">
        <v>54</v>
      </c>
      <c r="Y233" t="s">
        <v>54</v>
      </c>
      <c r="Z233" t="s">
        <v>54</v>
      </c>
      <c r="AA233" t="s">
        <v>54</v>
      </c>
      <c r="AB233" t="s">
        <v>54</v>
      </c>
      <c r="AC233" t="s">
        <v>54</v>
      </c>
      <c r="AD233" t="s">
        <v>54</v>
      </c>
      <c r="AE233" t="s">
        <v>54</v>
      </c>
      <c r="AF233" t="s">
        <v>54</v>
      </c>
      <c r="AG233" t="s">
        <v>54</v>
      </c>
      <c r="AH233" t="s">
        <v>54</v>
      </c>
      <c r="AI233" t="s">
        <v>54</v>
      </c>
      <c r="AJ233" t="s">
        <v>54</v>
      </c>
      <c r="AK233" t="s">
        <v>54</v>
      </c>
      <c r="AL233" t="s">
        <v>54</v>
      </c>
      <c r="AM233" t="s">
        <v>54</v>
      </c>
      <c r="AN233" t="s">
        <v>54</v>
      </c>
      <c r="AO233" t="s">
        <v>54</v>
      </c>
      <c r="AP233" t="s">
        <v>54</v>
      </c>
      <c r="AQ233" t="s">
        <v>54</v>
      </c>
    </row>
    <row r="234" spans="1:43" x14ac:dyDescent="0.25">
      <c r="A234" t="s">
        <v>2192</v>
      </c>
      <c r="B234">
        <v>158</v>
      </c>
      <c r="C234">
        <v>111</v>
      </c>
      <c r="D234" t="s">
        <v>2193</v>
      </c>
      <c r="E234" t="s">
        <v>2194</v>
      </c>
      <c r="F234" t="s">
        <v>2195</v>
      </c>
      <c r="G234" t="s">
        <v>2196</v>
      </c>
      <c r="H234" t="s">
        <v>2197</v>
      </c>
      <c r="I234" t="s">
        <v>2198</v>
      </c>
      <c r="J234">
        <v>3</v>
      </c>
      <c r="K234">
        <v>10</v>
      </c>
      <c r="L234">
        <v>4</v>
      </c>
      <c r="M234" t="s">
        <v>760</v>
      </c>
      <c r="N234">
        <v>79</v>
      </c>
      <c r="O234">
        <v>158</v>
      </c>
      <c r="P234">
        <v>22</v>
      </c>
      <c r="Q234" t="s">
        <v>2199</v>
      </c>
      <c r="R234" t="s">
        <v>1276</v>
      </c>
      <c r="S234">
        <v>18</v>
      </c>
      <c r="T234">
        <v>0</v>
      </c>
      <c r="U234" t="s">
        <v>52</v>
      </c>
      <c r="V234" t="s">
        <v>2200</v>
      </c>
      <c r="W234" t="s">
        <v>54</v>
      </c>
      <c r="X234" t="s">
        <v>54</v>
      </c>
      <c r="Y234" t="s">
        <v>54</v>
      </c>
      <c r="Z234" t="s">
        <v>54</v>
      </c>
      <c r="AA234" t="s">
        <v>54</v>
      </c>
      <c r="AB234" t="s">
        <v>54</v>
      </c>
      <c r="AC234" t="s">
        <v>54</v>
      </c>
      <c r="AD234" t="s">
        <v>54</v>
      </c>
      <c r="AE234" t="s">
        <v>54</v>
      </c>
      <c r="AF234" t="s">
        <v>54</v>
      </c>
      <c r="AG234" t="s">
        <v>54</v>
      </c>
      <c r="AH234" t="s">
        <v>54</v>
      </c>
      <c r="AI234" t="s">
        <v>54</v>
      </c>
      <c r="AJ234" t="s">
        <v>54</v>
      </c>
      <c r="AK234" t="s">
        <v>54</v>
      </c>
      <c r="AL234" t="s">
        <v>54</v>
      </c>
      <c r="AM234" t="s">
        <v>54</v>
      </c>
      <c r="AN234" t="s">
        <v>54</v>
      </c>
      <c r="AO234" t="s">
        <v>54</v>
      </c>
      <c r="AP234" t="s">
        <v>54</v>
      </c>
      <c r="AQ234" t="s">
        <v>54</v>
      </c>
    </row>
    <row r="235" spans="1:43" x14ac:dyDescent="0.25">
      <c r="A235" t="s">
        <v>2201</v>
      </c>
      <c r="B235">
        <v>153</v>
      </c>
      <c r="C235">
        <v>113</v>
      </c>
      <c r="D235" t="s">
        <v>2202</v>
      </c>
      <c r="E235" t="s">
        <v>2203</v>
      </c>
      <c r="F235" t="s">
        <v>856</v>
      </c>
      <c r="G235" t="s">
        <v>2204</v>
      </c>
      <c r="H235" t="s">
        <v>582</v>
      </c>
      <c r="I235" t="s">
        <v>2205</v>
      </c>
      <c r="J235">
        <v>5</v>
      </c>
      <c r="K235">
        <v>4</v>
      </c>
      <c r="L235">
        <v>5</v>
      </c>
      <c r="M235" t="s">
        <v>2206</v>
      </c>
      <c r="N235">
        <v>89</v>
      </c>
      <c r="O235">
        <v>154</v>
      </c>
      <c r="P235">
        <v>13</v>
      </c>
      <c r="Q235" t="s">
        <v>2207</v>
      </c>
      <c r="R235" t="s">
        <v>2208</v>
      </c>
      <c r="S235">
        <v>12</v>
      </c>
      <c r="T235">
        <v>0</v>
      </c>
      <c r="U235" t="s">
        <v>52</v>
      </c>
      <c r="V235" t="s">
        <v>2209</v>
      </c>
      <c r="W235" t="s">
        <v>54</v>
      </c>
      <c r="X235" t="s">
        <v>54</v>
      </c>
      <c r="Y235" t="s">
        <v>54</v>
      </c>
      <c r="Z235" t="s">
        <v>54</v>
      </c>
      <c r="AA235" t="s">
        <v>54</v>
      </c>
      <c r="AB235" t="s">
        <v>54</v>
      </c>
      <c r="AC235" t="s">
        <v>54</v>
      </c>
      <c r="AD235" t="s">
        <v>54</v>
      </c>
      <c r="AE235" t="s">
        <v>54</v>
      </c>
      <c r="AF235" t="s">
        <v>54</v>
      </c>
      <c r="AG235" t="s">
        <v>54</v>
      </c>
      <c r="AH235" t="s">
        <v>54</v>
      </c>
      <c r="AI235" t="s">
        <v>54</v>
      </c>
      <c r="AJ235" t="s">
        <v>54</v>
      </c>
      <c r="AK235" t="s">
        <v>54</v>
      </c>
      <c r="AL235" t="s">
        <v>54</v>
      </c>
      <c r="AM235" t="s">
        <v>54</v>
      </c>
      <c r="AN235" t="s">
        <v>54</v>
      </c>
      <c r="AO235" t="s">
        <v>54</v>
      </c>
      <c r="AP235" t="s">
        <v>54</v>
      </c>
      <c r="AQ235" t="s">
        <v>54</v>
      </c>
    </row>
    <row r="236" spans="1:43" x14ac:dyDescent="0.25">
      <c r="A236" t="s">
        <v>2210</v>
      </c>
      <c r="B236">
        <v>176</v>
      </c>
      <c r="C236">
        <v>118</v>
      </c>
      <c r="D236" t="s">
        <v>2211</v>
      </c>
      <c r="E236" t="s">
        <v>2212</v>
      </c>
      <c r="F236" t="s">
        <v>643</v>
      </c>
      <c r="G236" t="s">
        <v>2213</v>
      </c>
      <c r="H236" t="s">
        <v>2214</v>
      </c>
      <c r="I236" t="s">
        <v>52</v>
      </c>
      <c r="J236">
        <v>1</v>
      </c>
      <c r="K236">
        <v>0</v>
      </c>
      <c r="L236">
        <v>2</v>
      </c>
      <c r="M236" t="s">
        <v>2215</v>
      </c>
      <c r="N236">
        <v>93</v>
      </c>
      <c r="O236">
        <v>176</v>
      </c>
      <c r="P236">
        <v>11</v>
      </c>
      <c r="Q236" t="s">
        <v>1686</v>
      </c>
      <c r="R236" t="s">
        <v>2216</v>
      </c>
      <c r="S236">
        <v>19</v>
      </c>
      <c r="T236">
        <v>0</v>
      </c>
      <c r="U236" t="s">
        <v>52</v>
      </c>
      <c r="V236" t="s">
        <v>2217</v>
      </c>
      <c r="W236" t="s">
        <v>54</v>
      </c>
      <c r="X236" t="s">
        <v>54</v>
      </c>
      <c r="Y236" t="s">
        <v>54</v>
      </c>
      <c r="Z236" t="s">
        <v>54</v>
      </c>
      <c r="AA236" t="s">
        <v>54</v>
      </c>
      <c r="AB236" t="s">
        <v>54</v>
      </c>
      <c r="AC236" t="s">
        <v>54</v>
      </c>
      <c r="AD236" t="s">
        <v>54</v>
      </c>
      <c r="AE236" t="s">
        <v>54</v>
      </c>
      <c r="AF236" t="s">
        <v>54</v>
      </c>
      <c r="AG236" t="s">
        <v>54</v>
      </c>
      <c r="AH236" t="s">
        <v>54</v>
      </c>
      <c r="AI236" t="s">
        <v>54</v>
      </c>
      <c r="AJ236" t="s">
        <v>54</v>
      </c>
      <c r="AK236" t="s">
        <v>54</v>
      </c>
      <c r="AL236" t="s">
        <v>54</v>
      </c>
      <c r="AM236" t="s">
        <v>54</v>
      </c>
      <c r="AN236" t="s">
        <v>54</v>
      </c>
      <c r="AO236" t="s">
        <v>54</v>
      </c>
      <c r="AP236" t="s">
        <v>54</v>
      </c>
      <c r="AQ236" t="s">
        <v>54</v>
      </c>
    </row>
    <row r="237" spans="1:43" x14ac:dyDescent="0.25">
      <c r="A237" t="s">
        <v>2218</v>
      </c>
      <c r="B237">
        <v>89</v>
      </c>
      <c r="C237">
        <v>67</v>
      </c>
      <c r="D237" t="s">
        <v>2219</v>
      </c>
      <c r="E237" t="s">
        <v>2220</v>
      </c>
      <c r="F237" t="s">
        <v>2221</v>
      </c>
      <c r="G237" t="s">
        <v>2222</v>
      </c>
      <c r="H237" t="s">
        <v>325</v>
      </c>
      <c r="I237" t="s">
        <v>2223</v>
      </c>
      <c r="J237">
        <v>1</v>
      </c>
      <c r="K237">
        <v>5</v>
      </c>
      <c r="L237">
        <v>2</v>
      </c>
      <c r="M237" t="s">
        <v>2224</v>
      </c>
      <c r="N237">
        <v>52</v>
      </c>
      <c r="O237">
        <v>89</v>
      </c>
      <c r="P237">
        <v>9</v>
      </c>
      <c r="Q237" t="s">
        <v>2225</v>
      </c>
      <c r="R237" t="s">
        <v>1646</v>
      </c>
      <c r="S237">
        <v>12</v>
      </c>
      <c r="T237">
        <v>0</v>
      </c>
      <c r="U237" t="s">
        <v>52</v>
      </c>
      <c r="V237" t="s">
        <v>2226</v>
      </c>
      <c r="W237" t="s">
        <v>54</v>
      </c>
      <c r="X237" t="s">
        <v>54</v>
      </c>
      <c r="Y237" t="s">
        <v>54</v>
      </c>
      <c r="Z237" t="s">
        <v>54</v>
      </c>
      <c r="AA237" t="s">
        <v>54</v>
      </c>
      <c r="AB237" t="s">
        <v>54</v>
      </c>
      <c r="AC237" t="s">
        <v>54</v>
      </c>
      <c r="AD237" t="s">
        <v>54</v>
      </c>
      <c r="AE237" t="s">
        <v>54</v>
      </c>
      <c r="AF237" t="s">
        <v>54</v>
      </c>
      <c r="AG237" t="s">
        <v>54</v>
      </c>
      <c r="AH237" t="s">
        <v>54</v>
      </c>
      <c r="AI237" t="s">
        <v>54</v>
      </c>
      <c r="AJ237" t="s">
        <v>54</v>
      </c>
      <c r="AK237" t="s">
        <v>54</v>
      </c>
      <c r="AL237" t="s">
        <v>54</v>
      </c>
      <c r="AM237" t="s">
        <v>54</v>
      </c>
      <c r="AN237" t="s">
        <v>54</v>
      </c>
      <c r="AO237" t="s">
        <v>54</v>
      </c>
      <c r="AP237" t="s">
        <v>54</v>
      </c>
      <c r="AQ237" t="s">
        <v>54</v>
      </c>
    </row>
    <row r="238" spans="1:43" x14ac:dyDescent="0.25">
      <c r="A238" t="s">
        <v>2227</v>
      </c>
      <c r="B238">
        <v>142</v>
      </c>
      <c r="C238">
        <v>102</v>
      </c>
      <c r="D238" t="s">
        <v>1084</v>
      </c>
      <c r="E238" t="s">
        <v>2228</v>
      </c>
      <c r="F238" t="s">
        <v>1016</v>
      </c>
      <c r="G238" t="s">
        <v>2229</v>
      </c>
      <c r="H238" t="s">
        <v>2230</v>
      </c>
      <c r="I238" t="s">
        <v>704</v>
      </c>
      <c r="J238">
        <v>8</v>
      </c>
      <c r="K238">
        <v>2</v>
      </c>
      <c r="L238">
        <v>3</v>
      </c>
      <c r="M238" t="s">
        <v>2231</v>
      </c>
      <c r="N238">
        <v>74</v>
      </c>
      <c r="O238">
        <v>142</v>
      </c>
      <c r="P238">
        <v>7</v>
      </c>
      <c r="Q238" t="s">
        <v>1080</v>
      </c>
      <c r="R238" t="s">
        <v>1704</v>
      </c>
      <c r="S238">
        <v>25</v>
      </c>
      <c r="T238">
        <v>0</v>
      </c>
      <c r="U238" t="s">
        <v>52</v>
      </c>
      <c r="V238" t="s">
        <v>2232</v>
      </c>
      <c r="W238" t="s">
        <v>54</v>
      </c>
      <c r="X238" t="s">
        <v>54</v>
      </c>
      <c r="Y238" t="s">
        <v>54</v>
      </c>
      <c r="Z238" t="s">
        <v>54</v>
      </c>
      <c r="AA238" t="s">
        <v>54</v>
      </c>
      <c r="AB238" t="s">
        <v>54</v>
      </c>
      <c r="AC238" t="s">
        <v>54</v>
      </c>
      <c r="AD238" t="s">
        <v>54</v>
      </c>
      <c r="AE238" t="s">
        <v>54</v>
      </c>
      <c r="AF238" t="s">
        <v>54</v>
      </c>
      <c r="AG238" t="s">
        <v>54</v>
      </c>
      <c r="AH238" t="s">
        <v>54</v>
      </c>
      <c r="AI238" t="s">
        <v>54</v>
      </c>
      <c r="AJ238" t="s">
        <v>54</v>
      </c>
      <c r="AK238" t="s">
        <v>54</v>
      </c>
      <c r="AL238" t="s">
        <v>54</v>
      </c>
      <c r="AM238" t="s">
        <v>54</v>
      </c>
      <c r="AN238" t="s">
        <v>54</v>
      </c>
      <c r="AO238" t="s">
        <v>54</v>
      </c>
      <c r="AP238" t="s">
        <v>54</v>
      </c>
      <c r="AQ238" t="s">
        <v>54</v>
      </c>
    </row>
    <row r="239" spans="1:43" x14ac:dyDescent="0.25">
      <c r="A239" t="s">
        <v>2233</v>
      </c>
      <c r="B239">
        <v>186</v>
      </c>
      <c r="C239">
        <v>122</v>
      </c>
      <c r="D239" t="s">
        <v>2234</v>
      </c>
      <c r="E239" t="s">
        <v>2235</v>
      </c>
      <c r="F239" t="s">
        <v>1902</v>
      </c>
      <c r="G239" t="s">
        <v>2236</v>
      </c>
      <c r="H239" t="s">
        <v>2237</v>
      </c>
      <c r="I239" t="s">
        <v>2237</v>
      </c>
      <c r="J239">
        <v>1</v>
      </c>
      <c r="K239">
        <v>1</v>
      </c>
      <c r="L239">
        <v>3</v>
      </c>
      <c r="M239" t="s">
        <v>2238</v>
      </c>
      <c r="N239">
        <v>104</v>
      </c>
      <c r="O239">
        <v>186</v>
      </c>
      <c r="P239">
        <v>12</v>
      </c>
      <c r="Q239" t="s">
        <v>2239</v>
      </c>
      <c r="R239" t="s">
        <v>489</v>
      </c>
      <c r="S239">
        <v>30</v>
      </c>
      <c r="T239">
        <v>1</v>
      </c>
      <c r="U239" t="s">
        <v>2240</v>
      </c>
      <c r="V239" t="s">
        <v>2241</v>
      </c>
      <c r="W239" t="s">
        <v>54</v>
      </c>
      <c r="X239" t="s">
        <v>54</v>
      </c>
      <c r="Y239" t="s">
        <v>54</v>
      </c>
      <c r="Z239" t="s">
        <v>54</v>
      </c>
      <c r="AA239" t="s">
        <v>54</v>
      </c>
      <c r="AB239" t="s">
        <v>54</v>
      </c>
      <c r="AC239" t="s">
        <v>54</v>
      </c>
      <c r="AD239" t="s">
        <v>54</v>
      </c>
      <c r="AE239" t="s">
        <v>54</v>
      </c>
      <c r="AF239" t="s">
        <v>54</v>
      </c>
      <c r="AG239" t="s">
        <v>54</v>
      </c>
      <c r="AH239" t="s">
        <v>54</v>
      </c>
      <c r="AI239" t="s">
        <v>54</v>
      </c>
      <c r="AJ239" t="s">
        <v>54</v>
      </c>
      <c r="AK239" t="s">
        <v>54</v>
      </c>
      <c r="AL239" t="s">
        <v>54</v>
      </c>
      <c r="AM239" t="s">
        <v>54</v>
      </c>
      <c r="AN239" t="s">
        <v>54</v>
      </c>
      <c r="AO239" t="s">
        <v>54</v>
      </c>
      <c r="AP239" t="s">
        <v>54</v>
      </c>
      <c r="AQ239" t="s">
        <v>54</v>
      </c>
    </row>
    <row r="240" spans="1:43" x14ac:dyDescent="0.25">
      <c r="A240" t="s">
        <v>2242</v>
      </c>
      <c r="B240">
        <v>183</v>
      </c>
      <c r="C240">
        <v>124</v>
      </c>
      <c r="D240" t="s">
        <v>2243</v>
      </c>
      <c r="E240" t="s">
        <v>2244</v>
      </c>
      <c r="F240" t="s">
        <v>2245</v>
      </c>
      <c r="G240" t="s">
        <v>2246</v>
      </c>
      <c r="H240" t="s">
        <v>2247</v>
      </c>
      <c r="I240" t="s">
        <v>2248</v>
      </c>
      <c r="J240">
        <v>5</v>
      </c>
      <c r="K240">
        <v>1</v>
      </c>
      <c r="L240">
        <v>4</v>
      </c>
      <c r="M240" t="s">
        <v>2249</v>
      </c>
      <c r="N240">
        <v>104</v>
      </c>
      <c r="O240">
        <v>184</v>
      </c>
      <c r="P240">
        <v>6</v>
      </c>
      <c r="Q240" t="s">
        <v>2250</v>
      </c>
      <c r="R240" t="s">
        <v>209</v>
      </c>
      <c r="S240">
        <v>24</v>
      </c>
      <c r="T240">
        <v>0</v>
      </c>
      <c r="U240" t="s">
        <v>52</v>
      </c>
      <c r="V240" t="s">
        <v>2251</v>
      </c>
      <c r="W240" t="s">
        <v>54</v>
      </c>
      <c r="X240" t="s">
        <v>54</v>
      </c>
      <c r="Y240" t="s">
        <v>54</v>
      </c>
      <c r="Z240" t="s">
        <v>54</v>
      </c>
      <c r="AA240" t="s">
        <v>54</v>
      </c>
      <c r="AB240" t="s">
        <v>54</v>
      </c>
      <c r="AC240" t="s">
        <v>54</v>
      </c>
      <c r="AD240" t="s">
        <v>54</v>
      </c>
      <c r="AE240" t="s">
        <v>54</v>
      </c>
      <c r="AF240" t="s">
        <v>54</v>
      </c>
      <c r="AG240" t="s">
        <v>54</v>
      </c>
      <c r="AH240" t="s">
        <v>54</v>
      </c>
      <c r="AI240" t="s">
        <v>54</v>
      </c>
      <c r="AJ240" t="s">
        <v>54</v>
      </c>
      <c r="AK240" t="s">
        <v>54</v>
      </c>
      <c r="AL240" t="s">
        <v>54</v>
      </c>
      <c r="AM240" t="s">
        <v>54</v>
      </c>
      <c r="AN240" t="s">
        <v>54</v>
      </c>
      <c r="AO240" t="s">
        <v>54</v>
      </c>
      <c r="AP240" t="s">
        <v>54</v>
      </c>
      <c r="AQ240" t="s">
        <v>54</v>
      </c>
    </row>
    <row r="241" spans="1:43" x14ac:dyDescent="0.25">
      <c r="A241" t="s">
        <v>2252</v>
      </c>
      <c r="B241">
        <v>244</v>
      </c>
      <c r="C241">
        <v>158</v>
      </c>
      <c r="D241" t="s">
        <v>2253</v>
      </c>
      <c r="E241" t="s">
        <v>2254</v>
      </c>
      <c r="F241" t="s">
        <v>2255</v>
      </c>
      <c r="G241" t="s">
        <v>2256</v>
      </c>
      <c r="H241" t="s">
        <v>2257</v>
      </c>
      <c r="I241" t="s">
        <v>48</v>
      </c>
      <c r="J241">
        <v>7</v>
      </c>
      <c r="K241">
        <v>4</v>
      </c>
      <c r="L241">
        <v>3</v>
      </c>
      <c r="M241" t="s">
        <v>2258</v>
      </c>
      <c r="N241">
        <v>129</v>
      </c>
      <c r="O241">
        <v>247</v>
      </c>
      <c r="P241">
        <v>14</v>
      </c>
      <c r="Q241" t="s">
        <v>2259</v>
      </c>
      <c r="R241" t="s">
        <v>2260</v>
      </c>
      <c r="S241">
        <v>37</v>
      </c>
      <c r="T241">
        <v>0</v>
      </c>
      <c r="U241" t="s">
        <v>52</v>
      </c>
      <c r="V241" t="s">
        <v>2261</v>
      </c>
      <c r="W241" t="s">
        <v>54</v>
      </c>
      <c r="X241" t="s">
        <v>54</v>
      </c>
      <c r="Y241" t="s">
        <v>54</v>
      </c>
      <c r="Z241" t="s">
        <v>54</v>
      </c>
      <c r="AA241" t="s">
        <v>54</v>
      </c>
      <c r="AB241" t="s">
        <v>54</v>
      </c>
      <c r="AC241" t="s">
        <v>54</v>
      </c>
      <c r="AD241" t="s">
        <v>54</v>
      </c>
      <c r="AE241" t="s">
        <v>54</v>
      </c>
      <c r="AF241" t="s">
        <v>54</v>
      </c>
      <c r="AG241" t="s">
        <v>54</v>
      </c>
      <c r="AH241" t="s">
        <v>54</v>
      </c>
      <c r="AI241" t="s">
        <v>54</v>
      </c>
      <c r="AJ241" t="s">
        <v>54</v>
      </c>
      <c r="AK241" t="s">
        <v>54</v>
      </c>
      <c r="AL241" t="s">
        <v>54</v>
      </c>
      <c r="AM241" t="s">
        <v>54</v>
      </c>
      <c r="AN241" t="s">
        <v>54</v>
      </c>
      <c r="AO241" t="s">
        <v>54</v>
      </c>
      <c r="AP241" t="s">
        <v>54</v>
      </c>
      <c r="AQ241" t="s">
        <v>54</v>
      </c>
    </row>
    <row r="242" spans="1:43" x14ac:dyDescent="0.25">
      <c r="A242" t="s">
        <v>2262</v>
      </c>
      <c r="B242">
        <v>207</v>
      </c>
      <c r="C242">
        <v>127</v>
      </c>
      <c r="D242" t="s">
        <v>2263</v>
      </c>
      <c r="E242" t="s">
        <v>2249</v>
      </c>
      <c r="F242" t="s">
        <v>1210</v>
      </c>
      <c r="G242" t="s">
        <v>2264</v>
      </c>
      <c r="H242" t="s">
        <v>536</v>
      </c>
      <c r="I242" t="s">
        <v>536</v>
      </c>
      <c r="J242">
        <v>3</v>
      </c>
      <c r="K242">
        <v>3</v>
      </c>
      <c r="L242">
        <v>4</v>
      </c>
      <c r="M242" t="s">
        <v>1225</v>
      </c>
      <c r="N242">
        <v>112</v>
      </c>
      <c r="O242">
        <v>207</v>
      </c>
      <c r="P242">
        <v>21</v>
      </c>
      <c r="Q242" t="s">
        <v>2265</v>
      </c>
      <c r="R242" t="s">
        <v>2266</v>
      </c>
      <c r="S242">
        <v>24</v>
      </c>
      <c r="T242">
        <v>0</v>
      </c>
      <c r="U242" t="s">
        <v>52</v>
      </c>
      <c r="V242" t="s">
        <v>2267</v>
      </c>
      <c r="W242" t="s">
        <v>54</v>
      </c>
      <c r="X242" t="s">
        <v>54</v>
      </c>
      <c r="Y242" t="s">
        <v>54</v>
      </c>
      <c r="Z242" t="s">
        <v>54</v>
      </c>
      <c r="AA242" t="s">
        <v>54</v>
      </c>
      <c r="AB242" t="s">
        <v>54</v>
      </c>
      <c r="AC242" t="s">
        <v>54</v>
      </c>
      <c r="AD242" t="s">
        <v>54</v>
      </c>
      <c r="AE242" t="s">
        <v>54</v>
      </c>
      <c r="AF242" t="s">
        <v>54</v>
      </c>
      <c r="AG242" t="s">
        <v>54</v>
      </c>
      <c r="AH242" t="s">
        <v>54</v>
      </c>
      <c r="AI242" t="s">
        <v>54</v>
      </c>
      <c r="AJ242" t="s">
        <v>54</v>
      </c>
      <c r="AK242" t="s">
        <v>54</v>
      </c>
      <c r="AL242" t="s">
        <v>54</v>
      </c>
      <c r="AM242" t="s">
        <v>54</v>
      </c>
      <c r="AN242" t="s">
        <v>54</v>
      </c>
      <c r="AO242" t="s">
        <v>54</v>
      </c>
      <c r="AP242" t="s">
        <v>54</v>
      </c>
      <c r="AQ242" t="s">
        <v>54</v>
      </c>
    </row>
    <row r="243" spans="1:43" x14ac:dyDescent="0.25">
      <c r="A243" t="s">
        <v>2268</v>
      </c>
      <c r="B243">
        <v>181</v>
      </c>
      <c r="C243">
        <v>113</v>
      </c>
      <c r="D243" t="s">
        <v>2269</v>
      </c>
      <c r="E243" t="s">
        <v>2270</v>
      </c>
      <c r="F243" t="s">
        <v>2271</v>
      </c>
      <c r="G243" t="s">
        <v>2272</v>
      </c>
      <c r="H243" t="s">
        <v>2273</v>
      </c>
      <c r="I243" t="s">
        <v>941</v>
      </c>
      <c r="J243">
        <v>5</v>
      </c>
      <c r="K243">
        <v>3</v>
      </c>
      <c r="L243">
        <v>3</v>
      </c>
      <c r="M243" t="s">
        <v>2274</v>
      </c>
      <c r="N243">
        <v>92</v>
      </c>
      <c r="O243">
        <v>181</v>
      </c>
      <c r="P243">
        <v>9</v>
      </c>
      <c r="Q243" t="s">
        <v>943</v>
      </c>
      <c r="R243" t="s">
        <v>1112</v>
      </c>
      <c r="S243">
        <v>22</v>
      </c>
      <c r="T243">
        <v>0</v>
      </c>
      <c r="U243" t="s">
        <v>52</v>
      </c>
      <c r="V243" t="s">
        <v>2275</v>
      </c>
      <c r="W243" t="s">
        <v>54</v>
      </c>
      <c r="X243" t="s">
        <v>54</v>
      </c>
      <c r="Y243" t="s">
        <v>54</v>
      </c>
      <c r="Z243" t="s">
        <v>54</v>
      </c>
      <c r="AA243" t="s">
        <v>54</v>
      </c>
      <c r="AB243" t="s">
        <v>54</v>
      </c>
      <c r="AC243" t="s">
        <v>54</v>
      </c>
      <c r="AD243" t="s">
        <v>54</v>
      </c>
      <c r="AE243" t="s">
        <v>54</v>
      </c>
      <c r="AF243" t="s">
        <v>54</v>
      </c>
      <c r="AG243" t="s">
        <v>54</v>
      </c>
      <c r="AH243" t="s">
        <v>54</v>
      </c>
      <c r="AI243" t="s">
        <v>54</v>
      </c>
      <c r="AJ243" t="s">
        <v>54</v>
      </c>
      <c r="AK243" t="s">
        <v>54</v>
      </c>
      <c r="AL243" t="s">
        <v>54</v>
      </c>
      <c r="AM243" t="s">
        <v>54</v>
      </c>
      <c r="AN243" t="s">
        <v>54</v>
      </c>
      <c r="AO243" t="s">
        <v>54</v>
      </c>
      <c r="AP243" t="s">
        <v>54</v>
      </c>
      <c r="AQ243" t="s">
        <v>54</v>
      </c>
    </row>
    <row r="244" spans="1:43" x14ac:dyDescent="0.25">
      <c r="A244" t="s">
        <v>2276</v>
      </c>
      <c r="B244">
        <v>142</v>
      </c>
      <c r="C244">
        <v>104</v>
      </c>
      <c r="D244" t="s">
        <v>2277</v>
      </c>
      <c r="E244" t="s">
        <v>2278</v>
      </c>
      <c r="F244" t="s">
        <v>2279</v>
      </c>
      <c r="G244" t="s">
        <v>2280</v>
      </c>
      <c r="H244" t="s">
        <v>52</v>
      </c>
      <c r="I244" t="s">
        <v>1289</v>
      </c>
      <c r="J244">
        <v>0</v>
      </c>
      <c r="K244">
        <v>1</v>
      </c>
      <c r="L244">
        <v>2</v>
      </c>
      <c r="M244" t="s">
        <v>2281</v>
      </c>
      <c r="N244">
        <v>93</v>
      </c>
      <c r="O244">
        <v>142</v>
      </c>
      <c r="P244">
        <v>9</v>
      </c>
      <c r="Q244" t="s">
        <v>1261</v>
      </c>
      <c r="R244" t="s">
        <v>2282</v>
      </c>
      <c r="S244">
        <v>16</v>
      </c>
      <c r="T244">
        <v>0</v>
      </c>
      <c r="U244" t="s">
        <v>52</v>
      </c>
      <c r="V244" t="s">
        <v>2283</v>
      </c>
      <c r="W244" t="s">
        <v>54</v>
      </c>
      <c r="X244" t="s">
        <v>54</v>
      </c>
      <c r="Y244" t="s">
        <v>54</v>
      </c>
      <c r="Z244" t="s">
        <v>54</v>
      </c>
      <c r="AA244" t="s">
        <v>54</v>
      </c>
      <c r="AB244" t="s">
        <v>54</v>
      </c>
      <c r="AC244" t="s">
        <v>54</v>
      </c>
      <c r="AD244" t="s">
        <v>54</v>
      </c>
      <c r="AE244" t="s">
        <v>54</v>
      </c>
      <c r="AF244" t="s">
        <v>54</v>
      </c>
      <c r="AG244" t="s">
        <v>54</v>
      </c>
      <c r="AH244" t="s">
        <v>54</v>
      </c>
      <c r="AI244" t="s">
        <v>54</v>
      </c>
      <c r="AJ244" t="s">
        <v>54</v>
      </c>
      <c r="AK244" t="s">
        <v>54</v>
      </c>
      <c r="AL244" t="s">
        <v>54</v>
      </c>
      <c r="AM244" t="s">
        <v>54</v>
      </c>
      <c r="AN244" t="s">
        <v>54</v>
      </c>
      <c r="AO244" t="s">
        <v>54</v>
      </c>
      <c r="AP244" t="s">
        <v>54</v>
      </c>
      <c r="AQ244" t="s">
        <v>54</v>
      </c>
    </row>
    <row r="245" spans="1:43" x14ac:dyDescent="0.25">
      <c r="A245" t="s">
        <v>2284</v>
      </c>
      <c r="B245">
        <v>147</v>
      </c>
      <c r="C245">
        <v>115</v>
      </c>
      <c r="D245" t="s">
        <v>2285</v>
      </c>
      <c r="E245" t="s">
        <v>370</v>
      </c>
      <c r="F245" t="s">
        <v>2286</v>
      </c>
      <c r="G245" t="s">
        <v>2287</v>
      </c>
      <c r="H245" t="s">
        <v>519</v>
      </c>
      <c r="I245" t="s">
        <v>2288</v>
      </c>
      <c r="J245">
        <v>1</v>
      </c>
      <c r="K245">
        <v>4</v>
      </c>
      <c r="L245">
        <v>3</v>
      </c>
      <c r="M245" t="s">
        <v>2289</v>
      </c>
      <c r="N245">
        <v>87</v>
      </c>
      <c r="O245">
        <v>148</v>
      </c>
      <c r="P245">
        <v>6</v>
      </c>
      <c r="Q245" t="s">
        <v>2290</v>
      </c>
      <c r="R245" t="s">
        <v>457</v>
      </c>
      <c r="S245">
        <v>13</v>
      </c>
      <c r="T245">
        <v>1</v>
      </c>
      <c r="U245" t="s">
        <v>2291</v>
      </c>
      <c r="V245" t="s">
        <v>2292</v>
      </c>
      <c r="W245" t="s">
        <v>54</v>
      </c>
      <c r="X245" t="s">
        <v>54</v>
      </c>
      <c r="Y245" t="s">
        <v>54</v>
      </c>
      <c r="Z245" t="s">
        <v>54</v>
      </c>
      <c r="AA245" t="s">
        <v>54</v>
      </c>
      <c r="AB245" t="s">
        <v>54</v>
      </c>
      <c r="AC245" t="s">
        <v>54</v>
      </c>
      <c r="AD245" t="s">
        <v>54</v>
      </c>
      <c r="AE245" t="s">
        <v>54</v>
      </c>
      <c r="AF245" t="s">
        <v>54</v>
      </c>
      <c r="AG245" t="s">
        <v>54</v>
      </c>
      <c r="AH245" t="s">
        <v>54</v>
      </c>
      <c r="AI245" t="s">
        <v>54</v>
      </c>
      <c r="AJ245" t="s">
        <v>54</v>
      </c>
      <c r="AK245" t="s">
        <v>54</v>
      </c>
      <c r="AL245" t="s">
        <v>54</v>
      </c>
      <c r="AM245" t="s">
        <v>54</v>
      </c>
      <c r="AN245" t="s">
        <v>54</v>
      </c>
      <c r="AO245" t="s">
        <v>54</v>
      </c>
      <c r="AP245" t="s">
        <v>54</v>
      </c>
      <c r="AQ245" t="s">
        <v>54</v>
      </c>
    </row>
    <row r="246" spans="1:43" x14ac:dyDescent="0.25">
      <c r="A246" t="s">
        <v>2293</v>
      </c>
      <c r="B246">
        <v>166</v>
      </c>
      <c r="C246">
        <v>110</v>
      </c>
      <c r="D246" t="s">
        <v>2294</v>
      </c>
      <c r="E246" t="s">
        <v>2295</v>
      </c>
      <c r="F246" t="s">
        <v>342</v>
      </c>
      <c r="G246" t="s">
        <v>2296</v>
      </c>
      <c r="H246" t="s">
        <v>2297</v>
      </c>
      <c r="I246" t="s">
        <v>52</v>
      </c>
      <c r="J246">
        <v>1</v>
      </c>
      <c r="K246">
        <v>0</v>
      </c>
      <c r="L246">
        <v>4</v>
      </c>
      <c r="M246" t="s">
        <v>2298</v>
      </c>
      <c r="N246">
        <v>98</v>
      </c>
      <c r="O246">
        <v>166</v>
      </c>
      <c r="P246">
        <v>1</v>
      </c>
      <c r="Q246" t="s">
        <v>2299</v>
      </c>
      <c r="R246" t="s">
        <v>658</v>
      </c>
      <c r="S246">
        <v>19</v>
      </c>
      <c r="T246">
        <v>0</v>
      </c>
      <c r="U246" t="s">
        <v>52</v>
      </c>
      <c r="V246" t="s">
        <v>2300</v>
      </c>
      <c r="W246" t="s">
        <v>54</v>
      </c>
      <c r="X246" t="s">
        <v>54</v>
      </c>
      <c r="Y246" t="s">
        <v>54</v>
      </c>
      <c r="Z246" t="s">
        <v>54</v>
      </c>
      <c r="AA246" t="s">
        <v>54</v>
      </c>
      <c r="AB246" t="s">
        <v>54</v>
      </c>
      <c r="AC246" t="s">
        <v>54</v>
      </c>
      <c r="AD246" t="s">
        <v>54</v>
      </c>
      <c r="AE246" t="s">
        <v>54</v>
      </c>
      <c r="AF246" t="s">
        <v>54</v>
      </c>
      <c r="AG246" t="s">
        <v>54</v>
      </c>
      <c r="AH246" t="s">
        <v>54</v>
      </c>
      <c r="AI246" t="s">
        <v>54</v>
      </c>
      <c r="AJ246" t="s">
        <v>54</v>
      </c>
      <c r="AK246" t="s">
        <v>54</v>
      </c>
      <c r="AL246" t="s">
        <v>54</v>
      </c>
      <c r="AM246" t="s">
        <v>54</v>
      </c>
      <c r="AN246" t="s">
        <v>54</v>
      </c>
      <c r="AO246" t="s">
        <v>54</v>
      </c>
      <c r="AP246" t="s">
        <v>54</v>
      </c>
      <c r="AQ246" t="s">
        <v>54</v>
      </c>
    </row>
    <row r="247" spans="1:43" x14ac:dyDescent="0.25">
      <c r="A247" t="s">
        <v>2301</v>
      </c>
      <c r="B247">
        <v>144</v>
      </c>
      <c r="C247">
        <v>90</v>
      </c>
      <c r="D247" t="s">
        <v>1094</v>
      </c>
      <c r="E247" t="s">
        <v>2302</v>
      </c>
      <c r="F247" t="s">
        <v>2303</v>
      </c>
      <c r="G247" t="s">
        <v>2304</v>
      </c>
      <c r="H247" t="s">
        <v>1767</v>
      </c>
      <c r="I247" t="s">
        <v>714</v>
      </c>
      <c r="J247">
        <v>4</v>
      </c>
      <c r="K247">
        <v>2</v>
      </c>
      <c r="L247">
        <v>4</v>
      </c>
      <c r="M247" t="s">
        <v>2305</v>
      </c>
      <c r="N247">
        <v>79</v>
      </c>
      <c r="O247">
        <v>144</v>
      </c>
      <c r="P247">
        <v>7</v>
      </c>
      <c r="Q247" t="s">
        <v>1923</v>
      </c>
      <c r="R247" t="s">
        <v>1720</v>
      </c>
      <c r="S247">
        <v>23</v>
      </c>
      <c r="T247">
        <v>0</v>
      </c>
      <c r="U247" t="s">
        <v>52</v>
      </c>
      <c r="V247" t="s">
        <v>2306</v>
      </c>
      <c r="W247" t="s">
        <v>54</v>
      </c>
      <c r="X247" t="s">
        <v>54</v>
      </c>
      <c r="Y247" t="s">
        <v>54</v>
      </c>
      <c r="Z247" t="s">
        <v>54</v>
      </c>
      <c r="AA247" t="s">
        <v>54</v>
      </c>
      <c r="AB247" t="s">
        <v>54</v>
      </c>
      <c r="AC247" t="s">
        <v>54</v>
      </c>
      <c r="AD247" t="s">
        <v>54</v>
      </c>
      <c r="AE247" t="s">
        <v>54</v>
      </c>
      <c r="AF247" t="s">
        <v>54</v>
      </c>
      <c r="AG247" t="s">
        <v>54</v>
      </c>
      <c r="AH247" t="s">
        <v>54</v>
      </c>
      <c r="AI247" t="s">
        <v>54</v>
      </c>
      <c r="AJ247" t="s">
        <v>54</v>
      </c>
      <c r="AK247" t="s">
        <v>54</v>
      </c>
      <c r="AL247" t="s">
        <v>54</v>
      </c>
      <c r="AM247" t="s">
        <v>54</v>
      </c>
      <c r="AN247" t="s">
        <v>54</v>
      </c>
      <c r="AO247" t="s">
        <v>54</v>
      </c>
      <c r="AP247" t="s">
        <v>54</v>
      </c>
      <c r="AQ247" t="s">
        <v>54</v>
      </c>
    </row>
    <row r="248" spans="1:43" x14ac:dyDescent="0.25">
      <c r="A248" t="s">
        <v>2307</v>
      </c>
      <c r="B248">
        <v>191</v>
      </c>
      <c r="C248">
        <v>134</v>
      </c>
      <c r="D248" t="s">
        <v>2308</v>
      </c>
      <c r="E248" t="s">
        <v>1398</v>
      </c>
      <c r="F248" t="s">
        <v>2309</v>
      </c>
      <c r="G248" t="s">
        <v>2310</v>
      </c>
      <c r="H248" t="s">
        <v>1539</v>
      </c>
      <c r="I248" t="s">
        <v>1824</v>
      </c>
      <c r="J248">
        <v>2</v>
      </c>
      <c r="K248">
        <v>1</v>
      </c>
      <c r="L248">
        <v>4</v>
      </c>
      <c r="M248" t="s">
        <v>2311</v>
      </c>
      <c r="N248">
        <v>114</v>
      </c>
      <c r="O248">
        <v>193</v>
      </c>
      <c r="P248">
        <v>11</v>
      </c>
      <c r="Q248" t="s">
        <v>2312</v>
      </c>
      <c r="R248" t="s">
        <v>1857</v>
      </c>
      <c r="S248">
        <v>24</v>
      </c>
      <c r="T248">
        <v>0</v>
      </c>
      <c r="U248" t="s">
        <v>52</v>
      </c>
      <c r="V248" t="s">
        <v>2313</v>
      </c>
      <c r="W248" t="s">
        <v>54</v>
      </c>
      <c r="X248" t="s">
        <v>54</v>
      </c>
      <c r="Y248" t="s">
        <v>54</v>
      </c>
      <c r="Z248" t="s">
        <v>54</v>
      </c>
      <c r="AA248" t="s">
        <v>54</v>
      </c>
      <c r="AB248" t="s">
        <v>54</v>
      </c>
      <c r="AC248" t="s">
        <v>54</v>
      </c>
      <c r="AD248" t="s">
        <v>54</v>
      </c>
      <c r="AE248" t="s">
        <v>54</v>
      </c>
      <c r="AF248" t="s">
        <v>54</v>
      </c>
      <c r="AG248" t="s">
        <v>54</v>
      </c>
      <c r="AH248" t="s">
        <v>54</v>
      </c>
      <c r="AI248" t="s">
        <v>54</v>
      </c>
      <c r="AJ248" t="s">
        <v>54</v>
      </c>
      <c r="AK248" t="s">
        <v>54</v>
      </c>
      <c r="AL248" t="s">
        <v>54</v>
      </c>
      <c r="AM248" t="s">
        <v>54</v>
      </c>
      <c r="AN248" t="s">
        <v>54</v>
      </c>
      <c r="AO248" t="s">
        <v>54</v>
      </c>
      <c r="AP248" t="s">
        <v>54</v>
      </c>
      <c r="AQ248" t="s">
        <v>54</v>
      </c>
    </row>
    <row r="249" spans="1:43" x14ac:dyDescent="0.25">
      <c r="A249" t="s">
        <v>2314</v>
      </c>
      <c r="B249">
        <v>174</v>
      </c>
      <c r="C249">
        <v>126</v>
      </c>
      <c r="D249" t="s">
        <v>2315</v>
      </c>
      <c r="E249" t="s">
        <v>2316</v>
      </c>
      <c r="F249" t="s">
        <v>1399</v>
      </c>
      <c r="G249" t="s">
        <v>2317</v>
      </c>
      <c r="H249" t="s">
        <v>2318</v>
      </c>
      <c r="I249" t="s">
        <v>2319</v>
      </c>
      <c r="J249">
        <v>1</v>
      </c>
      <c r="K249">
        <v>3</v>
      </c>
      <c r="L249">
        <v>3</v>
      </c>
      <c r="M249" t="s">
        <v>2320</v>
      </c>
      <c r="N249">
        <v>107</v>
      </c>
      <c r="O249">
        <v>177</v>
      </c>
      <c r="P249">
        <v>5</v>
      </c>
      <c r="Q249" t="s">
        <v>2321</v>
      </c>
      <c r="R249" t="s">
        <v>2322</v>
      </c>
      <c r="S249">
        <v>16</v>
      </c>
      <c r="T249">
        <v>0</v>
      </c>
      <c r="U249" t="s">
        <v>52</v>
      </c>
      <c r="V249" t="s">
        <v>2323</v>
      </c>
      <c r="W249" t="s">
        <v>54</v>
      </c>
      <c r="X249" t="s">
        <v>54</v>
      </c>
      <c r="Y249" t="s">
        <v>54</v>
      </c>
      <c r="Z249" t="s">
        <v>54</v>
      </c>
      <c r="AA249" t="s">
        <v>54</v>
      </c>
      <c r="AB249" t="s">
        <v>54</v>
      </c>
      <c r="AC249" t="s">
        <v>54</v>
      </c>
      <c r="AD249" t="s">
        <v>54</v>
      </c>
      <c r="AE249" t="s">
        <v>54</v>
      </c>
      <c r="AF249" t="s">
        <v>54</v>
      </c>
      <c r="AG249" t="s">
        <v>54</v>
      </c>
      <c r="AH249" t="s">
        <v>54</v>
      </c>
      <c r="AI249" t="s">
        <v>54</v>
      </c>
      <c r="AJ249" t="s">
        <v>54</v>
      </c>
      <c r="AK249" t="s">
        <v>54</v>
      </c>
      <c r="AL249" t="s">
        <v>54</v>
      </c>
      <c r="AM249" t="s">
        <v>54</v>
      </c>
      <c r="AN249" t="s">
        <v>54</v>
      </c>
      <c r="AO249" t="s">
        <v>54</v>
      </c>
      <c r="AP249" t="s">
        <v>54</v>
      </c>
      <c r="AQ249" t="s">
        <v>54</v>
      </c>
    </row>
    <row r="250" spans="1:43" x14ac:dyDescent="0.25">
      <c r="A250" t="s">
        <v>2324</v>
      </c>
      <c r="B250">
        <v>123</v>
      </c>
      <c r="C250">
        <v>98</v>
      </c>
      <c r="D250" t="s">
        <v>2325</v>
      </c>
      <c r="E250" t="s">
        <v>2326</v>
      </c>
      <c r="F250" t="s">
        <v>2327</v>
      </c>
      <c r="G250" t="s">
        <v>2328</v>
      </c>
      <c r="H250" t="s">
        <v>52</v>
      </c>
      <c r="I250" t="s">
        <v>1057</v>
      </c>
      <c r="J250">
        <v>0</v>
      </c>
      <c r="K250">
        <v>2</v>
      </c>
      <c r="L250">
        <v>2</v>
      </c>
      <c r="M250" t="s">
        <v>201</v>
      </c>
      <c r="N250">
        <v>75</v>
      </c>
      <c r="O250">
        <v>125</v>
      </c>
      <c r="P250">
        <v>9</v>
      </c>
      <c r="Q250" t="s">
        <v>1059</v>
      </c>
      <c r="R250" t="s">
        <v>318</v>
      </c>
      <c r="S250">
        <v>23</v>
      </c>
      <c r="T250">
        <v>0</v>
      </c>
      <c r="U250" t="s">
        <v>52</v>
      </c>
      <c r="V250" t="s">
        <v>2329</v>
      </c>
      <c r="W250" t="s">
        <v>54</v>
      </c>
      <c r="X250" t="s">
        <v>54</v>
      </c>
      <c r="Y250" t="s">
        <v>54</v>
      </c>
      <c r="Z250" t="s">
        <v>54</v>
      </c>
      <c r="AA250" t="s">
        <v>54</v>
      </c>
      <c r="AB250" t="s">
        <v>54</v>
      </c>
      <c r="AC250" t="s">
        <v>54</v>
      </c>
      <c r="AD250" t="s">
        <v>54</v>
      </c>
      <c r="AE250" t="s">
        <v>54</v>
      </c>
      <c r="AF250" t="s">
        <v>54</v>
      </c>
      <c r="AG250" t="s">
        <v>54</v>
      </c>
      <c r="AH250" t="s">
        <v>54</v>
      </c>
      <c r="AI250" t="s">
        <v>54</v>
      </c>
      <c r="AJ250" t="s">
        <v>54</v>
      </c>
      <c r="AK250" t="s">
        <v>54</v>
      </c>
      <c r="AL250" t="s">
        <v>54</v>
      </c>
      <c r="AM250" t="s">
        <v>54</v>
      </c>
      <c r="AN250" t="s">
        <v>54</v>
      </c>
      <c r="AO250" t="s">
        <v>54</v>
      </c>
      <c r="AP250" t="s">
        <v>54</v>
      </c>
      <c r="AQ250" t="s">
        <v>54</v>
      </c>
    </row>
    <row r="251" spans="1:43" x14ac:dyDescent="0.25">
      <c r="A251" t="s">
        <v>2330</v>
      </c>
      <c r="B251">
        <v>193</v>
      </c>
      <c r="C251">
        <v>147</v>
      </c>
      <c r="D251" t="s">
        <v>2331</v>
      </c>
      <c r="E251" t="s">
        <v>2332</v>
      </c>
      <c r="F251" t="s">
        <v>2333</v>
      </c>
      <c r="G251" t="s">
        <v>2334</v>
      </c>
      <c r="H251" t="s">
        <v>1495</v>
      </c>
      <c r="I251" t="s">
        <v>2335</v>
      </c>
      <c r="J251">
        <v>3</v>
      </c>
      <c r="K251">
        <v>2</v>
      </c>
      <c r="L251">
        <v>4</v>
      </c>
      <c r="M251" t="s">
        <v>2336</v>
      </c>
      <c r="N251">
        <v>111</v>
      </c>
      <c r="O251">
        <v>194</v>
      </c>
      <c r="P251">
        <v>17</v>
      </c>
      <c r="Q251" t="s">
        <v>2337</v>
      </c>
      <c r="R251" t="s">
        <v>2338</v>
      </c>
      <c r="S251">
        <v>21</v>
      </c>
      <c r="T251">
        <v>0</v>
      </c>
      <c r="U251" t="s">
        <v>52</v>
      </c>
      <c r="V251" t="s">
        <v>2339</v>
      </c>
      <c r="W251" t="s">
        <v>54</v>
      </c>
      <c r="X251" t="s">
        <v>54</v>
      </c>
      <c r="Y251" t="s">
        <v>54</v>
      </c>
      <c r="Z251" t="s">
        <v>54</v>
      </c>
      <c r="AA251" t="s">
        <v>54</v>
      </c>
      <c r="AB251" t="s">
        <v>54</v>
      </c>
      <c r="AC251" t="s">
        <v>54</v>
      </c>
      <c r="AD251" t="s">
        <v>54</v>
      </c>
      <c r="AE251" t="s">
        <v>54</v>
      </c>
      <c r="AF251" t="s">
        <v>54</v>
      </c>
      <c r="AG251" t="s">
        <v>54</v>
      </c>
      <c r="AH251" t="s">
        <v>54</v>
      </c>
      <c r="AI251" t="s">
        <v>54</v>
      </c>
      <c r="AJ251" t="s">
        <v>54</v>
      </c>
      <c r="AK251" t="s">
        <v>54</v>
      </c>
      <c r="AL251" t="s">
        <v>54</v>
      </c>
      <c r="AM251" t="s">
        <v>54</v>
      </c>
      <c r="AN251" t="s">
        <v>54</v>
      </c>
      <c r="AO251" t="s">
        <v>54</v>
      </c>
      <c r="AP251" t="s">
        <v>54</v>
      </c>
      <c r="AQ251" t="s">
        <v>54</v>
      </c>
    </row>
    <row r="252" spans="1:43" x14ac:dyDescent="0.25">
      <c r="A252" t="s">
        <v>2340</v>
      </c>
      <c r="B252">
        <v>189</v>
      </c>
      <c r="C252">
        <v>149</v>
      </c>
      <c r="D252" t="s">
        <v>2341</v>
      </c>
      <c r="E252" t="s">
        <v>2342</v>
      </c>
      <c r="F252" t="s">
        <v>2343</v>
      </c>
      <c r="G252" t="s">
        <v>2344</v>
      </c>
      <c r="H252" t="s">
        <v>52</v>
      </c>
      <c r="I252" t="s">
        <v>2345</v>
      </c>
      <c r="J252">
        <v>0</v>
      </c>
      <c r="K252">
        <v>5</v>
      </c>
      <c r="L252">
        <v>2</v>
      </c>
      <c r="M252" t="s">
        <v>2346</v>
      </c>
      <c r="N252">
        <v>111</v>
      </c>
      <c r="O252">
        <v>190</v>
      </c>
      <c r="P252">
        <v>11</v>
      </c>
      <c r="Q252" t="s">
        <v>2347</v>
      </c>
      <c r="R252" t="s">
        <v>2348</v>
      </c>
      <c r="S252">
        <v>29</v>
      </c>
      <c r="T252">
        <v>0</v>
      </c>
      <c r="U252" t="s">
        <v>52</v>
      </c>
      <c r="V252" t="s">
        <v>2349</v>
      </c>
      <c r="W252" t="s">
        <v>54</v>
      </c>
      <c r="X252" t="s">
        <v>54</v>
      </c>
      <c r="Y252" t="s">
        <v>54</v>
      </c>
      <c r="Z252" t="s">
        <v>54</v>
      </c>
      <c r="AA252" t="s">
        <v>54</v>
      </c>
      <c r="AB252" t="s">
        <v>54</v>
      </c>
      <c r="AC252" t="s">
        <v>54</v>
      </c>
      <c r="AD252" t="s">
        <v>54</v>
      </c>
      <c r="AE252" t="s">
        <v>54</v>
      </c>
      <c r="AF252" t="s">
        <v>54</v>
      </c>
      <c r="AG252" t="s">
        <v>54</v>
      </c>
      <c r="AH252" t="s">
        <v>54</v>
      </c>
      <c r="AI252" t="s">
        <v>54</v>
      </c>
      <c r="AJ252" t="s">
        <v>54</v>
      </c>
      <c r="AK252" t="s">
        <v>54</v>
      </c>
      <c r="AL252" t="s">
        <v>54</v>
      </c>
      <c r="AM252" t="s">
        <v>54</v>
      </c>
      <c r="AN252" t="s">
        <v>54</v>
      </c>
      <c r="AO252" t="s">
        <v>54</v>
      </c>
      <c r="AP252" t="s">
        <v>54</v>
      </c>
      <c r="AQ252" t="s">
        <v>54</v>
      </c>
    </row>
    <row r="253" spans="1:43" x14ac:dyDescent="0.25">
      <c r="A253" t="s">
        <v>2350</v>
      </c>
      <c r="B253">
        <v>164</v>
      </c>
      <c r="C253">
        <v>119</v>
      </c>
      <c r="D253" t="s">
        <v>2351</v>
      </c>
      <c r="E253" t="s">
        <v>1220</v>
      </c>
      <c r="F253" t="s">
        <v>2352</v>
      </c>
      <c r="G253" t="s">
        <v>2353</v>
      </c>
      <c r="H253" t="s">
        <v>1224</v>
      </c>
      <c r="I253" t="s">
        <v>2354</v>
      </c>
      <c r="J253">
        <v>4</v>
      </c>
      <c r="K253">
        <v>2</v>
      </c>
      <c r="L253">
        <v>0</v>
      </c>
      <c r="M253" t="s">
        <v>2355</v>
      </c>
      <c r="N253">
        <v>83</v>
      </c>
      <c r="O253">
        <v>167</v>
      </c>
      <c r="P253">
        <v>9</v>
      </c>
      <c r="Q253" t="s">
        <v>2356</v>
      </c>
      <c r="R253" t="s">
        <v>318</v>
      </c>
      <c r="S253">
        <v>23</v>
      </c>
      <c r="T253">
        <v>0</v>
      </c>
      <c r="U253" t="s">
        <v>52</v>
      </c>
      <c r="V253" t="s">
        <v>2357</v>
      </c>
      <c r="W253" t="s">
        <v>54</v>
      </c>
      <c r="X253" t="s">
        <v>54</v>
      </c>
      <c r="Y253" t="s">
        <v>54</v>
      </c>
      <c r="Z253" t="s">
        <v>54</v>
      </c>
      <c r="AA253" t="s">
        <v>54</v>
      </c>
      <c r="AB253" t="s">
        <v>54</v>
      </c>
      <c r="AC253" t="s">
        <v>54</v>
      </c>
      <c r="AD253" t="s">
        <v>54</v>
      </c>
      <c r="AE253" t="s">
        <v>54</v>
      </c>
      <c r="AF253" t="s">
        <v>54</v>
      </c>
      <c r="AG253" t="s">
        <v>54</v>
      </c>
      <c r="AH253" t="s">
        <v>54</v>
      </c>
      <c r="AI253" t="s">
        <v>54</v>
      </c>
      <c r="AJ253" t="s">
        <v>54</v>
      </c>
      <c r="AK253" t="s">
        <v>54</v>
      </c>
      <c r="AL253" t="s">
        <v>54</v>
      </c>
      <c r="AM253" t="s">
        <v>54</v>
      </c>
      <c r="AN253" t="s">
        <v>54</v>
      </c>
      <c r="AO253" t="s">
        <v>54</v>
      </c>
      <c r="AP253" t="s">
        <v>54</v>
      </c>
      <c r="AQ253" t="s">
        <v>54</v>
      </c>
    </row>
    <row r="254" spans="1:43" x14ac:dyDescent="0.25">
      <c r="A254" t="s">
        <v>2358</v>
      </c>
      <c r="B254">
        <v>62</v>
      </c>
      <c r="C254">
        <v>47</v>
      </c>
      <c r="D254" t="s">
        <v>2359</v>
      </c>
      <c r="E254" t="s">
        <v>2360</v>
      </c>
      <c r="F254" t="s">
        <v>2361</v>
      </c>
      <c r="G254" t="s">
        <v>2362</v>
      </c>
      <c r="H254" t="s">
        <v>52</v>
      </c>
      <c r="I254" t="s">
        <v>385</v>
      </c>
      <c r="J254">
        <v>0</v>
      </c>
      <c r="K254">
        <v>2</v>
      </c>
      <c r="L254">
        <v>1</v>
      </c>
      <c r="M254" t="s">
        <v>2235</v>
      </c>
      <c r="N254">
        <v>30</v>
      </c>
      <c r="O254">
        <v>62</v>
      </c>
      <c r="P254">
        <v>17</v>
      </c>
      <c r="Q254" t="s">
        <v>2363</v>
      </c>
      <c r="R254" t="s">
        <v>2364</v>
      </c>
      <c r="S254">
        <v>5</v>
      </c>
      <c r="T254">
        <v>6</v>
      </c>
      <c r="U254" t="s">
        <v>2365</v>
      </c>
      <c r="V254" t="s">
        <v>2366</v>
      </c>
      <c r="W254" t="s">
        <v>54</v>
      </c>
      <c r="X254" t="s">
        <v>54</v>
      </c>
      <c r="Y254" t="s">
        <v>54</v>
      </c>
      <c r="Z254" t="s">
        <v>54</v>
      </c>
      <c r="AA254" t="s">
        <v>54</v>
      </c>
      <c r="AB254" t="s">
        <v>54</v>
      </c>
      <c r="AC254" t="s">
        <v>54</v>
      </c>
      <c r="AD254" t="s">
        <v>54</v>
      </c>
      <c r="AE254" t="s">
        <v>54</v>
      </c>
      <c r="AF254" t="s">
        <v>54</v>
      </c>
      <c r="AG254" t="s">
        <v>54</v>
      </c>
      <c r="AH254" t="s">
        <v>54</v>
      </c>
      <c r="AI254" t="s">
        <v>54</v>
      </c>
      <c r="AJ254" t="s">
        <v>54</v>
      </c>
      <c r="AK254" t="s">
        <v>54</v>
      </c>
      <c r="AL254" t="s">
        <v>54</v>
      </c>
      <c r="AM254" t="s">
        <v>54</v>
      </c>
      <c r="AN254" t="s">
        <v>54</v>
      </c>
      <c r="AO254" t="s">
        <v>54</v>
      </c>
      <c r="AP254" t="s">
        <v>54</v>
      </c>
      <c r="AQ254" t="s">
        <v>54</v>
      </c>
    </row>
    <row r="255" spans="1:43" x14ac:dyDescent="0.25">
      <c r="A255" t="s">
        <v>2367</v>
      </c>
      <c r="B255">
        <v>167</v>
      </c>
      <c r="C255">
        <v>119</v>
      </c>
      <c r="D255" t="s">
        <v>2368</v>
      </c>
      <c r="E255" t="s">
        <v>2369</v>
      </c>
      <c r="F255" t="s">
        <v>2370</v>
      </c>
      <c r="G255" t="s">
        <v>2371</v>
      </c>
      <c r="H255" t="s">
        <v>2372</v>
      </c>
      <c r="I255" t="s">
        <v>2372</v>
      </c>
      <c r="J255">
        <v>2</v>
      </c>
      <c r="K255">
        <v>2</v>
      </c>
      <c r="L255">
        <v>3</v>
      </c>
      <c r="M255" t="s">
        <v>2373</v>
      </c>
      <c r="N255">
        <v>86</v>
      </c>
      <c r="O255">
        <v>169</v>
      </c>
      <c r="P255">
        <v>3</v>
      </c>
      <c r="Q255" t="s">
        <v>2374</v>
      </c>
      <c r="R255" t="s">
        <v>1654</v>
      </c>
      <c r="S255">
        <v>27</v>
      </c>
      <c r="T255">
        <v>0</v>
      </c>
      <c r="U255" t="s">
        <v>52</v>
      </c>
      <c r="V255" t="s">
        <v>2375</v>
      </c>
      <c r="W255" t="s">
        <v>54</v>
      </c>
      <c r="X255" t="s">
        <v>54</v>
      </c>
      <c r="Y255" t="s">
        <v>54</v>
      </c>
      <c r="Z255" t="s">
        <v>54</v>
      </c>
      <c r="AA255" t="s">
        <v>54</v>
      </c>
      <c r="AB255" t="s">
        <v>54</v>
      </c>
      <c r="AC255" t="s">
        <v>54</v>
      </c>
      <c r="AD255" t="s">
        <v>54</v>
      </c>
      <c r="AE255" t="s">
        <v>54</v>
      </c>
      <c r="AF255" t="s">
        <v>54</v>
      </c>
      <c r="AG255" t="s">
        <v>54</v>
      </c>
      <c r="AH255" t="s">
        <v>54</v>
      </c>
      <c r="AI255" t="s">
        <v>54</v>
      </c>
      <c r="AJ255" t="s">
        <v>54</v>
      </c>
      <c r="AK255" t="s">
        <v>54</v>
      </c>
      <c r="AL255" t="s">
        <v>54</v>
      </c>
      <c r="AM255" t="s">
        <v>54</v>
      </c>
      <c r="AN255" t="s">
        <v>54</v>
      </c>
      <c r="AO255" t="s">
        <v>54</v>
      </c>
      <c r="AP255" t="s">
        <v>54</v>
      </c>
      <c r="AQ255" t="s">
        <v>54</v>
      </c>
    </row>
    <row r="256" spans="1:43" x14ac:dyDescent="0.25">
      <c r="A256" t="s">
        <v>2376</v>
      </c>
      <c r="B256">
        <v>129</v>
      </c>
      <c r="C256">
        <v>103</v>
      </c>
      <c r="D256" t="s">
        <v>194</v>
      </c>
      <c r="E256" t="s">
        <v>2377</v>
      </c>
      <c r="F256" t="s">
        <v>2378</v>
      </c>
      <c r="G256" t="s">
        <v>2379</v>
      </c>
      <c r="H256" t="s">
        <v>2380</v>
      </c>
      <c r="I256" t="s">
        <v>305</v>
      </c>
      <c r="J256">
        <v>1</v>
      </c>
      <c r="K256">
        <v>3</v>
      </c>
      <c r="L256">
        <v>3</v>
      </c>
      <c r="M256" t="s">
        <v>2381</v>
      </c>
      <c r="N256">
        <v>72</v>
      </c>
      <c r="O256">
        <v>129</v>
      </c>
      <c r="P256">
        <v>7</v>
      </c>
      <c r="Q256" t="s">
        <v>427</v>
      </c>
      <c r="R256" t="s">
        <v>2382</v>
      </c>
      <c r="S256">
        <v>13</v>
      </c>
      <c r="T256">
        <v>0</v>
      </c>
      <c r="U256" t="s">
        <v>52</v>
      </c>
      <c r="V256" t="s">
        <v>2383</v>
      </c>
      <c r="W256" t="s">
        <v>54</v>
      </c>
      <c r="X256" t="s">
        <v>54</v>
      </c>
      <c r="Y256" t="s">
        <v>54</v>
      </c>
      <c r="Z256" t="s">
        <v>54</v>
      </c>
      <c r="AA256" t="s">
        <v>54</v>
      </c>
      <c r="AB256" t="s">
        <v>54</v>
      </c>
      <c r="AC256" t="s">
        <v>54</v>
      </c>
      <c r="AD256" t="s">
        <v>54</v>
      </c>
      <c r="AE256" t="s">
        <v>54</v>
      </c>
      <c r="AF256" t="s">
        <v>54</v>
      </c>
      <c r="AG256" t="s">
        <v>54</v>
      </c>
      <c r="AH256" t="s">
        <v>54</v>
      </c>
      <c r="AI256" t="s">
        <v>54</v>
      </c>
      <c r="AJ256" t="s">
        <v>54</v>
      </c>
      <c r="AK256" t="s">
        <v>54</v>
      </c>
      <c r="AL256" t="s">
        <v>54</v>
      </c>
      <c r="AM256" t="s">
        <v>54</v>
      </c>
      <c r="AN256" t="s">
        <v>54</v>
      </c>
      <c r="AO256" t="s">
        <v>54</v>
      </c>
      <c r="AP256" t="s">
        <v>54</v>
      </c>
      <c r="AQ256" t="s">
        <v>54</v>
      </c>
    </row>
    <row r="257" spans="1:43" x14ac:dyDescent="0.25">
      <c r="A257" t="s">
        <v>2384</v>
      </c>
      <c r="B257">
        <v>136</v>
      </c>
      <c r="C257">
        <v>91</v>
      </c>
      <c r="D257" t="s">
        <v>2385</v>
      </c>
      <c r="E257" t="s">
        <v>760</v>
      </c>
      <c r="F257" t="s">
        <v>2386</v>
      </c>
      <c r="G257" t="s">
        <v>2387</v>
      </c>
      <c r="H257" t="s">
        <v>1572</v>
      </c>
      <c r="I257" t="s">
        <v>990</v>
      </c>
      <c r="J257">
        <v>8</v>
      </c>
      <c r="K257">
        <v>1</v>
      </c>
      <c r="L257">
        <v>4</v>
      </c>
      <c r="M257" t="s">
        <v>2388</v>
      </c>
      <c r="N257">
        <v>71</v>
      </c>
      <c r="O257">
        <v>136</v>
      </c>
      <c r="P257">
        <v>12</v>
      </c>
      <c r="Q257" t="s">
        <v>2389</v>
      </c>
      <c r="R257" t="s">
        <v>1604</v>
      </c>
      <c r="S257">
        <v>20</v>
      </c>
      <c r="T257">
        <v>0</v>
      </c>
      <c r="U257" t="s">
        <v>52</v>
      </c>
      <c r="V257" t="s">
        <v>2390</v>
      </c>
      <c r="W257" t="s">
        <v>54</v>
      </c>
      <c r="X257" t="s">
        <v>54</v>
      </c>
      <c r="Y257" t="s">
        <v>54</v>
      </c>
      <c r="Z257" t="s">
        <v>54</v>
      </c>
      <c r="AA257" t="s">
        <v>54</v>
      </c>
      <c r="AB257" t="s">
        <v>54</v>
      </c>
      <c r="AC257" t="s">
        <v>54</v>
      </c>
      <c r="AD257" t="s">
        <v>54</v>
      </c>
      <c r="AE257" t="s">
        <v>54</v>
      </c>
      <c r="AF257" t="s">
        <v>54</v>
      </c>
      <c r="AG257" t="s">
        <v>54</v>
      </c>
      <c r="AH257" t="s">
        <v>54</v>
      </c>
      <c r="AI257" t="s">
        <v>54</v>
      </c>
      <c r="AJ257" t="s">
        <v>54</v>
      </c>
      <c r="AK257" t="s">
        <v>54</v>
      </c>
      <c r="AL257" t="s">
        <v>54</v>
      </c>
      <c r="AM257" t="s">
        <v>54</v>
      </c>
      <c r="AN257" t="s">
        <v>54</v>
      </c>
      <c r="AO257" t="s">
        <v>54</v>
      </c>
      <c r="AP257" t="s">
        <v>54</v>
      </c>
      <c r="AQ257" t="s">
        <v>54</v>
      </c>
    </row>
    <row r="258" spans="1:43" x14ac:dyDescent="0.25">
      <c r="A258" t="s">
        <v>2391</v>
      </c>
      <c r="B258">
        <v>119</v>
      </c>
      <c r="C258">
        <v>97</v>
      </c>
      <c r="D258" t="s">
        <v>2392</v>
      </c>
      <c r="E258" t="s">
        <v>2393</v>
      </c>
      <c r="F258" t="s">
        <v>2394</v>
      </c>
      <c r="G258" t="s">
        <v>2395</v>
      </c>
      <c r="H258" t="s">
        <v>2396</v>
      </c>
      <c r="I258" t="s">
        <v>2397</v>
      </c>
      <c r="J258">
        <v>2</v>
      </c>
      <c r="K258">
        <v>4</v>
      </c>
      <c r="L258">
        <v>3</v>
      </c>
      <c r="M258" t="s">
        <v>637</v>
      </c>
      <c r="N258">
        <v>66</v>
      </c>
      <c r="O258">
        <v>120</v>
      </c>
      <c r="P258">
        <v>19</v>
      </c>
      <c r="Q258" t="s">
        <v>2398</v>
      </c>
      <c r="R258" t="s">
        <v>2399</v>
      </c>
      <c r="S258">
        <v>17</v>
      </c>
      <c r="T258">
        <v>0</v>
      </c>
      <c r="U258" t="s">
        <v>52</v>
      </c>
      <c r="V258" t="s">
        <v>2400</v>
      </c>
      <c r="W258" t="s">
        <v>54</v>
      </c>
      <c r="X258" t="s">
        <v>54</v>
      </c>
      <c r="Y258" t="s">
        <v>54</v>
      </c>
      <c r="Z258" t="s">
        <v>54</v>
      </c>
      <c r="AA258" t="s">
        <v>54</v>
      </c>
      <c r="AB258" t="s">
        <v>54</v>
      </c>
      <c r="AC258" t="s">
        <v>54</v>
      </c>
      <c r="AD258" t="s">
        <v>54</v>
      </c>
      <c r="AE258" t="s">
        <v>54</v>
      </c>
      <c r="AF258" t="s">
        <v>54</v>
      </c>
      <c r="AG258" t="s">
        <v>54</v>
      </c>
      <c r="AH258" t="s">
        <v>54</v>
      </c>
      <c r="AI258" t="s">
        <v>54</v>
      </c>
      <c r="AJ258" t="s">
        <v>54</v>
      </c>
      <c r="AK258" t="s">
        <v>54</v>
      </c>
      <c r="AL258" t="s">
        <v>54</v>
      </c>
      <c r="AM258" t="s">
        <v>54</v>
      </c>
      <c r="AN258" t="s">
        <v>54</v>
      </c>
      <c r="AO258" t="s">
        <v>54</v>
      </c>
      <c r="AP258" t="s">
        <v>54</v>
      </c>
      <c r="AQ258" t="s">
        <v>54</v>
      </c>
    </row>
    <row r="259" spans="1:43" x14ac:dyDescent="0.25">
      <c r="A259" t="s">
        <v>2401</v>
      </c>
      <c r="B259">
        <v>159</v>
      </c>
      <c r="C259">
        <v>97</v>
      </c>
      <c r="D259" t="s">
        <v>2402</v>
      </c>
      <c r="E259" t="s">
        <v>2403</v>
      </c>
      <c r="F259" t="s">
        <v>2404</v>
      </c>
      <c r="G259" t="s">
        <v>2405</v>
      </c>
      <c r="H259" t="s">
        <v>2406</v>
      </c>
      <c r="I259" t="s">
        <v>52</v>
      </c>
      <c r="J259">
        <v>11</v>
      </c>
      <c r="K259">
        <v>0</v>
      </c>
      <c r="L259">
        <v>2</v>
      </c>
      <c r="M259" t="s">
        <v>899</v>
      </c>
      <c r="N259">
        <v>74</v>
      </c>
      <c r="O259">
        <v>160</v>
      </c>
      <c r="P259">
        <v>9</v>
      </c>
      <c r="Q259" t="s">
        <v>2407</v>
      </c>
      <c r="R259" t="s">
        <v>1541</v>
      </c>
      <c r="S259">
        <v>24</v>
      </c>
      <c r="T259">
        <v>0</v>
      </c>
      <c r="U259" t="s">
        <v>52</v>
      </c>
      <c r="V259" t="s">
        <v>2408</v>
      </c>
      <c r="W259" t="s">
        <v>54</v>
      </c>
      <c r="X259" t="s">
        <v>54</v>
      </c>
      <c r="Y259" t="s">
        <v>54</v>
      </c>
      <c r="Z259" t="s">
        <v>54</v>
      </c>
      <c r="AA259" t="s">
        <v>54</v>
      </c>
      <c r="AB259" t="s">
        <v>54</v>
      </c>
      <c r="AC259" t="s">
        <v>54</v>
      </c>
      <c r="AD259" t="s">
        <v>54</v>
      </c>
      <c r="AE259" t="s">
        <v>54</v>
      </c>
      <c r="AF259" t="s">
        <v>54</v>
      </c>
      <c r="AG259" t="s">
        <v>54</v>
      </c>
      <c r="AH259" t="s">
        <v>54</v>
      </c>
      <c r="AI259" t="s">
        <v>54</v>
      </c>
      <c r="AJ259" t="s">
        <v>54</v>
      </c>
      <c r="AK259" t="s">
        <v>54</v>
      </c>
      <c r="AL259" t="s">
        <v>54</v>
      </c>
      <c r="AM259" t="s">
        <v>54</v>
      </c>
      <c r="AN259" t="s">
        <v>54</v>
      </c>
      <c r="AO259" t="s">
        <v>54</v>
      </c>
      <c r="AP259" t="s">
        <v>54</v>
      </c>
      <c r="AQ259" t="s">
        <v>54</v>
      </c>
    </row>
    <row r="260" spans="1:43" x14ac:dyDescent="0.25">
      <c r="A260" t="s">
        <v>2409</v>
      </c>
      <c r="B260">
        <v>140</v>
      </c>
      <c r="C260">
        <v>104</v>
      </c>
      <c r="D260" t="s">
        <v>2410</v>
      </c>
      <c r="E260" t="s">
        <v>2411</v>
      </c>
      <c r="F260" t="s">
        <v>2412</v>
      </c>
      <c r="G260" t="s">
        <v>2413</v>
      </c>
      <c r="H260" t="s">
        <v>1863</v>
      </c>
      <c r="I260" t="s">
        <v>2414</v>
      </c>
      <c r="J260">
        <v>3</v>
      </c>
      <c r="K260">
        <v>1</v>
      </c>
      <c r="L260">
        <v>3</v>
      </c>
      <c r="M260" t="s">
        <v>2415</v>
      </c>
      <c r="N260">
        <v>74</v>
      </c>
      <c r="O260">
        <v>140</v>
      </c>
      <c r="P260">
        <v>10</v>
      </c>
      <c r="Q260" t="s">
        <v>261</v>
      </c>
      <c r="R260" t="s">
        <v>717</v>
      </c>
      <c r="S260">
        <v>18</v>
      </c>
      <c r="T260">
        <v>0</v>
      </c>
      <c r="U260" t="s">
        <v>52</v>
      </c>
      <c r="V260" t="s">
        <v>2416</v>
      </c>
      <c r="W260" t="s">
        <v>54</v>
      </c>
      <c r="X260" t="s">
        <v>54</v>
      </c>
      <c r="Y260" t="s">
        <v>54</v>
      </c>
      <c r="Z260" t="s">
        <v>54</v>
      </c>
      <c r="AA260" t="s">
        <v>54</v>
      </c>
      <c r="AB260" t="s">
        <v>54</v>
      </c>
      <c r="AC260" t="s">
        <v>54</v>
      </c>
      <c r="AD260" t="s">
        <v>54</v>
      </c>
      <c r="AE260" t="s">
        <v>54</v>
      </c>
      <c r="AF260" t="s">
        <v>54</v>
      </c>
      <c r="AG260" t="s">
        <v>54</v>
      </c>
      <c r="AH260" t="s">
        <v>54</v>
      </c>
      <c r="AI260" t="s">
        <v>54</v>
      </c>
      <c r="AJ260" t="s">
        <v>54</v>
      </c>
      <c r="AK260" t="s">
        <v>54</v>
      </c>
      <c r="AL260" t="s">
        <v>54</v>
      </c>
      <c r="AM260" t="s">
        <v>54</v>
      </c>
      <c r="AN260" t="s">
        <v>54</v>
      </c>
      <c r="AO260" t="s">
        <v>54</v>
      </c>
      <c r="AP260" t="s">
        <v>54</v>
      </c>
      <c r="AQ260" t="s">
        <v>54</v>
      </c>
    </row>
    <row r="261" spans="1:43" x14ac:dyDescent="0.25">
      <c r="A261" t="s">
        <v>2417</v>
      </c>
      <c r="B261">
        <v>116</v>
      </c>
      <c r="C261">
        <v>88</v>
      </c>
      <c r="D261" t="s">
        <v>2418</v>
      </c>
      <c r="E261" t="s">
        <v>2419</v>
      </c>
      <c r="F261" t="s">
        <v>1853</v>
      </c>
      <c r="G261" t="s">
        <v>2420</v>
      </c>
      <c r="H261" t="s">
        <v>2319</v>
      </c>
      <c r="I261" t="s">
        <v>2421</v>
      </c>
      <c r="J261">
        <v>2</v>
      </c>
      <c r="K261">
        <v>1</v>
      </c>
      <c r="L261">
        <v>2</v>
      </c>
      <c r="M261" t="s">
        <v>2422</v>
      </c>
      <c r="N261">
        <v>60</v>
      </c>
      <c r="O261">
        <v>118</v>
      </c>
      <c r="P261">
        <v>16</v>
      </c>
      <c r="Q261" t="s">
        <v>2423</v>
      </c>
      <c r="R261" t="s">
        <v>1546</v>
      </c>
      <c r="S261">
        <v>13</v>
      </c>
      <c r="T261">
        <v>0</v>
      </c>
      <c r="U261" t="s">
        <v>52</v>
      </c>
      <c r="V261" t="s">
        <v>2424</v>
      </c>
      <c r="W261" t="s">
        <v>54</v>
      </c>
      <c r="X261" t="s">
        <v>54</v>
      </c>
      <c r="Y261" t="s">
        <v>54</v>
      </c>
      <c r="Z261" t="s">
        <v>54</v>
      </c>
      <c r="AA261" t="s">
        <v>54</v>
      </c>
      <c r="AB261" t="s">
        <v>54</v>
      </c>
      <c r="AC261" t="s">
        <v>54</v>
      </c>
      <c r="AD261" t="s">
        <v>54</v>
      </c>
      <c r="AE261" t="s">
        <v>54</v>
      </c>
      <c r="AF261" t="s">
        <v>54</v>
      </c>
      <c r="AG261" t="s">
        <v>54</v>
      </c>
      <c r="AH261" t="s">
        <v>54</v>
      </c>
      <c r="AI261" t="s">
        <v>54</v>
      </c>
      <c r="AJ261" t="s">
        <v>54</v>
      </c>
      <c r="AK261" t="s">
        <v>54</v>
      </c>
      <c r="AL261" t="s">
        <v>54</v>
      </c>
      <c r="AM261" t="s">
        <v>54</v>
      </c>
      <c r="AN261" t="s">
        <v>54</v>
      </c>
      <c r="AO261" t="s">
        <v>54</v>
      </c>
      <c r="AP261" t="s">
        <v>54</v>
      </c>
      <c r="AQ261" t="s">
        <v>54</v>
      </c>
    </row>
    <row r="262" spans="1:43" x14ac:dyDescent="0.25">
      <c r="A262" t="s">
        <v>2425</v>
      </c>
      <c r="B262">
        <v>159</v>
      </c>
      <c r="C262">
        <v>115</v>
      </c>
      <c r="D262" t="s">
        <v>2426</v>
      </c>
      <c r="E262" t="s">
        <v>2427</v>
      </c>
      <c r="F262" t="s">
        <v>2428</v>
      </c>
      <c r="G262" t="s">
        <v>2429</v>
      </c>
      <c r="H262" t="s">
        <v>1251</v>
      </c>
      <c r="I262" t="s">
        <v>52</v>
      </c>
      <c r="J262">
        <v>2</v>
      </c>
      <c r="K262">
        <v>0</v>
      </c>
      <c r="L262">
        <v>4</v>
      </c>
      <c r="M262" t="s">
        <v>2430</v>
      </c>
      <c r="N262">
        <v>98</v>
      </c>
      <c r="O262">
        <v>159</v>
      </c>
      <c r="P262">
        <v>11</v>
      </c>
      <c r="Q262" t="s">
        <v>2431</v>
      </c>
      <c r="R262" t="s">
        <v>221</v>
      </c>
      <c r="S262">
        <v>15</v>
      </c>
      <c r="T262">
        <v>0</v>
      </c>
      <c r="U262" t="s">
        <v>52</v>
      </c>
      <c r="V262" t="s">
        <v>2432</v>
      </c>
      <c r="W262" t="s">
        <v>54</v>
      </c>
      <c r="X262" t="s">
        <v>54</v>
      </c>
      <c r="Y262" t="s">
        <v>54</v>
      </c>
      <c r="Z262" t="s">
        <v>54</v>
      </c>
      <c r="AA262" t="s">
        <v>54</v>
      </c>
      <c r="AB262" t="s">
        <v>54</v>
      </c>
      <c r="AC262" t="s">
        <v>54</v>
      </c>
      <c r="AD262" t="s">
        <v>54</v>
      </c>
      <c r="AE262" t="s">
        <v>54</v>
      </c>
      <c r="AF262" t="s">
        <v>54</v>
      </c>
      <c r="AG262" t="s">
        <v>54</v>
      </c>
      <c r="AH262" t="s">
        <v>54</v>
      </c>
      <c r="AI262" t="s">
        <v>54</v>
      </c>
      <c r="AJ262" t="s">
        <v>54</v>
      </c>
      <c r="AK262" t="s">
        <v>54</v>
      </c>
      <c r="AL262" t="s">
        <v>54</v>
      </c>
      <c r="AM262" t="s">
        <v>54</v>
      </c>
      <c r="AN262" t="s">
        <v>54</v>
      </c>
      <c r="AO262" t="s">
        <v>54</v>
      </c>
      <c r="AP262" t="s">
        <v>54</v>
      </c>
      <c r="AQ262" t="s">
        <v>54</v>
      </c>
    </row>
    <row r="263" spans="1:43" x14ac:dyDescent="0.25">
      <c r="A263" t="s">
        <v>2433</v>
      </c>
      <c r="B263">
        <v>105</v>
      </c>
      <c r="C263">
        <v>81</v>
      </c>
      <c r="D263" t="s">
        <v>2434</v>
      </c>
      <c r="E263" t="s">
        <v>2435</v>
      </c>
      <c r="F263" t="s">
        <v>2436</v>
      </c>
      <c r="G263" t="s">
        <v>2437</v>
      </c>
      <c r="H263" t="s">
        <v>2438</v>
      </c>
      <c r="I263" t="s">
        <v>1797</v>
      </c>
      <c r="J263">
        <v>5</v>
      </c>
      <c r="K263">
        <v>4</v>
      </c>
      <c r="L263">
        <v>2</v>
      </c>
      <c r="M263" t="s">
        <v>642</v>
      </c>
      <c r="N263">
        <v>51</v>
      </c>
      <c r="O263">
        <v>105</v>
      </c>
      <c r="P263">
        <v>9</v>
      </c>
      <c r="Q263" t="s">
        <v>1513</v>
      </c>
      <c r="R263" t="s">
        <v>1604</v>
      </c>
      <c r="S263">
        <v>15</v>
      </c>
      <c r="T263">
        <v>0</v>
      </c>
      <c r="U263" t="s">
        <v>52</v>
      </c>
      <c r="V263" t="s">
        <v>2439</v>
      </c>
      <c r="W263" t="s">
        <v>54</v>
      </c>
      <c r="X263" t="s">
        <v>54</v>
      </c>
      <c r="Y263" t="s">
        <v>54</v>
      </c>
      <c r="Z263" t="s">
        <v>54</v>
      </c>
      <c r="AA263" t="s">
        <v>54</v>
      </c>
      <c r="AB263" t="s">
        <v>54</v>
      </c>
      <c r="AC263" t="s">
        <v>54</v>
      </c>
      <c r="AD263" t="s">
        <v>54</v>
      </c>
      <c r="AE263" t="s">
        <v>54</v>
      </c>
      <c r="AF263" t="s">
        <v>54</v>
      </c>
      <c r="AG263" t="s">
        <v>54</v>
      </c>
      <c r="AH263" t="s">
        <v>54</v>
      </c>
      <c r="AI263" t="s">
        <v>54</v>
      </c>
      <c r="AJ263" t="s">
        <v>54</v>
      </c>
      <c r="AK263" t="s">
        <v>54</v>
      </c>
      <c r="AL263" t="s">
        <v>54</v>
      </c>
      <c r="AM263" t="s">
        <v>54</v>
      </c>
      <c r="AN263" t="s">
        <v>54</v>
      </c>
      <c r="AO263" t="s">
        <v>54</v>
      </c>
      <c r="AP263" t="s">
        <v>54</v>
      </c>
      <c r="AQ263" t="s">
        <v>54</v>
      </c>
    </row>
    <row r="264" spans="1:43" x14ac:dyDescent="0.25">
      <c r="A264" t="s">
        <v>2440</v>
      </c>
      <c r="B264">
        <v>127</v>
      </c>
      <c r="C264">
        <v>90</v>
      </c>
      <c r="D264" t="s">
        <v>1210</v>
      </c>
      <c r="E264" t="s">
        <v>2441</v>
      </c>
      <c r="F264" t="s">
        <v>2442</v>
      </c>
      <c r="G264" t="s">
        <v>2443</v>
      </c>
      <c r="H264" t="s">
        <v>2444</v>
      </c>
      <c r="I264" t="s">
        <v>2445</v>
      </c>
      <c r="J264">
        <v>2</v>
      </c>
      <c r="K264">
        <v>4</v>
      </c>
      <c r="L264">
        <v>4</v>
      </c>
      <c r="M264" t="s">
        <v>2446</v>
      </c>
      <c r="N264">
        <v>65</v>
      </c>
      <c r="O264">
        <v>127</v>
      </c>
      <c r="P264">
        <v>7</v>
      </c>
      <c r="Q264" t="s">
        <v>2447</v>
      </c>
      <c r="R264" t="s">
        <v>1943</v>
      </c>
      <c r="S264">
        <v>12</v>
      </c>
      <c r="T264">
        <v>0</v>
      </c>
      <c r="U264" t="s">
        <v>52</v>
      </c>
      <c r="V264" t="s">
        <v>2448</v>
      </c>
      <c r="W264" t="s">
        <v>54</v>
      </c>
      <c r="X264" t="s">
        <v>54</v>
      </c>
      <c r="Y264" t="s">
        <v>54</v>
      </c>
      <c r="Z264" t="s">
        <v>54</v>
      </c>
      <c r="AA264" t="s">
        <v>54</v>
      </c>
      <c r="AB264" t="s">
        <v>54</v>
      </c>
      <c r="AC264" t="s">
        <v>54</v>
      </c>
      <c r="AD264" t="s">
        <v>54</v>
      </c>
      <c r="AE264" t="s">
        <v>54</v>
      </c>
      <c r="AF264" t="s">
        <v>54</v>
      </c>
      <c r="AG264" t="s">
        <v>54</v>
      </c>
      <c r="AH264" t="s">
        <v>54</v>
      </c>
      <c r="AI264" t="s">
        <v>54</v>
      </c>
      <c r="AJ264" t="s">
        <v>54</v>
      </c>
      <c r="AK264" t="s">
        <v>54</v>
      </c>
      <c r="AL264" t="s">
        <v>54</v>
      </c>
      <c r="AM264" t="s">
        <v>54</v>
      </c>
      <c r="AN264" t="s">
        <v>54</v>
      </c>
      <c r="AO264" t="s">
        <v>54</v>
      </c>
      <c r="AP264" t="s">
        <v>54</v>
      </c>
      <c r="AQ264" t="s">
        <v>54</v>
      </c>
    </row>
    <row r="265" spans="1:43" x14ac:dyDescent="0.25">
      <c r="A265" t="s">
        <v>2449</v>
      </c>
      <c r="B265">
        <v>207</v>
      </c>
      <c r="C265">
        <v>129</v>
      </c>
      <c r="D265" t="s">
        <v>2450</v>
      </c>
      <c r="E265" t="s">
        <v>2451</v>
      </c>
      <c r="F265" t="s">
        <v>2452</v>
      </c>
      <c r="G265" t="s">
        <v>2453</v>
      </c>
      <c r="H265" t="s">
        <v>2454</v>
      </c>
      <c r="I265" t="s">
        <v>536</v>
      </c>
      <c r="J265">
        <v>7</v>
      </c>
      <c r="K265">
        <v>3</v>
      </c>
      <c r="L265">
        <v>3</v>
      </c>
      <c r="M265" t="s">
        <v>2451</v>
      </c>
      <c r="N265">
        <v>119</v>
      </c>
      <c r="O265">
        <v>207</v>
      </c>
      <c r="P265">
        <v>19</v>
      </c>
      <c r="Q265" t="s">
        <v>2455</v>
      </c>
      <c r="R265" t="s">
        <v>2456</v>
      </c>
      <c r="S265">
        <v>28</v>
      </c>
      <c r="T265">
        <v>0</v>
      </c>
      <c r="U265" t="s">
        <v>52</v>
      </c>
      <c r="V265" t="s">
        <v>2457</v>
      </c>
      <c r="W265" t="s">
        <v>54</v>
      </c>
      <c r="X265" t="s">
        <v>54</v>
      </c>
      <c r="Y265" t="s">
        <v>54</v>
      </c>
      <c r="Z265" t="s">
        <v>54</v>
      </c>
      <c r="AA265" t="s">
        <v>54</v>
      </c>
      <c r="AB265" t="s">
        <v>54</v>
      </c>
      <c r="AC265" t="s">
        <v>54</v>
      </c>
      <c r="AD265" t="s">
        <v>54</v>
      </c>
      <c r="AE265" t="s">
        <v>54</v>
      </c>
      <c r="AF265" t="s">
        <v>54</v>
      </c>
      <c r="AG265" t="s">
        <v>54</v>
      </c>
      <c r="AH265" t="s">
        <v>54</v>
      </c>
      <c r="AI265" t="s">
        <v>54</v>
      </c>
      <c r="AJ265" t="s">
        <v>54</v>
      </c>
      <c r="AK265" t="s">
        <v>54</v>
      </c>
      <c r="AL265" t="s">
        <v>54</v>
      </c>
      <c r="AM265" t="s">
        <v>54</v>
      </c>
      <c r="AN265" t="s">
        <v>54</v>
      </c>
      <c r="AO265" t="s">
        <v>54</v>
      </c>
      <c r="AP265" t="s">
        <v>54</v>
      </c>
      <c r="AQ265" t="s">
        <v>54</v>
      </c>
    </row>
    <row r="266" spans="1:43" x14ac:dyDescent="0.25">
      <c r="A266" t="s">
        <v>2458</v>
      </c>
      <c r="B266">
        <v>164</v>
      </c>
      <c r="C266">
        <v>126</v>
      </c>
      <c r="D266" t="s">
        <v>2459</v>
      </c>
      <c r="E266" t="s">
        <v>1545</v>
      </c>
      <c r="F266" t="s">
        <v>2460</v>
      </c>
      <c r="G266" t="s">
        <v>2461</v>
      </c>
      <c r="H266" t="s">
        <v>2354</v>
      </c>
      <c r="I266" t="s">
        <v>52</v>
      </c>
      <c r="J266">
        <v>2</v>
      </c>
      <c r="K266">
        <v>0</v>
      </c>
      <c r="L266">
        <v>1</v>
      </c>
      <c r="M266" t="s">
        <v>675</v>
      </c>
      <c r="N266">
        <v>96</v>
      </c>
      <c r="O266">
        <v>164</v>
      </c>
      <c r="P266">
        <v>15</v>
      </c>
      <c r="Q266" t="s">
        <v>2462</v>
      </c>
      <c r="R266" t="s">
        <v>2087</v>
      </c>
      <c r="S266">
        <v>16</v>
      </c>
      <c r="T266">
        <v>0</v>
      </c>
      <c r="U266" t="s">
        <v>52</v>
      </c>
      <c r="V266" t="s">
        <v>2463</v>
      </c>
      <c r="W266" t="s">
        <v>54</v>
      </c>
      <c r="X266" t="s">
        <v>54</v>
      </c>
      <c r="Y266" t="s">
        <v>54</v>
      </c>
      <c r="Z266" t="s">
        <v>54</v>
      </c>
      <c r="AA266" t="s">
        <v>54</v>
      </c>
      <c r="AB266" t="s">
        <v>54</v>
      </c>
      <c r="AC266" t="s">
        <v>54</v>
      </c>
      <c r="AD266" t="s">
        <v>54</v>
      </c>
      <c r="AE266" t="s">
        <v>54</v>
      </c>
      <c r="AF266" t="s">
        <v>54</v>
      </c>
      <c r="AG266" t="s">
        <v>54</v>
      </c>
      <c r="AH266" t="s">
        <v>54</v>
      </c>
      <c r="AI266" t="s">
        <v>54</v>
      </c>
      <c r="AJ266" t="s">
        <v>54</v>
      </c>
      <c r="AK266" t="s">
        <v>54</v>
      </c>
      <c r="AL266" t="s">
        <v>54</v>
      </c>
      <c r="AM266" t="s">
        <v>54</v>
      </c>
      <c r="AN266" t="s">
        <v>54</v>
      </c>
      <c r="AO266" t="s">
        <v>54</v>
      </c>
      <c r="AP266" t="s">
        <v>54</v>
      </c>
      <c r="AQ266" t="s">
        <v>54</v>
      </c>
    </row>
    <row r="267" spans="1:43" x14ac:dyDescent="0.25">
      <c r="A267" t="s">
        <v>2464</v>
      </c>
      <c r="B267">
        <v>99</v>
      </c>
      <c r="C267">
        <v>80</v>
      </c>
      <c r="D267" t="s">
        <v>2465</v>
      </c>
      <c r="E267" t="s">
        <v>2466</v>
      </c>
      <c r="F267" t="s">
        <v>382</v>
      </c>
      <c r="G267" t="s">
        <v>2467</v>
      </c>
      <c r="H267" t="s">
        <v>52</v>
      </c>
      <c r="I267" t="s">
        <v>1940</v>
      </c>
      <c r="J267">
        <v>0</v>
      </c>
      <c r="K267">
        <v>1</v>
      </c>
      <c r="L267">
        <v>1</v>
      </c>
      <c r="M267" t="s">
        <v>762</v>
      </c>
      <c r="N267">
        <v>60</v>
      </c>
      <c r="O267">
        <v>102</v>
      </c>
      <c r="P267">
        <v>8</v>
      </c>
      <c r="Q267" t="s">
        <v>2468</v>
      </c>
      <c r="R267" t="s">
        <v>366</v>
      </c>
      <c r="S267">
        <v>8</v>
      </c>
      <c r="T267">
        <v>0</v>
      </c>
      <c r="U267" t="s">
        <v>52</v>
      </c>
      <c r="V267" t="s">
        <v>2469</v>
      </c>
      <c r="W267" t="s">
        <v>54</v>
      </c>
      <c r="X267" t="s">
        <v>54</v>
      </c>
      <c r="Y267" t="s">
        <v>54</v>
      </c>
      <c r="Z267" t="s">
        <v>54</v>
      </c>
      <c r="AA267" t="s">
        <v>54</v>
      </c>
      <c r="AB267" t="s">
        <v>54</v>
      </c>
      <c r="AC267" t="s">
        <v>54</v>
      </c>
      <c r="AD267" t="s">
        <v>54</v>
      </c>
      <c r="AE267" t="s">
        <v>54</v>
      </c>
      <c r="AF267" t="s">
        <v>54</v>
      </c>
      <c r="AG267" t="s">
        <v>54</v>
      </c>
      <c r="AH267" t="s">
        <v>54</v>
      </c>
      <c r="AI267" t="s">
        <v>54</v>
      </c>
      <c r="AJ267" t="s">
        <v>54</v>
      </c>
      <c r="AK267" t="s">
        <v>54</v>
      </c>
      <c r="AL267" t="s">
        <v>54</v>
      </c>
      <c r="AM267" t="s">
        <v>54</v>
      </c>
      <c r="AN267" t="s">
        <v>54</v>
      </c>
      <c r="AO267" t="s">
        <v>54</v>
      </c>
      <c r="AP267" t="s">
        <v>54</v>
      </c>
      <c r="AQ267" t="s">
        <v>54</v>
      </c>
    </row>
    <row r="268" spans="1:43" x14ac:dyDescent="0.25">
      <c r="A268" t="s">
        <v>2470</v>
      </c>
      <c r="B268">
        <v>87</v>
      </c>
      <c r="C268">
        <v>75</v>
      </c>
      <c r="D268" t="s">
        <v>2471</v>
      </c>
      <c r="E268" t="s">
        <v>2472</v>
      </c>
      <c r="F268" t="s">
        <v>2473</v>
      </c>
      <c r="G268" t="s">
        <v>2474</v>
      </c>
      <c r="H268" t="s">
        <v>2475</v>
      </c>
      <c r="I268" t="s">
        <v>52</v>
      </c>
      <c r="J268">
        <v>3</v>
      </c>
      <c r="K268">
        <v>0</v>
      </c>
      <c r="L268">
        <v>1</v>
      </c>
      <c r="M268" t="s">
        <v>2476</v>
      </c>
      <c r="N268">
        <v>52</v>
      </c>
      <c r="O268">
        <v>87</v>
      </c>
      <c r="P268">
        <v>6</v>
      </c>
      <c r="Q268" t="s">
        <v>2477</v>
      </c>
      <c r="R268" t="s">
        <v>457</v>
      </c>
      <c r="S268">
        <v>13</v>
      </c>
      <c r="T268">
        <v>0</v>
      </c>
      <c r="U268" t="s">
        <v>52</v>
      </c>
      <c r="V268" t="s">
        <v>2478</v>
      </c>
      <c r="W268" t="s">
        <v>54</v>
      </c>
      <c r="X268" t="s">
        <v>54</v>
      </c>
      <c r="Y268" t="s">
        <v>54</v>
      </c>
      <c r="Z268" t="s">
        <v>54</v>
      </c>
      <c r="AA268" t="s">
        <v>54</v>
      </c>
      <c r="AB268" t="s">
        <v>54</v>
      </c>
      <c r="AC268" t="s">
        <v>54</v>
      </c>
      <c r="AD268" t="s">
        <v>54</v>
      </c>
      <c r="AE268" t="s">
        <v>54</v>
      </c>
      <c r="AF268" t="s">
        <v>54</v>
      </c>
      <c r="AG268" t="s">
        <v>54</v>
      </c>
      <c r="AH268" t="s">
        <v>54</v>
      </c>
      <c r="AI268" t="s">
        <v>54</v>
      </c>
      <c r="AJ268" t="s">
        <v>54</v>
      </c>
      <c r="AK268" t="s">
        <v>54</v>
      </c>
      <c r="AL268" t="s">
        <v>54</v>
      </c>
      <c r="AM268" t="s">
        <v>54</v>
      </c>
      <c r="AN268" t="s">
        <v>54</v>
      </c>
      <c r="AO268" t="s">
        <v>54</v>
      </c>
      <c r="AP268" t="s">
        <v>54</v>
      </c>
      <c r="AQ268" t="s">
        <v>54</v>
      </c>
    </row>
    <row r="269" spans="1:43" x14ac:dyDescent="0.25">
      <c r="A269" t="s">
        <v>2479</v>
      </c>
      <c r="B269">
        <v>161</v>
      </c>
      <c r="C269">
        <v>110</v>
      </c>
      <c r="D269" t="s">
        <v>2480</v>
      </c>
      <c r="E269" t="s">
        <v>1576</v>
      </c>
      <c r="F269" t="s">
        <v>342</v>
      </c>
      <c r="G269" t="s">
        <v>2481</v>
      </c>
      <c r="H269" t="s">
        <v>563</v>
      </c>
      <c r="I269" t="s">
        <v>1578</v>
      </c>
      <c r="J269">
        <v>2</v>
      </c>
      <c r="K269">
        <v>4</v>
      </c>
      <c r="L269">
        <v>3</v>
      </c>
      <c r="M269" t="s">
        <v>2482</v>
      </c>
      <c r="N269">
        <v>95</v>
      </c>
      <c r="O269">
        <v>160</v>
      </c>
      <c r="P269">
        <v>15</v>
      </c>
      <c r="Q269" t="s">
        <v>2483</v>
      </c>
      <c r="R269" t="s">
        <v>366</v>
      </c>
      <c r="S269">
        <v>15</v>
      </c>
      <c r="T269">
        <v>0</v>
      </c>
      <c r="U269" t="s">
        <v>52</v>
      </c>
      <c r="V269" t="s">
        <v>2484</v>
      </c>
      <c r="W269" t="s">
        <v>54</v>
      </c>
      <c r="X269" t="s">
        <v>54</v>
      </c>
      <c r="Y269" t="s">
        <v>54</v>
      </c>
      <c r="Z269" t="s">
        <v>54</v>
      </c>
      <c r="AA269" t="s">
        <v>54</v>
      </c>
      <c r="AB269" t="s">
        <v>54</v>
      </c>
      <c r="AC269" t="s">
        <v>54</v>
      </c>
      <c r="AD269" t="s">
        <v>54</v>
      </c>
      <c r="AE269" t="s">
        <v>54</v>
      </c>
      <c r="AF269" t="s">
        <v>54</v>
      </c>
      <c r="AG269" t="s">
        <v>54</v>
      </c>
      <c r="AH269" t="s">
        <v>54</v>
      </c>
      <c r="AI269" t="s">
        <v>54</v>
      </c>
      <c r="AJ269" t="s">
        <v>54</v>
      </c>
      <c r="AK269" t="s">
        <v>54</v>
      </c>
      <c r="AL269" t="s">
        <v>54</v>
      </c>
      <c r="AM269" t="s">
        <v>54</v>
      </c>
      <c r="AN269" t="s">
        <v>54</v>
      </c>
      <c r="AO269" t="s">
        <v>54</v>
      </c>
      <c r="AP269" t="s">
        <v>54</v>
      </c>
      <c r="AQ269" t="s">
        <v>54</v>
      </c>
    </row>
    <row r="270" spans="1:43" x14ac:dyDescent="0.25">
      <c r="A270" t="s">
        <v>2485</v>
      </c>
      <c r="B270">
        <v>184</v>
      </c>
      <c r="C270">
        <v>134</v>
      </c>
      <c r="D270" t="s">
        <v>2486</v>
      </c>
      <c r="E270" t="s">
        <v>2487</v>
      </c>
      <c r="F270" t="s">
        <v>2488</v>
      </c>
      <c r="G270" t="s">
        <v>2489</v>
      </c>
      <c r="H270" t="s">
        <v>666</v>
      </c>
      <c r="I270" t="s">
        <v>695</v>
      </c>
      <c r="J270">
        <v>4</v>
      </c>
      <c r="K270">
        <v>2</v>
      </c>
      <c r="L270">
        <v>3</v>
      </c>
      <c r="M270" t="s">
        <v>2490</v>
      </c>
      <c r="N270">
        <v>113</v>
      </c>
      <c r="O270">
        <v>184</v>
      </c>
      <c r="P270">
        <v>10</v>
      </c>
      <c r="Q270" t="s">
        <v>2491</v>
      </c>
      <c r="R270" t="s">
        <v>2492</v>
      </c>
      <c r="S270">
        <v>12</v>
      </c>
      <c r="T270">
        <v>0</v>
      </c>
      <c r="U270" t="s">
        <v>52</v>
      </c>
      <c r="V270" t="s">
        <v>2493</v>
      </c>
      <c r="W270" t="s">
        <v>54</v>
      </c>
      <c r="X270" t="s">
        <v>54</v>
      </c>
      <c r="Y270" t="s">
        <v>54</v>
      </c>
      <c r="Z270" t="s">
        <v>54</v>
      </c>
      <c r="AA270" t="s">
        <v>54</v>
      </c>
      <c r="AB270" t="s">
        <v>54</v>
      </c>
      <c r="AC270" t="s">
        <v>54</v>
      </c>
      <c r="AD270" t="s">
        <v>54</v>
      </c>
      <c r="AE270" t="s">
        <v>54</v>
      </c>
      <c r="AF270" t="s">
        <v>54</v>
      </c>
      <c r="AG270" t="s">
        <v>54</v>
      </c>
      <c r="AH270" t="s">
        <v>54</v>
      </c>
      <c r="AI270" t="s">
        <v>54</v>
      </c>
      <c r="AJ270" t="s">
        <v>54</v>
      </c>
      <c r="AK270" t="s">
        <v>54</v>
      </c>
      <c r="AL270" t="s">
        <v>54</v>
      </c>
      <c r="AM270" t="s">
        <v>54</v>
      </c>
      <c r="AN270" t="s">
        <v>54</v>
      </c>
      <c r="AO270" t="s">
        <v>54</v>
      </c>
      <c r="AP270" t="s">
        <v>54</v>
      </c>
      <c r="AQ270" t="s">
        <v>54</v>
      </c>
    </row>
    <row r="271" spans="1:43" x14ac:dyDescent="0.25">
      <c r="A271" t="s">
        <v>2494</v>
      </c>
      <c r="B271">
        <v>150</v>
      </c>
      <c r="C271">
        <v>114</v>
      </c>
      <c r="D271" t="s">
        <v>1266</v>
      </c>
      <c r="E271" t="s">
        <v>2495</v>
      </c>
      <c r="F271" t="s">
        <v>2496</v>
      </c>
      <c r="G271" t="s">
        <v>2497</v>
      </c>
      <c r="H271" t="s">
        <v>1067</v>
      </c>
      <c r="I271" t="s">
        <v>1067</v>
      </c>
      <c r="J271">
        <v>2</v>
      </c>
      <c r="K271">
        <v>2</v>
      </c>
      <c r="L271">
        <v>3</v>
      </c>
      <c r="M271" t="s">
        <v>2498</v>
      </c>
      <c r="N271">
        <v>95</v>
      </c>
      <c r="O271">
        <v>150</v>
      </c>
      <c r="P271">
        <v>11</v>
      </c>
      <c r="Q271" t="s">
        <v>1070</v>
      </c>
      <c r="R271" t="s">
        <v>2499</v>
      </c>
      <c r="S271">
        <v>10</v>
      </c>
      <c r="T271">
        <v>0</v>
      </c>
      <c r="U271" t="s">
        <v>52</v>
      </c>
      <c r="V271" t="s">
        <v>2500</v>
      </c>
      <c r="W271" t="s">
        <v>54</v>
      </c>
      <c r="X271" t="s">
        <v>54</v>
      </c>
      <c r="Y271" t="s">
        <v>54</v>
      </c>
      <c r="Z271" t="s">
        <v>54</v>
      </c>
      <c r="AA271" t="s">
        <v>54</v>
      </c>
      <c r="AB271" t="s">
        <v>54</v>
      </c>
      <c r="AC271" t="s">
        <v>54</v>
      </c>
      <c r="AD271" t="s">
        <v>54</v>
      </c>
      <c r="AE271" t="s">
        <v>54</v>
      </c>
      <c r="AF271" t="s">
        <v>54</v>
      </c>
      <c r="AG271" t="s">
        <v>54</v>
      </c>
      <c r="AH271" t="s">
        <v>54</v>
      </c>
      <c r="AI271" t="s">
        <v>54</v>
      </c>
      <c r="AJ271" t="s">
        <v>54</v>
      </c>
      <c r="AK271" t="s">
        <v>54</v>
      </c>
      <c r="AL271" t="s">
        <v>54</v>
      </c>
      <c r="AM271" t="s">
        <v>54</v>
      </c>
      <c r="AN271" t="s">
        <v>54</v>
      </c>
      <c r="AO271" t="s">
        <v>54</v>
      </c>
      <c r="AP271" t="s">
        <v>54</v>
      </c>
      <c r="AQ271" t="s">
        <v>54</v>
      </c>
    </row>
    <row r="272" spans="1:43" x14ac:dyDescent="0.25">
      <c r="A272" t="s">
        <v>2501</v>
      </c>
      <c r="B272">
        <v>156</v>
      </c>
      <c r="C272">
        <v>103</v>
      </c>
      <c r="D272" t="s">
        <v>2502</v>
      </c>
      <c r="E272" t="s">
        <v>760</v>
      </c>
      <c r="F272" t="s">
        <v>2503</v>
      </c>
      <c r="G272" t="s">
        <v>2504</v>
      </c>
      <c r="H272" t="s">
        <v>2505</v>
      </c>
      <c r="I272" t="s">
        <v>880</v>
      </c>
      <c r="J272">
        <v>5</v>
      </c>
      <c r="K272">
        <v>2</v>
      </c>
      <c r="L272">
        <v>2</v>
      </c>
      <c r="M272" t="s">
        <v>2506</v>
      </c>
      <c r="N272">
        <v>85</v>
      </c>
      <c r="O272">
        <v>158</v>
      </c>
      <c r="P272">
        <v>5</v>
      </c>
      <c r="Q272" t="s">
        <v>2507</v>
      </c>
      <c r="R272" t="s">
        <v>1033</v>
      </c>
      <c r="S272">
        <v>25</v>
      </c>
      <c r="T272">
        <v>1</v>
      </c>
      <c r="U272" t="s">
        <v>2508</v>
      </c>
      <c r="V272" t="s">
        <v>2509</v>
      </c>
      <c r="W272" t="s">
        <v>54</v>
      </c>
      <c r="X272" t="s">
        <v>54</v>
      </c>
      <c r="Y272" t="s">
        <v>54</v>
      </c>
      <c r="Z272" t="s">
        <v>54</v>
      </c>
      <c r="AA272" t="s">
        <v>54</v>
      </c>
      <c r="AB272" t="s">
        <v>54</v>
      </c>
      <c r="AC272" t="s">
        <v>54</v>
      </c>
      <c r="AD272" t="s">
        <v>54</v>
      </c>
      <c r="AE272" t="s">
        <v>54</v>
      </c>
      <c r="AF272" t="s">
        <v>54</v>
      </c>
      <c r="AG272" t="s">
        <v>54</v>
      </c>
      <c r="AH272" t="s">
        <v>54</v>
      </c>
      <c r="AI272" t="s">
        <v>54</v>
      </c>
      <c r="AJ272" t="s">
        <v>54</v>
      </c>
      <c r="AK272" t="s">
        <v>54</v>
      </c>
      <c r="AL272" t="s">
        <v>54</v>
      </c>
      <c r="AM272" t="s">
        <v>54</v>
      </c>
      <c r="AN272" t="s">
        <v>54</v>
      </c>
      <c r="AO272" t="s">
        <v>54</v>
      </c>
      <c r="AP272" t="s">
        <v>54</v>
      </c>
      <c r="AQ272" t="s">
        <v>54</v>
      </c>
    </row>
    <row r="273" spans="1:43" x14ac:dyDescent="0.25">
      <c r="A273" t="s">
        <v>2510</v>
      </c>
      <c r="B273">
        <v>136</v>
      </c>
      <c r="C273">
        <v>96</v>
      </c>
      <c r="D273" t="s">
        <v>957</v>
      </c>
      <c r="E273" t="s">
        <v>2511</v>
      </c>
      <c r="F273" t="s">
        <v>2512</v>
      </c>
      <c r="G273" t="s">
        <v>2513</v>
      </c>
      <c r="H273" t="s">
        <v>990</v>
      </c>
      <c r="I273" t="s">
        <v>475</v>
      </c>
      <c r="J273">
        <v>1</v>
      </c>
      <c r="K273">
        <v>2</v>
      </c>
      <c r="L273">
        <v>3</v>
      </c>
      <c r="M273" t="s">
        <v>2514</v>
      </c>
      <c r="N273">
        <v>75</v>
      </c>
      <c r="O273">
        <v>136</v>
      </c>
      <c r="P273">
        <v>8</v>
      </c>
      <c r="Q273" t="s">
        <v>992</v>
      </c>
      <c r="R273" t="s">
        <v>126</v>
      </c>
      <c r="S273">
        <v>18</v>
      </c>
      <c r="T273">
        <v>1</v>
      </c>
      <c r="U273" t="s">
        <v>2515</v>
      </c>
      <c r="V273" t="s">
        <v>2516</v>
      </c>
      <c r="W273" t="s">
        <v>54</v>
      </c>
      <c r="X273" t="s">
        <v>54</v>
      </c>
      <c r="Y273" t="s">
        <v>54</v>
      </c>
      <c r="Z273" t="s">
        <v>54</v>
      </c>
      <c r="AA273" t="s">
        <v>54</v>
      </c>
      <c r="AB273" t="s">
        <v>54</v>
      </c>
      <c r="AC273" t="s">
        <v>54</v>
      </c>
      <c r="AD273" t="s">
        <v>54</v>
      </c>
      <c r="AE273" t="s">
        <v>54</v>
      </c>
      <c r="AF273" t="s">
        <v>54</v>
      </c>
      <c r="AG273" t="s">
        <v>54</v>
      </c>
      <c r="AH273" t="s">
        <v>54</v>
      </c>
      <c r="AI273" t="s">
        <v>54</v>
      </c>
      <c r="AJ273" t="s">
        <v>54</v>
      </c>
      <c r="AK273" t="s">
        <v>54</v>
      </c>
      <c r="AL273" t="s">
        <v>54</v>
      </c>
      <c r="AM273" t="s">
        <v>54</v>
      </c>
      <c r="AN273" t="s">
        <v>54</v>
      </c>
      <c r="AO273" t="s">
        <v>54</v>
      </c>
      <c r="AP273" t="s">
        <v>54</v>
      </c>
      <c r="AQ273" t="s">
        <v>54</v>
      </c>
    </row>
    <row r="274" spans="1:43" x14ac:dyDescent="0.25">
      <c r="A274" t="s">
        <v>2517</v>
      </c>
      <c r="B274">
        <v>171</v>
      </c>
      <c r="C274">
        <v>134</v>
      </c>
      <c r="D274" t="s">
        <v>2518</v>
      </c>
      <c r="E274" t="s">
        <v>370</v>
      </c>
      <c r="F274" t="s">
        <v>2519</v>
      </c>
      <c r="G274" t="s">
        <v>2520</v>
      </c>
      <c r="H274" t="s">
        <v>2521</v>
      </c>
      <c r="I274" t="s">
        <v>2522</v>
      </c>
      <c r="J274">
        <v>4</v>
      </c>
      <c r="K274">
        <v>2</v>
      </c>
      <c r="L274">
        <v>4</v>
      </c>
      <c r="M274" t="s">
        <v>2523</v>
      </c>
      <c r="N274">
        <v>98</v>
      </c>
      <c r="O274">
        <v>172</v>
      </c>
      <c r="P274">
        <v>10</v>
      </c>
      <c r="Q274" t="s">
        <v>2524</v>
      </c>
      <c r="R274" t="s">
        <v>1991</v>
      </c>
      <c r="S274">
        <v>23</v>
      </c>
      <c r="T274">
        <v>0</v>
      </c>
      <c r="U274" t="s">
        <v>52</v>
      </c>
      <c r="V274" t="s">
        <v>2525</v>
      </c>
      <c r="W274" t="s">
        <v>54</v>
      </c>
      <c r="X274" t="s">
        <v>54</v>
      </c>
      <c r="Y274" t="s">
        <v>54</v>
      </c>
      <c r="Z274" t="s">
        <v>54</v>
      </c>
      <c r="AA274" t="s">
        <v>54</v>
      </c>
      <c r="AB274" t="s">
        <v>54</v>
      </c>
      <c r="AC274" t="s">
        <v>54</v>
      </c>
      <c r="AD274" t="s">
        <v>54</v>
      </c>
      <c r="AE274" t="s">
        <v>54</v>
      </c>
      <c r="AF274" t="s">
        <v>54</v>
      </c>
      <c r="AG274" t="s">
        <v>54</v>
      </c>
      <c r="AH274" t="s">
        <v>54</v>
      </c>
      <c r="AI274" t="s">
        <v>54</v>
      </c>
      <c r="AJ274" t="s">
        <v>54</v>
      </c>
      <c r="AK274" t="s">
        <v>54</v>
      </c>
      <c r="AL274" t="s">
        <v>54</v>
      </c>
      <c r="AM274" t="s">
        <v>54</v>
      </c>
      <c r="AN274" t="s">
        <v>54</v>
      </c>
      <c r="AO274" t="s">
        <v>54</v>
      </c>
      <c r="AP274" t="s">
        <v>54</v>
      </c>
      <c r="AQ274" t="s">
        <v>54</v>
      </c>
    </row>
    <row r="275" spans="1:43" x14ac:dyDescent="0.25">
      <c r="A275" t="s">
        <v>2526</v>
      </c>
      <c r="B275">
        <v>117</v>
      </c>
      <c r="C275">
        <v>88</v>
      </c>
      <c r="D275" t="s">
        <v>2527</v>
      </c>
      <c r="E275" t="s">
        <v>2528</v>
      </c>
      <c r="F275" t="s">
        <v>2529</v>
      </c>
      <c r="G275" t="s">
        <v>2530</v>
      </c>
      <c r="H275" t="s">
        <v>52</v>
      </c>
      <c r="I275" t="s">
        <v>52</v>
      </c>
      <c r="J275">
        <v>0</v>
      </c>
      <c r="K275">
        <v>0</v>
      </c>
      <c r="L275">
        <v>2</v>
      </c>
      <c r="M275" t="s">
        <v>2531</v>
      </c>
      <c r="N275">
        <v>68</v>
      </c>
      <c r="O275">
        <v>117</v>
      </c>
      <c r="P275">
        <v>12</v>
      </c>
      <c r="Q275" t="s">
        <v>2532</v>
      </c>
      <c r="R275" t="s">
        <v>720</v>
      </c>
      <c r="S275">
        <v>9</v>
      </c>
      <c r="T275">
        <v>0</v>
      </c>
      <c r="U275" t="s">
        <v>52</v>
      </c>
      <c r="V275" t="s">
        <v>2533</v>
      </c>
      <c r="W275" t="s">
        <v>54</v>
      </c>
      <c r="X275" t="s">
        <v>54</v>
      </c>
      <c r="Y275" t="s">
        <v>54</v>
      </c>
      <c r="Z275" t="s">
        <v>54</v>
      </c>
      <c r="AA275" t="s">
        <v>54</v>
      </c>
      <c r="AB275" t="s">
        <v>54</v>
      </c>
      <c r="AC275" t="s">
        <v>54</v>
      </c>
      <c r="AD275" t="s">
        <v>54</v>
      </c>
      <c r="AE275" t="s">
        <v>54</v>
      </c>
      <c r="AF275" t="s">
        <v>54</v>
      </c>
      <c r="AG275" t="s">
        <v>54</v>
      </c>
      <c r="AH275" t="s">
        <v>54</v>
      </c>
      <c r="AI275" t="s">
        <v>54</v>
      </c>
      <c r="AJ275" t="s">
        <v>54</v>
      </c>
      <c r="AK275" t="s">
        <v>54</v>
      </c>
      <c r="AL275" t="s">
        <v>54</v>
      </c>
      <c r="AM275" t="s">
        <v>54</v>
      </c>
      <c r="AN275" t="s">
        <v>54</v>
      </c>
      <c r="AO275" t="s">
        <v>54</v>
      </c>
      <c r="AP275" t="s">
        <v>54</v>
      </c>
      <c r="AQ275" t="s">
        <v>54</v>
      </c>
    </row>
    <row r="276" spans="1:43" x14ac:dyDescent="0.25">
      <c r="A276" t="s">
        <v>2534</v>
      </c>
      <c r="B276">
        <v>245</v>
      </c>
      <c r="C276">
        <v>158</v>
      </c>
      <c r="D276" t="s">
        <v>2535</v>
      </c>
      <c r="E276" t="s">
        <v>2536</v>
      </c>
      <c r="F276" t="s">
        <v>2537</v>
      </c>
      <c r="G276" t="s">
        <v>2538</v>
      </c>
      <c r="H276" t="s">
        <v>79</v>
      </c>
      <c r="I276" t="s">
        <v>2539</v>
      </c>
      <c r="J276">
        <v>7</v>
      </c>
      <c r="K276">
        <v>13</v>
      </c>
      <c r="L276">
        <v>3</v>
      </c>
      <c r="M276" t="s">
        <v>2540</v>
      </c>
      <c r="N276">
        <v>121</v>
      </c>
      <c r="O276">
        <v>246</v>
      </c>
      <c r="P276">
        <v>18</v>
      </c>
      <c r="Q276" t="s">
        <v>2541</v>
      </c>
      <c r="R276" t="s">
        <v>993</v>
      </c>
      <c r="S276">
        <v>27</v>
      </c>
      <c r="T276">
        <v>0</v>
      </c>
      <c r="U276" t="s">
        <v>52</v>
      </c>
      <c r="V276" t="s">
        <v>2542</v>
      </c>
      <c r="W276" t="s">
        <v>54</v>
      </c>
      <c r="X276" t="s">
        <v>54</v>
      </c>
      <c r="Y276" t="s">
        <v>54</v>
      </c>
      <c r="Z276" t="s">
        <v>54</v>
      </c>
      <c r="AA276" t="s">
        <v>54</v>
      </c>
      <c r="AB276" t="s">
        <v>54</v>
      </c>
      <c r="AC276" t="s">
        <v>54</v>
      </c>
      <c r="AD276" t="s">
        <v>54</v>
      </c>
      <c r="AE276" t="s">
        <v>54</v>
      </c>
      <c r="AF276" t="s">
        <v>54</v>
      </c>
      <c r="AG276" t="s">
        <v>54</v>
      </c>
      <c r="AH276" t="s">
        <v>54</v>
      </c>
      <c r="AI276" t="s">
        <v>54</v>
      </c>
      <c r="AJ276" t="s">
        <v>54</v>
      </c>
      <c r="AK276" t="s">
        <v>54</v>
      </c>
      <c r="AL276" t="s">
        <v>54</v>
      </c>
      <c r="AM276" t="s">
        <v>54</v>
      </c>
      <c r="AN276" t="s">
        <v>54</v>
      </c>
      <c r="AO276" t="s">
        <v>54</v>
      </c>
      <c r="AP276" t="s">
        <v>54</v>
      </c>
      <c r="AQ276" t="s">
        <v>54</v>
      </c>
    </row>
    <row r="277" spans="1:43" x14ac:dyDescent="0.25">
      <c r="A277" t="s">
        <v>2543</v>
      </c>
      <c r="B277">
        <v>201</v>
      </c>
      <c r="C277">
        <v>139</v>
      </c>
      <c r="D277" t="s">
        <v>2544</v>
      </c>
      <c r="E277" t="s">
        <v>2545</v>
      </c>
      <c r="F277" t="s">
        <v>806</v>
      </c>
      <c r="G277" t="s">
        <v>2546</v>
      </c>
      <c r="H277" t="s">
        <v>2547</v>
      </c>
      <c r="I277" t="s">
        <v>2548</v>
      </c>
      <c r="J277">
        <v>2</v>
      </c>
      <c r="K277">
        <v>7</v>
      </c>
      <c r="L277">
        <v>4</v>
      </c>
      <c r="M277" t="s">
        <v>129</v>
      </c>
      <c r="N277">
        <v>116</v>
      </c>
      <c r="O277">
        <v>203</v>
      </c>
      <c r="P277">
        <v>14</v>
      </c>
      <c r="Q277" t="s">
        <v>2549</v>
      </c>
      <c r="R277" t="s">
        <v>2550</v>
      </c>
      <c r="S277">
        <v>30</v>
      </c>
      <c r="T277">
        <v>0</v>
      </c>
      <c r="U277" t="s">
        <v>52</v>
      </c>
      <c r="V277" t="s">
        <v>2551</v>
      </c>
      <c r="W277" t="s">
        <v>54</v>
      </c>
      <c r="X277" t="s">
        <v>54</v>
      </c>
      <c r="Y277" t="s">
        <v>54</v>
      </c>
      <c r="Z277" t="s">
        <v>54</v>
      </c>
      <c r="AA277" t="s">
        <v>54</v>
      </c>
      <c r="AB277" t="s">
        <v>54</v>
      </c>
      <c r="AC277" t="s">
        <v>54</v>
      </c>
      <c r="AD277" t="s">
        <v>54</v>
      </c>
      <c r="AE277" t="s">
        <v>54</v>
      </c>
      <c r="AF277" t="s">
        <v>54</v>
      </c>
      <c r="AG277" t="s">
        <v>54</v>
      </c>
      <c r="AH277" t="s">
        <v>54</v>
      </c>
      <c r="AI277" t="s">
        <v>54</v>
      </c>
      <c r="AJ277" t="s">
        <v>54</v>
      </c>
      <c r="AK277" t="s">
        <v>54</v>
      </c>
      <c r="AL277" t="s">
        <v>54</v>
      </c>
      <c r="AM277" t="s">
        <v>54</v>
      </c>
      <c r="AN277" t="s">
        <v>54</v>
      </c>
      <c r="AO277" t="s">
        <v>54</v>
      </c>
      <c r="AP277" t="s">
        <v>54</v>
      </c>
      <c r="AQ277" t="s">
        <v>54</v>
      </c>
    </row>
    <row r="278" spans="1:43" x14ac:dyDescent="0.25">
      <c r="A278" t="s">
        <v>2552</v>
      </c>
      <c r="B278">
        <v>141</v>
      </c>
      <c r="C278">
        <v>100</v>
      </c>
      <c r="D278" t="s">
        <v>2553</v>
      </c>
      <c r="E278" t="s">
        <v>2554</v>
      </c>
      <c r="F278" t="s">
        <v>342</v>
      </c>
      <c r="G278" t="s">
        <v>2555</v>
      </c>
      <c r="H278" t="s">
        <v>2556</v>
      </c>
      <c r="I278" t="s">
        <v>52</v>
      </c>
      <c r="J278">
        <v>1</v>
      </c>
      <c r="K278">
        <v>0</v>
      </c>
      <c r="L278">
        <v>2</v>
      </c>
      <c r="M278" t="s">
        <v>2557</v>
      </c>
      <c r="N278">
        <v>85</v>
      </c>
      <c r="O278">
        <v>142</v>
      </c>
      <c r="P278">
        <v>14</v>
      </c>
      <c r="Q278" t="s">
        <v>2558</v>
      </c>
      <c r="R278" t="s">
        <v>129</v>
      </c>
      <c r="S278">
        <v>8</v>
      </c>
      <c r="T278">
        <v>1</v>
      </c>
      <c r="U278" t="s">
        <v>2559</v>
      </c>
      <c r="V278" t="s">
        <v>2560</v>
      </c>
      <c r="W278" t="s">
        <v>54</v>
      </c>
      <c r="X278" t="s">
        <v>54</v>
      </c>
      <c r="Y278" t="s">
        <v>54</v>
      </c>
      <c r="Z278" t="s">
        <v>54</v>
      </c>
      <c r="AA278" t="s">
        <v>54</v>
      </c>
      <c r="AB278" t="s">
        <v>54</v>
      </c>
      <c r="AC278" t="s">
        <v>54</v>
      </c>
      <c r="AD278" t="s">
        <v>54</v>
      </c>
      <c r="AE278" t="s">
        <v>54</v>
      </c>
      <c r="AF278" t="s">
        <v>54</v>
      </c>
      <c r="AG278" t="s">
        <v>54</v>
      </c>
      <c r="AH278" t="s">
        <v>54</v>
      </c>
      <c r="AI278" t="s">
        <v>54</v>
      </c>
      <c r="AJ278" t="s">
        <v>54</v>
      </c>
      <c r="AK278" t="s">
        <v>54</v>
      </c>
      <c r="AL278" t="s">
        <v>54</v>
      </c>
      <c r="AM278" t="s">
        <v>54</v>
      </c>
      <c r="AN278" t="s">
        <v>54</v>
      </c>
      <c r="AO278" t="s">
        <v>54</v>
      </c>
      <c r="AP278" t="s">
        <v>54</v>
      </c>
      <c r="AQ278" t="s">
        <v>54</v>
      </c>
    </row>
    <row r="279" spans="1:43" x14ac:dyDescent="0.25">
      <c r="A279" t="s">
        <v>2561</v>
      </c>
      <c r="B279">
        <v>123</v>
      </c>
      <c r="C279">
        <v>92</v>
      </c>
      <c r="D279" t="s">
        <v>2562</v>
      </c>
      <c r="E279" t="s">
        <v>2563</v>
      </c>
      <c r="F279" t="s">
        <v>1319</v>
      </c>
      <c r="G279" t="s">
        <v>2564</v>
      </c>
      <c r="H279" t="s">
        <v>52</v>
      </c>
      <c r="I279" t="s">
        <v>52</v>
      </c>
      <c r="J279">
        <v>0</v>
      </c>
      <c r="K279">
        <v>0</v>
      </c>
      <c r="L279">
        <v>2</v>
      </c>
      <c r="M279" t="s">
        <v>2565</v>
      </c>
      <c r="N279">
        <v>84</v>
      </c>
      <c r="O279">
        <v>123</v>
      </c>
      <c r="P279">
        <v>13</v>
      </c>
      <c r="Q279" t="s">
        <v>2566</v>
      </c>
      <c r="R279" t="s">
        <v>2567</v>
      </c>
      <c r="S279">
        <v>9</v>
      </c>
      <c r="T279">
        <v>0</v>
      </c>
      <c r="U279" t="s">
        <v>52</v>
      </c>
      <c r="V279" t="s">
        <v>2568</v>
      </c>
      <c r="W279" t="s">
        <v>54</v>
      </c>
      <c r="X279" t="s">
        <v>54</v>
      </c>
      <c r="Y279" t="s">
        <v>54</v>
      </c>
      <c r="Z279" t="s">
        <v>54</v>
      </c>
      <c r="AA279" t="s">
        <v>54</v>
      </c>
      <c r="AB279" t="s">
        <v>54</v>
      </c>
      <c r="AC279" t="s">
        <v>54</v>
      </c>
      <c r="AD279" t="s">
        <v>54</v>
      </c>
      <c r="AE279" t="s">
        <v>54</v>
      </c>
      <c r="AF279" t="s">
        <v>54</v>
      </c>
      <c r="AG279" t="s">
        <v>54</v>
      </c>
      <c r="AH279" t="s">
        <v>54</v>
      </c>
      <c r="AI279" t="s">
        <v>54</v>
      </c>
      <c r="AJ279" t="s">
        <v>54</v>
      </c>
      <c r="AK279" t="s">
        <v>54</v>
      </c>
      <c r="AL279" t="s">
        <v>54</v>
      </c>
      <c r="AM279" t="s">
        <v>54</v>
      </c>
      <c r="AN279" t="s">
        <v>54</v>
      </c>
      <c r="AO279" t="s">
        <v>54</v>
      </c>
      <c r="AP279" t="s">
        <v>54</v>
      </c>
      <c r="AQ279" t="s">
        <v>54</v>
      </c>
    </row>
    <row r="280" spans="1:43" x14ac:dyDescent="0.25">
      <c r="A280" t="s">
        <v>2569</v>
      </c>
      <c r="B280">
        <v>152</v>
      </c>
      <c r="C280">
        <v>92</v>
      </c>
      <c r="D280" t="s">
        <v>2570</v>
      </c>
      <c r="E280" t="s">
        <v>1591</v>
      </c>
      <c r="F280" t="s">
        <v>2571</v>
      </c>
      <c r="G280" t="s">
        <v>2572</v>
      </c>
      <c r="H280" t="s">
        <v>2573</v>
      </c>
      <c r="I280" t="s">
        <v>52</v>
      </c>
      <c r="J280">
        <v>1</v>
      </c>
      <c r="K280">
        <v>0</v>
      </c>
      <c r="L280">
        <v>4</v>
      </c>
      <c r="M280" t="s">
        <v>705</v>
      </c>
      <c r="N280">
        <v>84</v>
      </c>
      <c r="O280">
        <v>154</v>
      </c>
      <c r="P280">
        <v>12</v>
      </c>
      <c r="Q280" t="s">
        <v>2574</v>
      </c>
      <c r="R280" t="s">
        <v>2575</v>
      </c>
      <c r="S280">
        <v>23</v>
      </c>
      <c r="T280">
        <v>0</v>
      </c>
      <c r="U280" t="s">
        <v>52</v>
      </c>
      <c r="V280" t="s">
        <v>2576</v>
      </c>
      <c r="W280" t="s">
        <v>54</v>
      </c>
      <c r="X280" t="s">
        <v>54</v>
      </c>
      <c r="Y280" t="s">
        <v>54</v>
      </c>
      <c r="Z280" t="s">
        <v>54</v>
      </c>
      <c r="AA280" t="s">
        <v>54</v>
      </c>
      <c r="AB280" t="s">
        <v>54</v>
      </c>
      <c r="AC280" t="s">
        <v>54</v>
      </c>
      <c r="AD280" t="s">
        <v>54</v>
      </c>
      <c r="AE280" t="s">
        <v>54</v>
      </c>
      <c r="AF280" t="s">
        <v>54</v>
      </c>
      <c r="AG280" t="s">
        <v>54</v>
      </c>
      <c r="AH280" t="s">
        <v>54</v>
      </c>
      <c r="AI280" t="s">
        <v>54</v>
      </c>
      <c r="AJ280" t="s">
        <v>54</v>
      </c>
      <c r="AK280" t="s">
        <v>54</v>
      </c>
      <c r="AL280" t="s">
        <v>54</v>
      </c>
      <c r="AM280" t="s">
        <v>54</v>
      </c>
      <c r="AN280" t="s">
        <v>54</v>
      </c>
      <c r="AO280" t="s">
        <v>54</v>
      </c>
      <c r="AP280" t="s">
        <v>54</v>
      </c>
      <c r="AQ280" t="s">
        <v>54</v>
      </c>
    </row>
    <row r="281" spans="1:43" x14ac:dyDescent="0.25">
      <c r="A281" t="s">
        <v>2577</v>
      </c>
      <c r="B281">
        <v>183</v>
      </c>
      <c r="C281">
        <v>116</v>
      </c>
      <c r="D281" t="s">
        <v>2578</v>
      </c>
      <c r="E281" t="s">
        <v>2579</v>
      </c>
      <c r="F281" t="s">
        <v>2580</v>
      </c>
      <c r="G281" t="s">
        <v>2581</v>
      </c>
      <c r="H281" t="s">
        <v>2582</v>
      </c>
      <c r="I281" t="s">
        <v>196</v>
      </c>
      <c r="J281">
        <v>7</v>
      </c>
      <c r="K281">
        <v>4</v>
      </c>
      <c r="L281">
        <v>3</v>
      </c>
      <c r="M281" t="s">
        <v>197</v>
      </c>
      <c r="N281">
        <v>99</v>
      </c>
      <c r="O281">
        <v>183</v>
      </c>
      <c r="P281">
        <v>16</v>
      </c>
      <c r="Q281" t="s">
        <v>2583</v>
      </c>
      <c r="R281" t="s">
        <v>2584</v>
      </c>
      <c r="S281">
        <v>31</v>
      </c>
      <c r="T281">
        <v>0</v>
      </c>
      <c r="U281" t="s">
        <v>52</v>
      </c>
      <c r="V281" t="s">
        <v>2585</v>
      </c>
      <c r="W281" t="s">
        <v>54</v>
      </c>
      <c r="X281" t="s">
        <v>54</v>
      </c>
      <c r="Y281" t="s">
        <v>54</v>
      </c>
      <c r="Z281" t="s">
        <v>54</v>
      </c>
      <c r="AA281" t="s">
        <v>54</v>
      </c>
      <c r="AB281" t="s">
        <v>54</v>
      </c>
      <c r="AC281" t="s">
        <v>54</v>
      </c>
      <c r="AD281" t="s">
        <v>54</v>
      </c>
      <c r="AE281" t="s">
        <v>54</v>
      </c>
      <c r="AF281" t="s">
        <v>54</v>
      </c>
      <c r="AG281" t="s">
        <v>54</v>
      </c>
      <c r="AH281" t="s">
        <v>54</v>
      </c>
      <c r="AI281" t="s">
        <v>54</v>
      </c>
      <c r="AJ281" t="s">
        <v>54</v>
      </c>
      <c r="AK281" t="s">
        <v>54</v>
      </c>
      <c r="AL281" t="s">
        <v>54</v>
      </c>
      <c r="AM281" t="s">
        <v>54</v>
      </c>
      <c r="AN281" t="s">
        <v>54</v>
      </c>
      <c r="AO281" t="s">
        <v>54</v>
      </c>
      <c r="AP281" t="s">
        <v>54</v>
      </c>
      <c r="AQ281" t="s">
        <v>54</v>
      </c>
    </row>
    <row r="282" spans="1:43" x14ac:dyDescent="0.25">
      <c r="A282" t="s">
        <v>2586</v>
      </c>
      <c r="B282">
        <v>155</v>
      </c>
      <c r="C282">
        <v>118</v>
      </c>
      <c r="D282" t="s">
        <v>2587</v>
      </c>
      <c r="E282" t="s">
        <v>2588</v>
      </c>
      <c r="F282" t="s">
        <v>2589</v>
      </c>
      <c r="G282" t="s">
        <v>2590</v>
      </c>
      <c r="H282" t="s">
        <v>52</v>
      </c>
      <c r="I282" t="s">
        <v>615</v>
      </c>
      <c r="J282">
        <v>0</v>
      </c>
      <c r="K282">
        <v>2</v>
      </c>
      <c r="L282">
        <v>2</v>
      </c>
      <c r="M282" t="s">
        <v>2591</v>
      </c>
      <c r="N282">
        <v>87</v>
      </c>
      <c r="O282">
        <v>155</v>
      </c>
      <c r="P282">
        <v>7</v>
      </c>
      <c r="Q282" t="s">
        <v>1368</v>
      </c>
      <c r="R282" t="s">
        <v>1081</v>
      </c>
      <c r="S282">
        <v>19</v>
      </c>
      <c r="T282">
        <v>0</v>
      </c>
      <c r="U282" t="s">
        <v>52</v>
      </c>
      <c r="V282" t="s">
        <v>2592</v>
      </c>
      <c r="W282" t="s">
        <v>54</v>
      </c>
      <c r="X282" t="s">
        <v>54</v>
      </c>
      <c r="Y282" t="s">
        <v>54</v>
      </c>
      <c r="Z282" t="s">
        <v>54</v>
      </c>
      <c r="AA282" t="s">
        <v>54</v>
      </c>
      <c r="AB282" t="s">
        <v>54</v>
      </c>
      <c r="AC282" t="s">
        <v>54</v>
      </c>
      <c r="AD282" t="s">
        <v>54</v>
      </c>
      <c r="AE282" t="s">
        <v>54</v>
      </c>
      <c r="AF282" t="s">
        <v>54</v>
      </c>
      <c r="AG282" t="s">
        <v>54</v>
      </c>
      <c r="AH282" t="s">
        <v>54</v>
      </c>
      <c r="AI282" t="s">
        <v>54</v>
      </c>
      <c r="AJ282" t="s">
        <v>54</v>
      </c>
      <c r="AK282" t="s">
        <v>54</v>
      </c>
      <c r="AL282" t="s">
        <v>54</v>
      </c>
      <c r="AM282" t="s">
        <v>54</v>
      </c>
      <c r="AN282" t="s">
        <v>54</v>
      </c>
      <c r="AO282" t="s">
        <v>54</v>
      </c>
      <c r="AP282" t="s">
        <v>54</v>
      </c>
      <c r="AQ282" t="s">
        <v>54</v>
      </c>
    </row>
    <row r="283" spans="1:43" x14ac:dyDescent="0.25">
      <c r="A283" t="s">
        <v>2593</v>
      </c>
      <c r="B283">
        <v>223</v>
      </c>
      <c r="C283">
        <v>142</v>
      </c>
      <c r="D283" t="s">
        <v>2594</v>
      </c>
      <c r="E283" t="s">
        <v>2595</v>
      </c>
      <c r="F283" t="s">
        <v>2596</v>
      </c>
      <c r="G283" t="s">
        <v>2597</v>
      </c>
      <c r="H283" t="s">
        <v>2598</v>
      </c>
      <c r="I283" t="s">
        <v>2599</v>
      </c>
      <c r="J283">
        <v>1</v>
      </c>
      <c r="K283">
        <v>6</v>
      </c>
      <c r="L283">
        <v>4</v>
      </c>
      <c r="M283" t="s">
        <v>2600</v>
      </c>
      <c r="N283">
        <v>115</v>
      </c>
      <c r="O283">
        <v>223</v>
      </c>
      <c r="P283">
        <v>11</v>
      </c>
      <c r="Q283" t="s">
        <v>2601</v>
      </c>
      <c r="R283" t="s">
        <v>2602</v>
      </c>
      <c r="S283">
        <v>34</v>
      </c>
      <c r="T283">
        <v>0</v>
      </c>
      <c r="U283" t="s">
        <v>52</v>
      </c>
      <c r="V283" t="s">
        <v>2603</v>
      </c>
      <c r="W283" t="s">
        <v>54</v>
      </c>
      <c r="X283" t="s">
        <v>54</v>
      </c>
      <c r="Y283" t="s">
        <v>54</v>
      </c>
      <c r="Z283" t="s">
        <v>54</v>
      </c>
      <c r="AA283" t="s">
        <v>54</v>
      </c>
      <c r="AB283" t="s">
        <v>54</v>
      </c>
      <c r="AC283" t="s">
        <v>54</v>
      </c>
      <c r="AD283" t="s">
        <v>54</v>
      </c>
      <c r="AE283" t="s">
        <v>54</v>
      </c>
      <c r="AF283" t="s">
        <v>54</v>
      </c>
      <c r="AG283" t="s">
        <v>54</v>
      </c>
      <c r="AH283" t="s">
        <v>54</v>
      </c>
      <c r="AI283" t="s">
        <v>54</v>
      </c>
      <c r="AJ283" t="s">
        <v>54</v>
      </c>
      <c r="AK283" t="s">
        <v>54</v>
      </c>
      <c r="AL283" t="s">
        <v>54</v>
      </c>
      <c r="AM283" t="s">
        <v>54</v>
      </c>
      <c r="AN283" t="s">
        <v>54</v>
      </c>
      <c r="AO283" t="s">
        <v>54</v>
      </c>
      <c r="AP283" t="s">
        <v>54</v>
      </c>
      <c r="AQ283" t="s">
        <v>54</v>
      </c>
    </row>
    <row r="284" spans="1:43" x14ac:dyDescent="0.25">
      <c r="A284" t="s">
        <v>2604</v>
      </c>
      <c r="B284">
        <v>123</v>
      </c>
      <c r="C284">
        <v>88</v>
      </c>
      <c r="D284" t="s">
        <v>2605</v>
      </c>
      <c r="E284" t="s">
        <v>2606</v>
      </c>
      <c r="F284" t="s">
        <v>2607</v>
      </c>
      <c r="G284" t="s">
        <v>2608</v>
      </c>
      <c r="H284" t="s">
        <v>1057</v>
      </c>
      <c r="I284" t="s">
        <v>1548</v>
      </c>
      <c r="J284">
        <v>2</v>
      </c>
      <c r="K284">
        <v>1</v>
      </c>
      <c r="L284">
        <v>2</v>
      </c>
      <c r="M284" t="s">
        <v>1916</v>
      </c>
      <c r="N284">
        <v>68</v>
      </c>
      <c r="O284">
        <v>123</v>
      </c>
      <c r="P284">
        <v>7</v>
      </c>
      <c r="Q284" t="s">
        <v>2609</v>
      </c>
      <c r="R284" t="s">
        <v>2610</v>
      </c>
      <c r="S284">
        <v>16</v>
      </c>
      <c r="T284">
        <v>0</v>
      </c>
      <c r="U284" t="s">
        <v>52</v>
      </c>
      <c r="V284" t="s">
        <v>2611</v>
      </c>
      <c r="W284" t="s">
        <v>54</v>
      </c>
      <c r="X284" t="s">
        <v>54</v>
      </c>
      <c r="Y284" t="s">
        <v>54</v>
      </c>
      <c r="Z284" t="s">
        <v>54</v>
      </c>
      <c r="AA284" t="s">
        <v>54</v>
      </c>
      <c r="AB284" t="s">
        <v>54</v>
      </c>
      <c r="AC284" t="s">
        <v>54</v>
      </c>
      <c r="AD284" t="s">
        <v>54</v>
      </c>
      <c r="AE284" t="s">
        <v>54</v>
      </c>
      <c r="AF284" t="s">
        <v>54</v>
      </c>
      <c r="AG284" t="s">
        <v>54</v>
      </c>
      <c r="AH284" t="s">
        <v>54</v>
      </c>
      <c r="AI284" t="s">
        <v>54</v>
      </c>
      <c r="AJ284" t="s">
        <v>54</v>
      </c>
      <c r="AK284" t="s">
        <v>54</v>
      </c>
      <c r="AL284" t="s">
        <v>54</v>
      </c>
      <c r="AM284" t="s">
        <v>54</v>
      </c>
      <c r="AN284" t="s">
        <v>54</v>
      </c>
      <c r="AO284" t="s">
        <v>54</v>
      </c>
      <c r="AP284" t="s">
        <v>54</v>
      </c>
      <c r="AQ284" t="s">
        <v>54</v>
      </c>
    </row>
    <row r="285" spans="1:43" x14ac:dyDescent="0.25">
      <c r="A285" t="s">
        <v>2612</v>
      </c>
      <c r="B285">
        <v>199</v>
      </c>
      <c r="C285">
        <v>142</v>
      </c>
      <c r="D285" t="s">
        <v>2613</v>
      </c>
      <c r="E285" t="s">
        <v>2614</v>
      </c>
      <c r="F285" t="s">
        <v>2615</v>
      </c>
      <c r="G285" t="s">
        <v>2616</v>
      </c>
      <c r="H285" t="s">
        <v>1880</v>
      </c>
      <c r="I285" t="s">
        <v>2617</v>
      </c>
      <c r="J285">
        <v>6</v>
      </c>
      <c r="K285">
        <v>5</v>
      </c>
      <c r="L285">
        <v>4</v>
      </c>
      <c r="M285" t="s">
        <v>2618</v>
      </c>
      <c r="N285">
        <v>113</v>
      </c>
      <c r="O285">
        <v>199</v>
      </c>
      <c r="P285">
        <v>12</v>
      </c>
      <c r="Q285" t="s">
        <v>2619</v>
      </c>
      <c r="R285" t="s">
        <v>126</v>
      </c>
      <c r="S285">
        <v>27</v>
      </c>
      <c r="T285">
        <v>0</v>
      </c>
      <c r="U285" t="s">
        <v>52</v>
      </c>
      <c r="V285" t="s">
        <v>2620</v>
      </c>
      <c r="W285" t="s">
        <v>54</v>
      </c>
      <c r="X285" t="s">
        <v>54</v>
      </c>
      <c r="Y285" t="s">
        <v>54</v>
      </c>
      <c r="Z285" t="s">
        <v>54</v>
      </c>
      <c r="AA285" t="s">
        <v>54</v>
      </c>
      <c r="AB285" t="s">
        <v>54</v>
      </c>
      <c r="AC285" t="s">
        <v>54</v>
      </c>
      <c r="AD285" t="s">
        <v>54</v>
      </c>
      <c r="AE285" t="s">
        <v>54</v>
      </c>
      <c r="AF285" t="s">
        <v>54</v>
      </c>
      <c r="AG285" t="s">
        <v>54</v>
      </c>
      <c r="AH285" t="s">
        <v>54</v>
      </c>
      <c r="AI285" t="s">
        <v>54</v>
      </c>
      <c r="AJ285" t="s">
        <v>54</v>
      </c>
      <c r="AK285" t="s">
        <v>54</v>
      </c>
      <c r="AL285" t="s">
        <v>54</v>
      </c>
      <c r="AM285" t="s">
        <v>54</v>
      </c>
      <c r="AN285" t="s">
        <v>54</v>
      </c>
      <c r="AO285" t="s">
        <v>54</v>
      </c>
      <c r="AP285" t="s">
        <v>54</v>
      </c>
      <c r="AQ285" t="s">
        <v>54</v>
      </c>
    </row>
    <row r="286" spans="1:43" x14ac:dyDescent="0.25">
      <c r="A286" t="s">
        <v>2621</v>
      </c>
      <c r="B286">
        <v>173</v>
      </c>
      <c r="C286">
        <v>118</v>
      </c>
      <c r="D286" t="s">
        <v>2622</v>
      </c>
      <c r="E286" t="s">
        <v>2623</v>
      </c>
      <c r="F286" t="s">
        <v>312</v>
      </c>
      <c r="G286" t="s">
        <v>2624</v>
      </c>
      <c r="H286" t="s">
        <v>2625</v>
      </c>
      <c r="I286" t="s">
        <v>2626</v>
      </c>
      <c r="J286">
        <v>6</v>
      </c>
      <c r="K286">
        <v>3</v>
      </c>
      <c r="L286">
        <v>4</v>
      </c>
      <c r="M286" t="s">
        <v>2627</v>
      </c>
      <c r="N286">
        <v>92</v>
      </c>
      <c r="O286">
        <v>173</v>
      </c>
      <c r="P286">
        <v>5</v>
      </c>
      <c r="Q286" t="s">
        <v>2628</v>
      </c>
      <c r="R286" t="s">
        <v>94</v>
      </c>
      <c r="S286">
        <v>30</v>
      </c>
      <c r="T286">
        <v>0</v>
      </c>
      <c r="U286" t="s">
        <v>52</v>
      </c>
      <c r="V286" t="s">
        <v>2629</v>
      </c>
      <c r="W286" t="s">
        <v>54</v>
      </c>
      <c r="X286" t="s">
        <v>54</v>
      </c>
      <c r="Y286" t="s">
        <v>54</v>
      </c>
      <c r="Z286" t="s">
        <v>54</v>
      </c>
      <c r="AA286" t="s">
        <v>54</v>
      </c>
      <c r="AB286" t="s">
        <v>54</v>
      </c>
      <c r="AC286" t="s">
        <v>54</v>
      </c>
      <c r="AD286" t="s">
        <v>54</v>
      </c>
      <c r="AE286" t="s">
        <v>54</v>
      </c>
      <c r="AF286" t="s">
        <v>54</v>
      </c>
      <c r="AG286" t="s">
        <v>54</v>
      </c>
      <c r="AH286" t="s">
        <v>54</v>
      </c>
      <c r="AI286" t="s">
        <v>54</v>
      </c>
      <c r="AJ286" t="s">
        <v>54</v>
      </c>
      <c r="AK286" t="s">
        <v>54</v>
      </c>
      <c r="AL286" t="s">
        <v>54</v>
      </c>
      <c r="AM286" t="s">
        <v>54</v>
      </c>
      <c r="AN286" t="s">
        <v>54</v>
      </c>
      <c r="AO286" t="s">
        <v>54</v>
      </c>
      <c r="AP286" t="s">
        <v>54</v>
      </c>
      <c r="AQ286" t="s">
        <v>54</v>
      </c>
    </row>
    <row r="287" spans="1:43" x14ac:dyDescent="0.25">
      <c r="A287" t="s">
        <v>2630</v>
      </c>
      <c r="B287">
        <v>186</v>
      </c>
      <c r="C287">
        <v>122</v>
      </c>
      <c r="D287" t="s">
        <v>2234</v>
      </c>
      <c r="E287" t="s">
        <v>2235</v>
      </c>
      <c r="F287" t="s">
        <v>1902</v>
      </c>
      <c r="G287" t="s">
        <v>2631</v>
      </c>
      <c r="H287" t="s">
        <v>2632</v>
      </c>
      <c r="I287" t="s">
        <v>52</v>
      </c>
      <c r="J287">
        <v>4</v>
      </c>
      <c r="K287">
        <v>0</v>
      </c>
      <c r="L287">
        <v>4</v>
      </c>
      <c r="M287" t="s">
        <v>2238</v>
      </c>
      <c r="N287">
        <v>104</v>
      </c>
      <c r="O287">
        <v>186</v>
      </c>
      <c r="P287">
        <v>12</v>
      </c>
      <c r="Q287" t="s">
        <v>2239</v>
      </c>
      <c r="R287" t="s">
        <v>2633</v>
      </c>
      <c r="S287">
        <v>22</v>
      </c>
      <c r="T287">
        <v>0</v>
      </c>
      <c r="U287" t="s">
        <v>52</v>
      </c>
      <c r="V287" t="s">
        <v>2634</v>
      </c>
      <c r="W287" t="s">
        <v>54</v>
      </c>
      <c r="X287" t="s">
        <v>54</v>
      </c>
      <c r="Y287" t="s">
        <v>54</v>
      </c>
      <c r="Z287" t="s">
        <v>54</v>
      </c>
      <c r="AA287" t="s">
        <v>54</v>
      </c>
      <c r="AB287" t="s">
        <v>54</v>
      </c>
      <c r="AC287" t="s">
        <v>54</v>
      </c>
      <c r="AD287" t="s">
        <v>54</v>
      </c>
      <c r="AE287" t="s">
        <v>54</v>
      </c>
      <c r="AF287" t="s">
        <v>54</v>
      </c>
      <c r="AG287" t="s">
        <v>54</v>
      </c>
      <c r="AH287" t="s">
        <v>54</v>
      </c>
      <c r="AI287" t="s">
        <v>54</v>
      </c>
      <c r="AJ287" t="s">
        <v>54</v>
      </c>
      <c r="AK287" t="s">
        <v>54</v>
      </c>
      <c r="AL287" t="s">
        <v>54</v>
      </c>
      <c r="AM287" t="s">
        <v>54</v>
      </c>
      <c r="AN287" t="s">
        <v>54</v>
      </c>
      <c r="AO287" t="s">
        <v>54</v>
      </c>
      <c r="AP287" t="s">
        <v>54</v>
      </c>
      <c r="AQ287" t="s">
        <v>54</v>
      </c>
    </row>
    <row r="288" spans="1:43" x14ac:dyDescent="0.25">
      <c r="A288" t="s">
        <v>2635</v>
      </c>
      <c r="B288">
        <v>97</v>
      </c>
      <c r="C288">
        <v>60</v>
      </c>
      <c r="D288" t="s">
        <v>2636</v>
      </c>
      <c r="E288" t="s">
        <v>2637</v>
      </c>
      <c r="F288" t="s">
        <v>720</v>
      </c>
      <c r="G288" t="s">
        <v>2638</v>
      </c>
      <c r="H288" t="s">
        <v>52</v>
      </c>
      <c r="I288" t="s">
        <v>52</v>
      </c>
      <c r="J288">
        <v>0</v>
      </c>
      <c r="K288">
        <v>0</v>
      </c>
      <c r="L288">
        <v>1</v>
      </c>
      <c r="M288" t="s">
        <v>2639</v>
      </c>
      <c r="N288">
        <v>67</v>
      </c>
      <c r="O288">
        <v>97</v>
      </c>
      <c r="P288">
        <v>5</v>
      </c>
      <c r="Q288" t="s">
        <v>2640</v>
      </c>
      <c r="R288" t="s">
        <v>972</v>
      </c>
      <c r="S288">
        <v>12</v>
      </c>
      <c r="T288">
        <v>0</v>
      </c>
      <c r="U288" t="s">
        <v>52</v>
      </c>
      <c r="V288" t="s">
        <v>2641</v>
      </c>
      <c r="W288" t="s">
        <v>54</v>
      </c>
      <c r="X288" t="s">
        <v>54</v>
      </c>
      <c r="Y288" t="s">
        <v>54</v>
      </c>
      <c r="Z288" t="s">
        <v>54</v>
      </c>
      <c r="AA288" t="s">
        <v>54</v>
      </c>
      <c r="AB288" t="s">
        <v>54</v>
      </c>
      <c r="AC288" t="s">
        <v>54</v>
      </c>
      <c r="AD288" t="s">
        <v>54</v>
      </c>
      <c r="AE288" t="s">
        <v>54</v>
      </c>
      <c r="AF288" t="s">
        <v>54</v>
      </c>
      <c r="AG288" t="s">
        <v>54</v>
      </c>
      <c r="AH288" t="s">
        <v>54</v>
      </c>
      <c r="AI288" t="s">
        <v>54</v>
      </c>
      <c r="AJ288" t="s">
        <v>54</v>
      </c>
      <c r="AK288" t="s">
        <v>54</v>
      </c>
      <c r="AL288" t="s">
        <v>54</v>
      </c>
      <c r="AM288" t="s">
        <v>54</v>
      </c>
      <c r="AN288" t="s">
        <v>54</v>
      </c>
      <c r="AO288" t="s">
        <v>54</v>
      </c>
      <c r="AP288" t="s">
        <v>54</v>
      </c>
      <c r="AQ288" t="s">
        <v>54</v>
      </c>
    </row>
    <row r="289" spans="1:43" x14ac:dyDescent="0.25">
      <c r="A289" t="s">
        <v>2642</v>
      </c>
      <c r="B289">
        <v>148</v>
      </c>
      <c r="C289">
        <v>96</v>
      </c>
      <c r="D289" t="s">
        <v>2643</v>
      </c>
      <c r="E289" t="s">
        <v>2644</v>
      </c>
      <c r="F289" t="s">
        <v>720</v>
      </c>
      <c r="G289" t="s">
        <v>2645</v>
      </c>
      <c r="H289" t="s">
        <v>52</v>
      </c>
      <c r="I289" t="s">
        <v>52</v>
      </c>
      <c r="J289">
        <v>0</v>
      </c>
      <c r="K289">
        <v>0</v>
      </c>
      <c r="L289">
        <v>1</v>
      </c>
      <c r="M289" t="s">
        <v>2646</v>
      </c>
      <c r="N289">
        <v>94</v>
      </c>
      <c r="O289">
        <v>150</v>
      </c>
      <c r="P289">
        <v>15</v>
      </c>
      <c r="Q289" t="s">
        <v>2647</v>
      </c>
      <c r="R289" t="s">
        <v>366</v>
      </c>
      <c r="S289">
        <v>15</v>
      </c>
      <c r="T289">
        <v>0</v>
      </c>
      <c r="U289" t="s">
        <v>52</v>
      </c>
      <c r="V289" t="s">
        <v>2648</v>
      </c>
      <c r="W289" t="s">
        <v>54</v>
      </c>
      <c r="X289" t="s">
        <v>54</v>
      </c>
      <c r="Y289" t="s">
        <v>54</v>
      </c>
      <c r="Z289" t="s">
        <v>54</v>
      </c>
      <c r="AA289" t="s">
        <v>54</v>
      </c>
      <c r="AB289" t="s">
        <v>54</v>
      </c>
      <c r="AC289" t="s">
        <v>54</v>
      </c>
      <c r="AD289" t="s">
        <v>54</v>
      </c>
      <c r="AE289" t="s">
        <v>54</v>
      </c>
      <c r="AF289" t="s">
        <v>54</v>
      </c>
      <c r="AG289" t="s">
        <v>54</v>
      </c>
      <c r="AH289" t="s">
        <v>54</v>
      </c>
      <c r="AI289" t="s">
        <v>54</v>
      </c>
      <c r="AJ289" t="s">
        <v>54</v>
      </c>
      <c r="AK289" t="s">
        <v>54</v>
      </c>
      <c r="AL289" t="s">
        <v>54</v>
      </c>
      <c r="AM289" t="s">
        <v>54</v>
      </c>
      <c r="AN289" t="s">
        <v>54</v>
      </c>
      <c r="AO289" t="s">
        <v>54</v>
      </c>
      <c r="AP289" t="s">
        <v>54</v>
      </c>
      <c r="AQ289" t="s">
        <v>54</v>
      </c>
    </row>
    <row r="290" spans="1:43" x14ac:dyDescent="0.25">
      <c r="A290" t="s">
        <v>2649</v>
      </c>
      <c r="B290">
        <v>216</v>
      </c>
      <c r="C290">
        <v>132</v>
      </c>
      <c r="D290" t="s">
        <v>2650</v>
      </c>
      <c r="E290" t="s">
        <v>2651</v>
      </c>
      <c r="F290" t="s">
        <v>2652</v>
      </c>
      <c r="G290" t="s">
        <v>2653</v>
      </c>
      <c r="H290" t="s">
        <v>2654</v>
      </c>
      <c r="I290" t="s">
        <v>2654</v>
      </c>
      <c r="J290">
        <v>7</v>
      </c>
      <c r="K290">
        <v>7</v>
      </c>
      <c r="L290">
        <v>3</v>
      </c>
      <c r="M290" t="s">
        <v>2655</v>
      </c>
      <c r="N290">
        <v>110</v>
      </c>
      <c r="O290">
        <v>216</v>
      </c>
      <c r="P290">
        <v>6</v>
      </c>
      <c r="Q290" t="s">
        <v>982</v>
      </c>
      <c r="R290" t="s">
        <v>2656</v>
      </c>
      <c r="S290">
        <v>38</v>
      </c>
      <c r="T290">
        <v>0</v>
      </c>
      <c r="U290" t="s">
        <v>52</v>
      </c>
      <c r="V290" t="s">
        <v>2657</v>
      </c>
      <c r="W290" t="s">
        <v>54</v>
      </c>
      <c r="X290" t="s">
        <v>54</v>
      </c>
      <c r="Y290" t="s">
        <v>54</v>
      </c>
      <c r="Z290" t="s">
        <v>54</v>
      </c>
      <c r="AA290" t="s">
        <v>54</v>
      </c>
      <c r="AB290" t="s">
        <v>54</v>
      </c>
      <c r="AC290" t="s">
        <v>54</v>
      </c>
      <c r="AD290" t="s">
        <v>54</v>
      </c>
      <c r="AE290" t="s">
        <v>54</v>
      </c>
      <c r="AF290" t="s">
        <v>54</v>
      </c>
      <c r="AG290" t="s">
        <v>54</v>
      </c>
      <c r="AH290" t="s">
        <v>54</v>
      </c>
      <c r="AI290" t="s">
        <v>54</v>
      </c>
      <c r="AJ290" t="s">
        <v>54</v>
      </c>
      <c r="AK290" t="s">
        <v>54</v>
      </c>
      <c r="AL290" t="s">
        <v>54</v>
      </c>
      <c r="AM290" t="s">
        <v>54</v>
      </c>
      <c r="AN290" t="s">
        <v>54</v>
      </c>
      <c r="AO290" t="s">
        <v>54</v>
      </c>
      <c r="AP290" t="s">
        <v>54</v>
      </c>
      <c r="AQ290" t="s">
        <v>54</v>
      </c>
    </row>
    <row r="291" spans="1:43" x14ac:dyDescent="0.25">
      <c r="A291" t="s">
        <v>2658</v>
      </c>
      <c r="B291">
        <v>157</v>
      </c>
      <c r="C291">
        <v>104</v>
      </c>
      <c r="D291" t="s">
        <v>2659</v>
      </c>
      <c r="E291" t="s">
        <v>2660</v>
      </c>
      <c r="F291" t="s">
        <v>2661</v>
      </c>
      <c r="G291" t="s">
        <v>2662</v>
      </c>
      <c r="H291" t="s">
        <v>2663</v>
      </c>
      <c r="I291" t="s">
        <v>2664</v>
      </c>
      <c r="J291">
        <v>3</v>
      </c>
      <c r="K291">
        <v>4</v>
      </c>
      <c r="L291">
        <v>2</v>
      </c>
      <c r="M291" t="s">
        <v>2660</v>
      </c>
      <c r="N291">
        <v>80</v>
      </c>
      <c r="O291">
        <v>157</v>
      </c>
      <c r="P291">
        <v>9</v>
      </c>
      <c r="Q291" t="s">
        <v>555</v>
      </c>
      <c r="R291" t="s">
        <v>168</v>
      </c>
      <c r="S291">
        <v>27</v>
      </c>
      <c r="T291">
        <v>0</v>
      </c>
      <c r="U291" t="s">
        <v>52</v>
      </c>
      <c r="V291" t="s">
        <v>2665</v>
      </c>
      <c r="W291" t="s">
        <v>54</v>
      </c>
      <c r="X291" t="s">
        <v>54</v>
      </c>
      <c r="Y291" t="s">
        <v>54</v>
      </c>
      <c r="Z291" t="s">
        <v>54</v>
      </c>
      <c r="AA291" t="s">
        <v>54</v>
      </c>
      <c r="AB291" t="s">
        <v>54</v>
      </c>
      <c r="AC291" t="s">
        <v>54</v>
      </c>
      <c r="AD291" t="s">
        <v>54</v>
      </c>
      <c r="AE291" t="s">
        <v>54</v>
      </c>
      <c r="AF291" t="s">
        <v>54</v>
      </c>
      <c r="AG291" t="s">
        <v>54</v>
      </c>
      <c r="AH291" t="s">
        <v>54</v>
      </c>
      <c r="AI291" t="s">
        <v>54</v>
      </c>
      <c r="AJ291" t="s">
        <v>54</v>
      </c>
      <c r="AK291" t="s">
        <v>54</v>
      </c>
      <c r="AL291" t="s">
        <v>54</v>
      </c>
      <c r="AM291" t="s">
        <v>54</v>
      </c>
      <c r="AN291" t="s">
        <v>54</v>
      </c>
      <c r="AO291" t="s">
        <v>54</v>
      </c>
      <c r="AP291" t="s">
        <v>54</v>
      </c>
      <c r="AQ291" t="s">
        <v>54</v>
      </c>
    </row>
    <row r="292" spans="1:43" x14ac:dyDescent="0.25">
      <c r="A292" t="s">
        <v>2666</v>
      </c>
      <c r="B292">
        <v>211</v>
      </c>
      <c r="C292">
        <v>144</v>
      </c>
      <c r="D292" t="s">
        <v>2667</v>
      </c>
      <c r="E292" t="s">
        <v>2668</v>
      </c>
      <c r="F292" t="s">
        <v>2669</v>
      </c>
      <c r="G292" t="s">
        <v>2670</v>
      </c>
      <c r="H292" t="s">
        <v>2671</v>
      </c>
      <c r="I292" t="s">
        <v>2672</v>
      </c>
      <c r="J292">
        <v>4</v>
      </c>
      <c r="K292">
        <v>13</v>
      </c>
      <c r="L292">
        <v>2</v>
      </c>
      <c r="M292" t="s">
        <v>2673</v>
      </c>
      <c r="N292">
        <v>114</v>
      </c>
      <c r="O292">
        <v>211</v>
      </c>
      <c r="P292">
        <v>12</v>
      </c>
      <c r="Q292" t="s">
        <v>2674</v>
      </c>
      <c r="R292" t="s">
        <v>607</v>
      </c>
      <c r="S292">
        <v>21</v>
      </c>
      <c r="T292">
        <v>0</v>
      </c>
      <c r="U292" t="s">
        <v>52</v>
      </c>
      <c r="V292" t="s">
        <v>2675</v>
      </c>
      <c r="W292" t="s">
        <v>54</v>
      </c>
      <c r="X292" t="s">
        <v>54</v>
      </c>
      <c r="Y292" t="s">
        <v>54</v>
      </c>
      <c r="Z292" t="s">
        <v>54</v>
      </c>
      <c r="AA292" t="s">
        <v>54</v>
      </c>
      <c r="AB292" t="s">
        <v>54</v>
      </c>
      <c r="AC292" t="s">
        <v>54</v>
      </c>
      <c r="AD292" t="s">
        <v>54</v>
      </c>
      <c r="AE292" t="s">
        <v>54</v>
      </c>
      <c r="AF292" t="s">
        <v>54</v>
      </c>
      <c r="AG292" t="s">
        <v>54</v>
      </c>
      <c r="AH292" t="s">
        <v>54</v>
      </c>
      <c r="AI292" t="s">
        <v>54</v>
      </c>
      <c r="AJ292" t="s">
        <v>54</v>
      </c>
      <c r="AK292" t="s">
        <v>54</v>
      </c>
      <c r="AL292" t="s">
        <v>54</v>
      </c>
      <c r="AM292" t="s">
        <v>54</v>
      </c>
      <c r="AN292" t="s">
        <v>54</v>
      </c>
      <c r="AO292" t="s">
        <v>54</v>
      </c>
      <c r="AP292" t="s">
        <v>54</v>
      </c>
      <c r="AQ292" t="s">
        <v>54</v>
      </c>
    </row>
    <row r="293" spans="1:43" x14ac:dyDescent="0.25">
      <c r="A293" t="s">
        <v>2676</v>
      </c>
      <c r="B293">
        <v>213</v>
      </c>
      <c r="C293">
        <v>140</v>
      </c>
      <c r="D293" t="s">
        <v>2677</v>
      </c>
      <c r="E293" t="s">
        <v>1449</v>
      </c>
      <c r="F293" t="s">
        <v>2410</v>
      </c>
      <c r="G293" t="s">
        <v>2678</v>
      </c>
      <c r="H293" t="s">
        <v>2679</v>
      </c>
      <c r="I293" t="s">
        <v>704</v>
      </c>
      <c r="J293">
        <v>1</v>
      </c>
      <c r="K293">
        <v>3</v>
      </c>
      <c r="L293">
        <v>3</v>
      </c>
      <c r="M293" t="s">
        <v>2680</v>
      </c>
      <c r="N293">
        <v>106</v>
      </c>
      <c r="O293">
        <v>214</v>
      </c>
      <c r="P293">
        <v>6</v>
      </c>
      <c r="Q293" t="s">
        <v>2681</v>
      </c>
      <c r="R293" t="s">
        <v>94</v>
      </c>
      <c r="S293">
        <v>36</v>
      </c>
      <c r="T293">
        <v>0</v>
      </c>
      <c r="U293" t="s">
        <v>52</v>
      </c>
      <c r="V293" t="s">
        <v>2682</v>
      </c>
      <c r="W293" t="s">
        <v>54</v>
      </c>
      <c r="X293" t="s">
        <v>54</v>
      </c>
      <c r="Y293" t="s">
        <v>54</v>
      </c>
      <c r="Z293" t="s">
        <v>54</v>
      </c>
      <c r="AA293" t="s">
        <v>54</v>
      </c>
      <c r="AB293" t="s">
        <v>54</v>
      </c>
      <c r="AC293" t="s">
        <v>54</v>
      </c>
      <c r="AD293" t="s">
        <v>54</v>
      </c>
      <c r="AE293" t="s">
        <v>54</v>
      </c>
      <c r="AF293" t="s">
        <v>54</v>
      </c>
      <c r="AG293" t="s">
        <v>54</v>
      </c>
      <c r="AH293" t="s">
        <v>54</v>
      </c>
      <c r="AI293" t="s">
        <v>54</v>
      </c>
      <c r="AJ293" t="s">
        <v>54</v>
      </c>
      <c r="AK293" t="s">
        <v>54</v>
      </c>
      <c r="AL293" t="s">
        <v>54</v>
      </c>
      <c r="AM293" t="s">
        <v>54</v>
      </c>
      <c r="AN293" t="s">
        <v>54</v>
      </c>
      <c r="AO293" t="s">
        <v>54</v>
      </c>
      <c r="AP293" t="s">
        <v>54</v>
      </c>
      <c r="AQ293" t="s">
        <v>54</v>
      </c>
    </row>
    <row r="294" spans="1:43" x14ac:dyDescent="0.25">
      <c r="A294" t="s">
        <v>2683</v>
      </c>
      <c r="B294">
        <v>157</v>
      </c>
      <c r="C294">
        <v>94</v>
      </c>
      <c r="D294" t="s">
        <v>1467</v>
      </c>
      <c r="E294" t="s">
        <v>2684</v>
      </c>
      <c r="F294" t="s">
        <v>2027</v>
      </c>
      <c r="G294" t="s">
        <v>2685</v>
      </c>
      <c r="H294" t="s">
        <v>2686</v>
      </c>
      <c r="I294" t="s">
        <v>1466</v>
      </c>
      <c r="J294">
        <v>5</v>
      </c>
      <c r="K294">
        <v>2</v>
      </c>
      <c r="L294">
        <v>1</v>
      </c>
      <c r="M294" t="s">
        <v>2687</v>
      </c>
      <c r="N294">
        <v>87</v>
      </c>
      <c r="O294">
        <v>157</v>
      </c>
      <c r="P294">
        <v>10</v>
      </c>
      <c r="Q294" t="s">
        <v>1468</v>
      </c>
      <c r="R294" t="s">
        <v>489</v>
      </c>
      <c r="S294">
        <v>25</v>
      </c>
      <c r="T294">
        <v>0</v>
      </c>
      <c r="U294" t="s">
        <v>52</v>
      </c>
      <c r="V294" t="s">
        <v>2688</v>
      </c>
      <c r="W294" t="s">
        <v>54</v>
      </c>
      <c r="X294" t="s">
        <v>54</v>
      </c>
      <c r="Y294" t="s">
        <v>54</v>
      </c>
      <c r="Z294" t="s">
        <v>54</v>
      </c>
      <c r="AA294" t="s">
        <v>54</v>
      </c>
      <c r="AB294" t="s">
        <v>54</v>
      </c>
      <c r="AC294" t="s">
        <v>54</v>
      </c>
      <c r="AD294" t="s">
        <v>54</v>
      </c>
      <c r="AE294" t="s">
        <v>54</v>
      </c>
      <c r="AF294" t="s">
        <v>54</v>
      </c>
      <c r="AG294" t="s">
        <v>54</v>
      </c>
      <c r="AH294" t="s">
        <v>54</v>
      </c>
      <c r="AI294" t="s">
        <v>54</v>
      </c>
      <c r="AJ294" t="s">
        <v>54</v>
      </c>
      <c r="AK294" t="s">
        <v>54</v>
      </c>
      <c r="AL294" t="s">
        <v>54</v>
      </c>
      <c r="AM294" t="s">
        <v>54</v>
      </c>
      <c r="AN294" t="s">
        <v>54</v>
      </c>
      <c r="AO294" t="s">
        <v>54</v>
      </c>
      <c r="AP294" t="s">
        <v>54</v>
      </c>
      <c r="AQ294" t="s">
        <v>54</v>
      </c>
    </row>
    <row r="295" spans="1:43" x14ac:dyDescent="0.25">
      <c r="A295" t="s">
        <v>2689</v>
      </c>
      <c r="B295">
        <v>95</v>
      </c>
      <c r="C295">
        <v>76</v>
      </c>
      <c r="D295" t="s">
        <v>342</v>
      </c>
      <c r="E295" t="s">
        <v>2690</v>
      </c>
      <c r="F295" t="s">
        <v>648</v>
      </c>
      <c r="G295" t="s">
        <v>2691</v>
      </c>
      <c r="H295" t="s">
        <v>52</v>
      </c>
      <c r="I295" t="s">
        <v>2692</v>
      </c>
      <c r="J295">
        <v>0</v>
      </c>
      <c r="K295">
        <v>1</v>
      </c>
      <c r="L295">
        <v>2</v>
      </c>
      <c r="M295" t="s">
        <v>2482</v>
      </c>
      <c r="N295">
        <v>57</v>
      </c>
      <c r="O295">
        <v>96</v>
      </c>
      <c r="P295">
        <v>4</v>
      </c>
      <c r="Q295" t="s">
        <v>1195</v>
      </c>
      <c r="R295" t="s">
        <v>146</v>
      </c>
      <c r="S295">
        <v>8</v>
      </c>
      <c r="T295">
        <v>0</v>
      </c>
      <c r="U295" t="s">
        <v>52</v>
      </c>
      <c r="V295" t="s">
        <v>2693</v>
      </c>
      <c r="W295" t="s">
        <v>54</v>
      </c>
      <c r="X295" t="s">
        <v>54</v>
      </c>
      <c r="Y295" t="s">
        <v>54</v>
      </c>
      <c r="Z295" t="s">
        <v>54</v>
      </c>
      <c r="AA295" t="s">
        <v>54</v>
      </c>
      <c r="AB295" t="s">
        <v>54</v>
      </c>
      <c r="AC295" t="s">
        <v>54</v>
      </c>
      <c r="AD295" t="s">
        <v>54</v>
      </c>
      <c r="AE295" t="s">
        <v>54</v>
      </c>
      <c r="AF295" t="s">
        <v>54</v>
      </c>
      <c r="AG295" t="s">
        <v>54</v>
      </c>
      <c r="AH295" t="s">
        <v>54</v>
      </c>
      <c r="AI295" t="s">
        <v>54</v>
      </c>
      <c r="AJ295" t="s">
        <v>54</v>
      </c>
      <c r="AK295" t="s">
        <v>54</v>
      </c>
      <c r="AL295" t="s">
        <v>54</v>
      </c>
      <c r="AM295" t="s">
        <v>54</v>
      </c>
      <c r="AN295" t="s">
        <v>54</v>
      </c>
      <c r="AO295" t="s">
        <v>54</v>
      </c>
      <c r="AP295" t="s">
        <v>54</v>
      </c>
      <c r="AQ295" t="s">
        <v>54</v>
      </c>
    </row>
    <row r="296" spans="1:43" x14ac:dyDescent="0.25">
      <c r="A296" t="s">
        <v>2694</v>
      </c>
      <c r="B296">
        <v>160</v>
      </c>
      <c r="C296">
        <v>112</v>
      </c>
      <c r="D296" t="s">
        <v>118</v>
      </c>
      <c r="E296" t="s">
        <v>2695</v>
      </c>
      <c r="F296" t="s">
        <v>2696</v>
      </c>
      <c r="G296" t="s">
        <v>2697</v>
      </c>
      <c r="H296" t="s">
        <v>2698</v>
      </c>
      <c r="I296" t="s">
        <v>898</v>
      </c>
      <c r="J296">
        <v>4</v>
      </c>
      <c r="K296">
        <v>1</v>
      </c>
      <c r="L296">
        <v>3</v>
      </c>
      <c r="M296" t="s">
        <v>2699</v>
      </c>
      <c r="N296">
        <v>86</v>
      </c>
      <c r="O296">
        <v>161</v>
      </c>
      <c r="P296">
        <v>14</v>
      </c>
      <c r="Q296" t="s">
        <v>2700</v>
      </c>
      <c r="R296" t="s">
        <v>2701</v>
      </c>
      <c r="S296">
        <v>18</v>
      </c>
      <c r="T296">
        <v>0</v>
      </c>
      <c r="U296" t="s">
        <v>52</v>
      </c>
      <c r="V296" t="s">
        <v>2702</v>
      </c>
      <c r="W296" t="s">
        <v>54</v>
      </c>
      <c r="X296" t="s">
        <v>54</v>
      </c>
      <c r="Y296" t="s">
        <v>54</v>
      </c>
      <c r="Z296" t="s">
        <v>54</v>
      </c>
      <c r="AA296" t="s">
        <v>54</v>
      </c>
      <c r="AB296" t="s">
        <v>54</v>
      </c>
      <c r="AC296" t="s">
        <v>54</v>
      </c>
      <c r="AD296" t="s">
        <v>54</v>
      </c>
      <c r="AE296" t="s">
        <v>54</v>
      </c>
      <c r="AF296" t="s">
        <v>54</v>
      </c>
      <c r="AG296" t="s">
        <v>54</v>
      </c>
      <c r="AH296" t="s">
        <v>54</v>
      </c>
      <c r="AI296" t="s">
        <v>54</v>
      </c>
      <c r="AJ296" t="s">
        <v>54</v>
      </c>
      <c r="AK296" t="s">
        <v>54</v>
      </c>
      <c r="AL296" t="s">
        <v>54</v>
      </c>
      <c r="AM296" t="s">
        <v>54</v>
      </c>
      <c r="AN296" t="s">
        <v>54</v>
      </c>
      <c r="AO296" t="s">
        <v>54</v>
      </c>
      <c r="AP296" t="s">
        <v>54</v>
      </c>
      <c r="AQ296" t="s">
        <v>54</v>
      </c>
    </row>
    <row r="297" spans="1:43" x14ac:dyDescent="0.25">
      <c r="A297" t="s">
        <v>2703</v>
      </c>
      <c r="B297">
        <v>140</v>
      </c>
      <c r="C297">
        <v>97</v>
      </c>
      <c r="D297" t="s">
        <v>2704</v>
      </c>
      <c r="E297" t="s">
        <v>2705</v>
      </c>
      <c r="F297" t="s">
        <v>2706</v>
      </c>
      <c r="G297" t="s">
        <v>2707</v>
      </c>
      <c r="H297" t="s">
        <v>2414</v>
      </c>
      <c r="I297" t="s">
        <v>2414</v>
      </c>
      <c r="J297">
        <v>1</v>
      </c>
      <c r="K297">
        <v>1</v>
      </c>
      <c r="L297">
        <v>2</v>
      </c>
      <c r="M297" t="s">
        <v>2415</v>
      </c>
      <c r="N297">
        <v>74</v>
      </c>
      <c r="O297">
        <v>140</v>
      </c>
      <c r="P297">
        <v>8</v>
      </c>
      <c r="Q297" t="s">
        <v>2708</v>
      </c>
      <c r="R297" t="s">
        <v>2709</v>
      </c>
      <c r="S297">
        <v>13</v>
      </c>
      <c r="T297">
        <v>1</v>
      </c>
      <c r="U297" t="s">
        <v>2710</v>
      </c>
      <c r="V297" t="s">
        <v>2711</v>
      </c>
      <c r="W297" t="s">
        <v>54</v>
      </c>
      <c r="X297" t="s">
        <v>54</v>
      </c>
      <c r="Y297" t="s">
        <v>54</v>
      </c>
      <c r="Z297" t="s">
        <v>54</v>
      </c>
      <c r="AA297" t="s">
        <v>54</v>
      </c>
      <c r="AB297" t="s">
        <v>54</v>
      </c>
      <c r="AC297" t="s">
        <v>54</v>
      </c>
      <c r="AD297" t="s">
        <v>54</v>
      </c>
      <c r="AE297" t="s">
        <v>54</v>
      </c>
      <c r="AF297" t="s">
        <v>54</v>
      </c>
      <c r="AG297" t="s">
        <v>54</v>
      </c>
      <c r="AH297" t="s">
        <v>54</v>
      </c>
      <c r="AI297" t="s">
        <v>54</v>
      </c>
      <c r="AJ297" t="s">
        <v>54</v>
      </c>
      <c r="AK297" t="s">
        <v>54</v>
      </c>
      <c r="AL297" t="s">
        <v>54</v>
      </c>
      <c r="AM297" t="s">
        <v>54</v>
      </c>
      <c r="AN297" t="s">
        <v>54</v>
      </c>
      <c r="AO297" t="s">
        <v>54</v>
      </c>
      <c r="AP297" t="s">
        <v>54</v>
      </c>
      <c r="AQ297" t="s">
        <v>54</v>
      </c>
    </row>
    <row r="298" spans="1:43" x14ac:dyDescent="0.25">
      <c r="A298" t="s">
        <v>2712</v>
      </c>
      <c r="B298">
        <v>140</v>
      </c>
      <c r="C298">
        <v>102</v>
      </c>
      <c r="D298" t="s">
        <v>2713</v>
      </c>
      <c r="E298" t="s">
        <v>140</v>
      </c>
      <c r="F298" t="s">
        <v>2714</v>
      </c>
      <c r="G298" t="s">
        <v>2715</v>
      </c>
      <c r="H298" t="s">
        <v>52</v>
      </c>
      <c r="I298" t="s">
        <v>2716</v>
      </c>
      <c r="J298">
        <v>0</v>
      </c>
      <c r="K298">
        <v>2</v>
      </c>
      <c r="L298">
        <v>4</v>
      </c>
      <c r="M298" t="s">
        <v>2717</v>
      </c>
      <c r="N298">
        <v>79</v>
      </c>
      <c r="O298">
        <v>141</v>
      </c>
      <c r="P298">
        <v>4</v>
      </c>
      <c r="Q298" t="s">
        <v>2718</v>
      </c>
      <c r="R298" t="s">
        <v>1033</v>
      </c>
      <c r="S298">
        <v>20</v>
      </c>
      <c r="T298">
        <v>0</v>
      </c>
      <c r="U298" t="s">
        <v>52</v>
      </c>
      <c r="V298" t="s">
        <v>2719</v>
      </c>
      <c r="W298" t="s">
        <v>54</v>
      </c>
      <c r="X298" t="s">
        <v>54</v>
      </c>
      <c r="Y298" t="s">
        <v>54</v>
      </c>
      <c r="Z298" t="s">
        <v>54</v>
      </c>
      <c r="AA298" t="s">
        <v>54</v>
      </c>
      <c r="AB298" t="s">
        <v>54</v>
      </c>
      <c r="AC298" t="s">
        <v>54</v>
      </c>
      <c r="AD298" t="s">
        <v>54</v>
      </c>
      <c r="AE298" t="s">
        <v>54</v>
      </c>
      <c r="AF298" t="s">
        <v>54</v>
      </c>
      <c r="AG298" t="s">
        <v>54</v>
      </c>
      <c r="AH298" t="s">
        <v>54</v>
      </c>
      <c r="AI298" t="s">
        <v>54</v>
      </c>
      <c r="AJ298" t="s">
        <v>54</v>
      </c>
      <c r="AK298" t="s">
        <v>54</v>
      </c>
      <c r="AL298" t="s">
        <v>54</v>
      </c>
      <c r="AM298" t="s">
        <v>54</v>
      </c>
      <c r="AN298" t="s">
        <v>54</v>
      </c>
      <c r="AO298" t="s">
        <v>54</v>
      </c>
      <c r="AP298" t="s">
        <v>54</v>
      </c>
      <c r="AQ298" t="s">
        <v>54</v>
      </c>
    </row>
    <row r="299" spans="1:43" x14ac:dyDescent="0.25">
      <c r="A299" t="s">
        <v>2720</v>
      </c>
      <c r="B299">
        <v>223</v>
      </c>
      <c r="C299">
        <v>147</v>
      </c>
      <c r="D299" t="s">
        <v>2721</v>
      </c>
      <c r="E299" t="s">
        <v>2722</v>
      </c>
      <c r="F299" t="s">
        <v>2723</v>
      </c>
      <c r="G299" t="s">
        <v>2724</v>
      </c>
      <c r="H299" t="s">
        <v>2725</v>
      </c>
      <c r="I299" t="s">
        <v>2726</v>
      </c>
      <c r="J299">
        <v>4</v>
      </c>
      <c r="K299">
        <v>2</v>
      </c>
      <c r="L299">
        <v>2</v>
      </c>
      <c r="M299" t="s">
        <v>2727</v>
      </c>
      <c r="N299">
        <v>113</v>
      </c>
      <c r="O299">
        <v>224</v>
      </c>
      <c r="P299">
        <v>29</v>
      </c>
      <c r="Q299" t="s">
        <v>2728</v>
      </c>
      <c r="R299" t="s">
        <v>2729</v>
      </c>
      <c r="S299">
        <v>23</v>
      </c>
      <c r="T299">
        <v>0</v>
      </c>
      <c r="U299" t="s">
        <v>52</v>
      </c>
      <c r="V299" t="s">
        <v>2730</v>
      </c>
      <c r="W299" t="s">
        <v>54</v>
      </c>
      <c r="X299" t="s">
        <v>54</v>
      </c>
      <c r="Y299" t="s">
        <v>54</v>
      </c>
      <c r="Z299" t="s">
        <v>54</v>
      </c>
      <c r="AA299" t="s">
        <v>54</v>
      </c>
      <c r="AB299" t="s">
        <v>54</v>
      </c>
      <c r="AC299" t="s">
        <v>54</v>
      </c>
      <c r="AD299" t="s">
        <v>54</v>
      </c>
      <c r="AE299" t="s">
        <v>54</v>
      </c>
      <c r="AF299" t="s">
        <v>54</v>
      </c>
      <c r="AG299" t="s">
        <v>54</v>
      </c>
      <c r="AH299" t="s">
        <v>54</v>
      </c>
      <c r="AI299" t="s">
        <v>54</v>
      </c>
      <c r="AJ299" t="s">
        <v>54</v>
      </c>
      <c r="AK299" t="s">
        <v>54</v>
      </c>
      <c r="AL299" t="s">
        <v>54</v>
      </c>
      <c r="AM299" t="s">
        <v>54</v>
      </c>
      <c r="AN299" t="s">
        <v>54</v>
      </c>
      <c r="AO299" t="s">
        <v>54</v>
      </c>
      <c r="AP299" t="s">
        <v>54</v>
      </c>
      <c r="AQ299" t="s">
        <v>54</v>
      </c>
    </row>
    <row r="300" spans="1:43" x14ac:dyDescent="0.25">
      <c r="A300" t="s">
        <v>2731</v>
      </c>
      <c r="B300">
        <v>158</v>
      </c>
      <c r="C300">
        <v>94</v>
      </c>
      <c r="D300" t="s">
        <v>2732</v>
      </c>
      <c r="E300" t="s">
        <v>2732</v>
      </c>
      <c r="F300" t="s">
        <v>481</v>
      </c>
      <c r="G300" t="s">
        <v>2733</v>
      </c>
      <c r="H300" t="s">
        <v>2734</v>
      </c>
      <c r="I300" t="s">
        <v>2735</v>
      </c>
      <c r="J300">
        <v>1</v>
      </c>
      <c r="K300">
        <v>4</v>
      </c>
      <c r="L300">
        <v>3</v>
      </c>
      <c r="M300" t="s">
        <v>2736</v>
      </c>
      <c r="N300">
        <v>75</v>
      </c>
      <c r="O300">
        <v>158</v>
      </c>
      <c r="P300">
        <v>10</v>
      </c>
      <c r="Q300" t="s">
        <v>2737</v>
      </c>
      <c r="R300" t="s">
        <v>882</v>
      </c>
      <c r="S300">
        <v>26</v>
      </c>
      <c r="T300">
        <v>0</v>
      </c>
      <c r="U300" t="s">
        <v>52</v>
      </c>
      <c r="V300" t="s">
        <v>2738</v>
      </c>
      <c r="W300" t="s">
        <v>54</v>
      </c>
      <c r="X300" t="s">
        <v>54</v>
      </c>
      <c r="Y300" t="s">
        <v>54</v>
      </c>
      <c r="Z300" t="s">
        <v>54</v>
      </c>
      <c r="AA300" t="s">
        <v>54</v>
      </c>
      <c r="AB300" t="s">
        <v>54</v>
      </c>
      <c r="AC300" t="s">
        <v>54</v>
      </c>
      <c r="AD300" t="s">
        <v>54</v>
      </c>
      <c r="AE300" t="s">
        <v>54</v>
      </c>
      <c r="AF300" t="s">
        <v>54</v>
      </c>
      <c r="AG300" t="s">
        <v>54</v>
      </c>
      <c r="AH300" t="s">
        <v>54</v>
      </c>
      <c r="AI300" t="s">
        <v>54</v>
      </c>
      <c r="AJ300" t="s">
        <v>54</v>
      </c>
      <c r="AK300" t="s">
        <v>54</v>
      </c>
      <c r="AL300" t="s">
        <v>54</v>
      </c>
      <c r="AM300" t="s">
        <v>54</v>
      </c>
      <c r="AN300" t="s">
        <v>54</v>
      </c>
      <c r="AO300" t="s">
        <v>54</v>
      </c>
      <c r="AP300" t="s">
        <v>54</v>
      </c>
      <c r="AQ300" t="s">
        <v>54</v>
      </c>
    </row>
    <row r="301" spans="1:43" x14ac:dyDescent="0.25">
      <c r="A301" t="s">
        <v>2739</v>
      </c>
      <c r="B301">
        <v>173</v>
      </c>
      <c r="C301">
        <v>107</v>
      </c>
      <c r="D301" t="s">
        <v>2740</v>
      </c>
      <c r="E301" t="s">
        <v>2741</v>
      </c>
      <c r="F301" t="s">
        <v>2742</v>
      </c>
      <c r="G301" t="s">
        <v>2743</v>
      </c>
      <c r="H301" t="s">
        <v>416</v>
      </c>
      <c r="I301" t="s">
        <v>2626</v>
      </c>
      <c r="J301">
        <v>2</v>
      </c>
      <c r="K301">
        <v>3</v>
      </c>
      <c r="L301">
        <v>4</v>
      </c>
      <c r="M301" t="s">
        <v>2744</v>
      </c>
      <c r="N301">
        <v>89</v>
      </c>
      <c r="O301">
        <v>173</v>
      </c>
      <c r="P301">
        <v>1</v>
      </c>
      <c r="Q301" t="s">
        <v>2745</v>
      </c>
      <c r="R301" t="s">
        <v>2746</v>
      </c>
      <c r="S301">
        <v>30</v>
      </c>
      <c r="T301">
        <v>0</v>
      </c>
      <c r="U301" t="s">
        <v>52</v>
      </c>
      <c r="V301" t="s">
        <v>2747</v>
      </c>
      <c r="W301" t="s">
        <v>54</v>
      </c>
      <c r="X301" t="s">
        <v>54</v>
      </c>
      <c r="Y301" t="s">
        <v>54</v>
      </c>
      <c r="Z301" t="s">
        <v>54</v>
      </c>
      <c r="AA301" t="s">
        <v>54</v>
      </c>
      <c r="AB301" t="s">
        <v>54</v>
      </c>
      <c r="AC301" t="s">
        <v>54</v>
      </c>
      <c r="AD301" t="s">
        <v>54</v>
      </c>
      <c r="AE301" t="s">
        <v>54</v>
      </c>
      <c r="AF301" t="s">
        <v>54</v>
      </c>
      <c r="AG301" t="s">
        <v>54</v>
      </c>
      <c r="AH301" t="s">
        <v>54</v>
      </c>
      <c r="AI301" t="s">
        <v>54</v>
      </c>
      <c r="AJ301" t="s">
        <v>54</v>
      </c>
      <c r="AK301" t="s">
        <v>54</v>
      </c>
      <c r="AL301" t="s">
        <v>54</v>
      </c>
      <c r="AM301" t="s">
        <v>54</v>
      </c>
      <c r="AN301" t="s">
        <v>54</v>
      </c>
      <c r="AO301" t="s">
        <v>54</v>
      </c>
      <c r="AP301" t="s">
        <v>54</v>
      </c>
      <c r="AQ301" t="s">
        <v>54</v>
      </c>
    </row>
    <row r="302" spans="1:43" x14ac:dyDescent="0.25">
      <c r="A302" t="s">
        <v>2748</v>
      </c>
      <c r="B302">
        <v>161</v>
      </c>
      <c r="C302">
        <v>121</v>
      </c>
      <c r="D302" t="s">
        <v>2749</v>
      </c>
      <c r="E302" t="s">
        <v>2750</v>
      </c>
      <c r="F302" t="s">
        <v>2751</v>
      </c>
      <c r="G302" t="s">
        <v>2752</v>
      </c>
      <c r="H302" t="s">
        <v>926</v>
      </c>
      <c r="I302" t="s">
        <v>564</v>
      </c>
      <c r="J302">
        <v>1</v>
      </c>
      <c r="K302">
        <v>6</v>
      </c>
      <c r="L302">
        <v>2</v>
      </c>
      <c r="M302" t="s">
        <v>2753</v>
      </c>
      <c r="N302">
        <v>96</v>
      </c>
      <c r="O302">
        <v>161</v>
      </c>
      <c r="P302">
        <v>5</v>
      </c>
      <c r="Q302" t="s">
        <v>2754</v>
      </c>
      <c r="R302" t="s">
        <v>2755</v>
      </c>
      <c r="S302">
        <v>18</v>
      </c>
      <c r="T302">
        <v>0</v>
      </c>
      <c r="U302" t="s">
        <v>52</v>
      </c>
      <c r="V302" t="s">
        <v>2756</v>
      </c>
      <c r="W302" t="s">
        <v>54</v>
      </c>
      <c r="X302" t="s">
        <v>54</v>
      </c>
      <c r="Y302" t="s">
        <v>54</v>
      </c>
      <c r="Z302" t="s">
        <v>54</v>
      </c>
      <c r="AA302" t="s">
        <v>54</v>
      </c>
      <c r="AB302" t="s">
        <v>54</v>
      </c>
      <c r="AC302" t="s">
        <v>54</v>
      </c>
      <c r="AD302" t="s">
        <v>54</v>
      </c>
      <c r="AE302" t="s">
        <v>54</v>
      </c>
      <c r="AF302" t="s">
        <v>54</v>
      </c>
      <c r="AG302" t="s">
        <v>54</v>
      </c>
      <c r="AH302" t="s">
        <v>54</v>
      </c>
      <c r="AI302" t="s">
        <v>54</v>
      </c>
      <c r="AJ302" t="s">
        <v>54</v>
      </c>
      <c r="AK302" t="s">
        <v>54</v>
      </c>
      <c r="AL302" t="s">
        <v>54</v>
      </c>
      <c r="AM302" t="s">
        <v>54</v>
      </c>
      <c r="AN302" t="s">
        <v>54</v>
      </c>
      <c r="AO302" t="s">
        <v>54</v>
      </c>
      <c r="AP302" t="s">
        <v>54</v>
      </c>
      <c r="AQ302" t="s">
        <v>54</v>
      </c>
    </row>
    <row r="303" spans="1:43" x14ac:dyDescent="0.25">
      <c r="A303" t="s">
        <v>2757</v>
      </c>
      <c r="B303">
        <v>107</v>
      </c>
      <c r="C303">
        <v>73</v>
      </c>
      <c r="D303" t="s">
        <v>2758</v>
      </c>
      <c r="E303" t="s">
        <v>440</v>
      </c>
      <c r="F303" t="s">
        <v>2759</v>
      </c>
      <c r="G303" t="s">
        <v>2760</v>
      </c>
      <c r="H303" t="s">
        <v>2761</v>
      </c>
      <c r="I303" t="s">
        <v>443</v>
      </c>
      <c r="J303">
        <v>2</v>
      </c>
      <c r="K303">
        <v>1</v>
      </c>
      <c r="L303">
        <v>3</v>
      </c>
      <c r="M303" t="s">
        <v>2762</v>
      </c>
      <c r="N303">
        <v>52</v>
      </c>
      <c r="O303">
        <v>106</v>
      </c>
      <c r="P303">
        <v>7</v>
      </c>
      <c r="Q303" t="s">
        <v>2763</v>
      </c>
      <c r="R303" t="s">
        <v>1081</v>
      </c>
      <c r="S303">
        <v>19</v>
      </c>
      <c r="T303">
        <v>0</v>
      </c>
      <c r="U303" t="s">
        <v>52</v>
      </c>
      <c r="V303" t="s">
        <v>2764</v>
      </c>
      <c r="W303" t="s">
        <v>54</v>
      </c>
      <c r="X303" t="s">
        <v>54</v>
      </c>
      <c r="Y303" t="s">
        <v>54</v>
      </c>
      <c r="Z303" t="s">
        <v>54</v>
      </c>
      <c r="AA303" t="s">
        <v>54</v>
      </c>
      <c r="AB303" t="s">
        <v>54</v>
      </c>
      <c r="AC303" t="s">
        <v>54</v>
      </c>
      <c r="AD303" t="s">
        <v>54</v>
      </c>
      <c r="AE303" t="s">
        <v>54</v>
      </c>
      <c r="AF303" t="s">
        <v>54</v>
      </c>
      <c r="AG303" t="s">
        <v>54</v>
      </c>
      <c r="AH303" t="s">
        <v>54</v>
      </c>
      <c r="AI303" t="s">
        <v>54</v>
      </c>
      <c r="AJ303" t="s">
        <v>54</v>
      </c>
      <c r="AK303" t="s">
        <v>54</v>
      </c>
      <c r="AL303" t="s">
        <v>54</v>
      </c>
      <c r="AM303" t="s">
        <v>54</v>
      </c>
      <c r="AN303" t="s">
        <v>54</v>
      </c>
      <c r="AO303" t="s">
        <v>54</v>
      </c>
      <c r="AP303" t="s">
        <v>54</v>
      </c>
      <c r="AQ303" t="s">
        <v>54</v>
      </c>
    </row>
    <row r="304" spans="1:43" x14ac:dyDescent="0.25">
      <c r="A304" t="s">
        <v>2765</v>
      </c>
      <c r="B304">
        <v>123</v>
      </c>
      <c r="C304">
        <v>83</v>
      </c>
      <c r="D304" t="s">
        <v>2766</v>
      </c>
      <c r="E304" t="s">
        <v>2767</v>
      </c>
      <c r="F304" t="s">
        <v>2768</v>
      </c>
      <c r="G304" t="s">
        <v>2769</v>
      </c>
      <c r="H304" t="s">
        <v>1638</v>
      </c>
      <c r="I304" t="s">
        <v>2770</v>
      </c>
      <c r="J304">
        <v>4</v>
      </c>
      <c r="K304">
        <v>7</v>
      </c>
      <c r="L304">
        <v>3</v>
      </c>
      <c r="M304" t="s">
        <v>2771</v>
      </c>
      <c r="N304">
        <v>70</v>
      </c>
      <c r="O304">
        <v>123</v>
      </c>
      <c r="P304">
        <v>23</v>
      </c>
      <c r="Q304" t="s">
        <v>2772</v>
      </c>
      <c r="R304" t="s">
        <v>2249</v>
      </c>
      <c r="S304">
        <v>13</v>
      </c>
      <c r="T304">
        <v>0</v>
      </c>
      <c r="U304" t="s">
        <v>52</v>
      </c>
      <c r="V304" t="s">
        <v>2773</v>
      </c>
      <c r="W304" t="s">
        <v>54</v>
      </c>
      <c r="X304" t="s">
        <v>54</v>
      </c>
      <c r="Y304" t="s">
        <v>54</v>
      </c>
      <c r="Z304" t="s">
        <v>54</v>
      </c>
      <c r="AA304" t="s">
        <v>54</v>
      </c>
      <c r="AB304" t="s">
        <v>54</v>
      </c>
      <c r="AC304" t="s">
        <v>54</v>
      </c>
      <c r="AD304" t="s">
        <v>54</v>
      </c>
      <c r="AE304" t="s">
        <v>54</v>
      </c>
      <c r="AF304" t="s">
        <v>54</v>
      </c>
      <c r="AG304" t="s">
        <v>54</v>
      </c>
      <c r="AH304" t="s">
        <v>54</v>
      </c>
      <c r="AI304" t="s">
        <v>54</v>
      </c>
      <c r="AJ304" t="s">
        <v>54</v>
      </c>
      <c r="AK304" t="s">
        <v>54</v>
      </c>
      <c r="AL304" t="s">
        <v>54</v>
      </c>
      <c r="AM304" t="s">
        <v>54</v>
      </c>
      <c r="AN304" t="s">
        <v>54</v>
      </c>
      <c r="AO304" t="s">
        <v>54</v>
      </c>
      <c r="AP304" t="s">
        <v>54</v>
      </c>
      <c r="AQ304" t="s">
        <v>54</v>
      </c>
    </row>
    <row r="305" spans="1:43" x14ac:dyDescent="0.25">
      <c r="A305" t="s">
        <v>2774</v>
      </c>
      <c r="B305">
        <v>264</v>
      </c>
      <c r="C305">
        <v>150</v>
      </c>
      <c r="D305" t="s">
        <v>815</v>
      </c>
      <c r="E305" t="s">
        <v>2775</v>
      </c>
      <c r="F305" t="s">
        <v>1063</v>
      </c>
      <c r="G305" t="s">
        <v>2776</v>
      </c>
      <c r="H305" t="s">
        <v>818</v>
      </c>
      <c r="I305" t="s">
        <v>2777</v>
      </c>
      <c r="J305">
        <v>9</v>
      </c>
      <c r="K305">
        <v>1</v>
      </c>
      <c r="L305">
        <v>4</v>
      </c>
      <c r="M305" t="s">
        <v>1759</v>
      </c>
      <c r="N305">
        <v>143</v>
      </c>
      <c r="O305">
        <v>264</v>
      </c>
      <c r="P305">
        <v>46</v>
      </c>
      <c r="Q305" t="s">
        <v>2778</v>
      </c>
      <c r="R305" t="s">
        <v>1174</v>
      </c>
      <c r="S305">
        <v>28</v>
      </c>
      <c r="T305">
        <v>0</v>
      </c>
      <c r="U305" t="s">
        <v>52</v>
      </c>
      <c r="V305" t="s">
        <v>2779</v>
      </c>
      <c r="W305" t="s">
        <v>54</v>
      </c>
      <c r="X305" t="s">
        <v>54</v>
      </c>
      <c r="Y305" t="s">
        <v>54</v>
      </c>
      <c r="Z305" t="s">
        <v>54</v>
      </c>
      <c r="AA305" t="s">
        <v>54</v>
      </c>
      <c r="AB305" t="s">
        <v>54</v>
      </c>
      <c r="AC305" t="s">
        <v>54</v>
      </c>
      <c r="AD305" t="s">
        <v>54</v>
      </c>
      <c r="AE305" t="s">
        <v>54</v>
      </c>
      <c r="AF305" t="s">
        <v>54</v>
      </c>
      <c r="AG305" t="s">
        <v>54</v>
      </c>
      <c r="AH305" t="s">
        <v>54</v>
      </c>
      <c r="AI305" t="s">
        <v>54</v>
      </c>
      <c r="AJ305" t="s">
        <v>54</v>
      </c>
      <c r="AK305" t="s">
        <v>54</v>
      </c>
      <c r="AL305" t="s">
        <v>54</v>
      </c>
      <c r="AM305" t="s">
        <v>54</v>
      </c>
      <c r="AN305" t="s">
        <v>54</v>
      </c>
      <c r="AO305" t="s">
        <v>54</v>
      </c>
      <c r="AP305" t="s">
        <v>54</v>
      </c>
      <c r="AQ305" t="s">
        <v>54</v>
      </c>
    </row>
    <row r="306" spans="1:43" x14ac:dyDescent="0.25">
      <c r="A306" t="s">
        <v>2780</v>
      </c>
      <c r="B306">
        <v>251</v>
      </c>
      <c r="C306">
        <v>160</v>
      </c>
      <c r="D306" t="s">
        <v>2781</v>
      </c>
      <c r="E306" t="s">
        <v>2782</v>
      </c>
      <c r="F306" t="s">
        <v>720</v>
      </c>
      <c r="G306" t="s">
        <v>2783</v>
      </c>
      <c r="H306" t="s">
        <v>2784</v>
      </c>
      <c r="I306" t="s">
        <v>2785</v>
      </c>
      <c r="J306">
        <v>3</v>
      </c>
      <c r="K306">
        <v>2</v>
      </c>
      <c r="L306">
        <v>3</v>
      </c>
      <c r="M306" t="s">
        <v>2786</v>
      </c>
      <c r="N306">
        <v>128</v>
      </c>
      <c r="O306">
        <v>251</v>
      </c>
      <c r="P306">
        <v>12</v>
      </c>
      <c r="Q306" t="s">
        <v>2787</v>
      </c>
      <c r="R306" t="s">
        <v>954</v>
      </c>
      <c r="S306">
        <v>42</v>
      </c>
      <c r="T306">
        <v>0</v>
      </c>
      <c r="U306" t="s">
        <v>52</v>
      </c>
      <c r="V306" t="s">
        <v>2788</v>
      </c>
      <c r="W306" t="s">
        <v>54</v>
      </c>
      <c r="X306" t="s">
        <v>54</v>
      </c>
      <c r="Y306" t="s">
        <v>54</v>
      </c>
      <c r="Z306" t="s">
        <v>54</v>
      </c>
      <c r="AA306" t="s">
        <v>54</v>
      </c>
      <c r="AB306" t="s">
        <v>54</v>
      </c>
      <c r="AC306" t="s">
        <v>54</v>
      </c>
      <c r="AD306" t="s">
        <v>54</v>
      </c>
      <c r="AE306" t="s">
        <v>54</v>
      </c>
      <c r="AF306" t="s">
        <v>54</v>
      </c>
      <c r="AG306" t="s">
        <v>54</v>
      </c>
      <c r="AH306" t="s">
        <v>54</v>
      </c>
      <c r="AI306" t="s">
        <v>54</v>
      </c>
      <c r="AJ306" t="s">
        <v>54</v>
      </c>
      <c r="AK306" t="s">
        <v>54</v>
      </c>
      <c r="AL306" t="s">
        <v>54</v>
      </c>
      <c r="AM306" t="s">
        <v>54</v>
      </c>
      <c r="AN306" t="s">
        <v>54</v>
      </c>
      <c r="AO306" t="s">
        <v>54</v>
      </c>
      <c r="AP306" t="s">
        <v>54</v>
      </c>
      <c r="AQ306" t="s">
        <v>54</v>
      </c>
    </row>
    <row r="307" spans="1:43" x14ac:dyDescent="0.25">
      <c r="A307" t="s">
        <v>2789</v>
      </c>
      <c r="B307">
        <v>134</v>
      </c>
      <c r="C307">
        <v>101</v>
      </c>
      <c r="D307" t="s">
        <v>2790</v>
      </c>
      <c r="E307" t="s">
        <v>2791</v>
      </c>
      <c r="F307" t="s">
        <v>2792</v>
      </c>
      <c r="G307" t="s">
        <v>2793</v>
      </c>
      <c r="H307" t="s">
        <v>112</v>
      </c>
      <c r="I307" t="s">
        <v>2794</v>
      </c>
      <c r="J307">
        <v>2</v>
      </c>
      <c r="K307">
        <v>6</v>
      </c>
      <c r="L307">
        <v>2</v>
      </c>
      <c r="M307" t="s">
        <v>2795</v>
      </c>
      <c r="N307">
        <v>74</v>
      </c>
      <c r="O307">
        <v>134</v>
      </c>
      <c r="P307">
        <v>14</v>
      </c>
      <c r="Q307" t="s">
        <v>2796</v>
      </c>
      <c r="R307" t="s">
        <v>265</v>
      </c>
      <c r="S307">
        <v>11</v>
      </c>
      <c r="T307">
        <v>0</v>
      </c>
      <c r="U307" t="s">
        <v>52</v>
      </c>
      <c r="V307" t="s">
        <v>2797</v>
      </c>
      <c r="W307" t="s">
        <v>54</v>
      </c>
      <c r="X307" t="s">
        <v>54</v>
      </c>
      <c r="Y307" t="s">
        <v>54</v>
      </c>
      <c r="Z307" t="s">
        <v>54</v>
      </c>
      <c r="AA307" t="s">
        <v>54</v>
      </c>
      <c r="AB307" t="s">
        <v>54</v>
      </c>
      <c r="AC307" t="s">
        <v>54</v>
      </c>
      <c r="AD307" t="s">
        <v>54</v>
      </c>
      <c r="AE307" t="s">
        <v>54</v>
      </c>
      <c r="AF307" t="s">
        <v>54</v>
      </c>
      <c r="AG307" t="s">
        <v>54</v>
      </c>
      <c r="AH307" t="s">
        <v>54</v>
      </c>
      <c r="AI307" t="s">
        <v>54</v>
      </c>
      <c r="AJ307" t="s">
        <v>54</v>
      </c>
      <c r="AK307" t="s">
        <v>54</v>
      </c>
      <c r="AL307" t="s">
        <v>54</v>
      </c>
      <c r="AM307" t="s">
        <v>54</v>
      </c>
      <c r="AN307" t="s">
        <v>54</v>
      </c>
      <c r="AO307" t="s">
        <v>54</v>
      </c>
      <c r="AP307" t="s">
        <v>54</v>
      </c>
      <c r="AQ307" t="s">
        <v>54</v>
      </c>
    </row>
    <row r="308" spans="1:43" x14ac:dyDescent="0.25">
      <c r="A308" t="s">
        <v>2798</v>
      </c>
      <c r="B308">
        <v>87</v>
      </c>
      <c r="C308">
        <v>65</v>
      </c>
      <c r="D308" t="s">
        <v>2799</v>
      </c>
      <c r="E308" t="s">
        <v>2800</v>
      </c>
      <c r="F308" t="s">
        <v>2801</v>
      </c>
      <c r="G308" t="s">
        <v>2802</v>
      </c>
      <c r="H308" t="s">
        <v>52</v>
      </c>
      <c r="I308" t="s">
        <v>2475</v>
      </c>
      <c r="J308">
        <v>0</v>
      </c>
      <c r="K308">
        <v>3</v>
      </c>
      <c r="L308">
        <v>1</v>
      </c>
      <c r="M308" t="s">
        <v>2803</v>
      </c>
      <c r="N308">
        <v>54</v>
      </c>
      <c r="O308">
        <v>86</v>
      </c>
      <c r="P308">
        <v>13</v>
      </c>
      <c r="Q308" t="s">
        <v>2804</v>
      </c>
      <c r="R308" t="s">
        <v>2805</v>
      </c>
      <c r="S308">
        <v>14</v>
      </c>
      <c r="T308">
        <v>2</v>
      </c>
      <c r="U308" t="s">
        <v>2806</v>
      </c>
      <c r="V308" t="s">
        <v>2807</v>
      </c>
      <c r="W308" t="s">
        <v>54</v>
      </c>
      <c r="X308" t="s">
        <v>54</v>
      </c>
      <c r="Y308" t="s">
        <v>54</v>
      </c>
      <c r="Z308" t="s">
        <v>54</v>
      </c>
      <c r="AA308" t="s">
        <v>54</v>
      </c>
      <c r="AB308" t="s">
        <v>54</v>
      </c>
      <c r="AC308" t="s">
        <v>54</v>
      </c>
      <c r="AD308" t="s">
        <v>54</v>
      </c>
      <c r="AE308" t="s">
        <v>54</v>
      </c>
      <c r="AF308" t="s">
        <v>54</v>
      </c>
      <c r="AG308" t="s">
        <v>54</v>
      </c>
      <c r="AH308" t="s">
        <v>54</v>
      </c>
      <c r="AI308" t="s">
        <v>54</v>
      </c>
      <c r="AJ308" t="s">
        <v>54</v>
      </c>
      <c r="AK308" t="s">
        <v>54</v>
      </c>
      <c r="AL308" t="s">
        <v>54</v>
      </c>
      <c r="AM308" t="s">
        <v>54</v>
      </c>
      <c r="AN308" t="s">
        <v>54</v>
      </c>
      <c r="AO308" t="s">
        <v>54</v>
      </c>
      <c r="AP308" t="s">
        <v>54</v>
      </c>
      <c r="AQ308" t="s">
        <v>54</v>
      </c>
    </row>
    <row r="309" spans="1:43" x14ac:dyDescent="0.25">
      <c r="A309" t="s">
        <v>2808</v>
      </c>
      <c r="B309">
        <v>184</v>
      </c>
      <c r="C309">
        <v>129</v>
      </c>
      <c r="D309" t="s">
        <v>2809</v>
      </c>
      <c r="E309" t="s">
        <v>2810</v>
      </c>
      <c r="F309" t="s">
        <v>2811</v>
      </c>
      <c r="G309" t="s">
        <v>2812</v>
      </c>
      <c r="H309" t="s">
        <v>2813</v>
      </c>
      <c r="I309" t="s">
        <v>666</v>
      </c>
      <c r="J309">
        <v>11</v>
      </c>
      <c r="K309">
        <v>4</v>
      </c>
      <c r="L309">
        <v>4</v>
      </c>
      <c r="M309" t="s">
        <v>2814</v>
      </c>
      <c r="N309">
        <v>86</v>
      </c>
      <c r="O309">
        <v>186</v>
      </c>
      <c r="P309">
        <v>20</v>
      </c>
      <c r="Q309" t="s">
        <v>2815</v>
      </c>
      <c r="R309" t="s">
        <v>2816</v>
      </c>
      <c r="S309">
        <v>27</v>
      </c>
      <c r="T309">
        <v>0</v>
      </c>
      <c r="U309" t="s">
        <v>52</v>
      </c>
      <c r="V309" t="s">
        <v>2817</v>
      </c>
      <c r="W309" t="s">
        <v>54</v>
      </c>
      <c r="X309" t="s">
        <v>54</v>
      </c>
      <c r="Y309" t="s">
        <v>54</v>
      </c>
      <c r="Z309" t="s">
        <v>54</v>
      </c>
      <c r="AA309" t="s">
        <v>54</v>
      </c>
      <c r="AB309" t="s">
        <v>54</v>
      </c>
      <c r="AC309" t="s">
        <v>54</v>
      </c>
      <c r="AD309" t="s">
        <v>54</v>
      </c>
      <c r="AE309" t="s">
        <v>54</v>
      </c>
      <c r="AF309" t="s">
        <v>54</v>
      </c>
      <c r="AG309" t="s">
        <v>54</v>
      </c>
      <c r="AH309" t="s">
        <v>54</v>
      </c>
      <c r="AI309" t="s">
        <v>54</v>
      </c>
      <c r="AJ309" t="s">
        <v>54</v>
      </c>
      <c r="AK309" t="s">
        <v>54</v>
      </c>
      <c r="AL309" t="s">
        <v>54</v>
      </c>
      <c r="AM309" t="s">
        <v>54</v>
      </c>
      <c r="AN309" t="s">
        <v>54</v>
      </c>
      <c r="AO309" t="s">
        <v>54</v>
      </c>
      <c r="AP309" t="s">
        <v>54</v>
      </c>
      <c r="AQ309" t="s">
        <v>54</v>
      </c>
    </row>
    <row r="310" spans="1:43" x14ac:dyDescent="0.25">
      <c r="A310" t="s">
        <v>2818</v>
      </c>
      <c r="B310">
        <v>199</v>
      </c>
      <c r="C310">
        <v>146</v>
      </c>
      <c r="D310" t="s">
        <v>2819</v>
      </c>
      <c r="E310" t="s">
        <v>2820</v>
      </c>
      <c r="F310" t="s">
        <v>2821</v>
      </c>
      <c r="G310" t="s">
        <v>2822</v>
      </c>
      <c r="H310" t="s">
        <v>1880</v>
      </c>
      <c r="I310" t="s">
        <v>2823</v>
      </c>
      <c r="J310">
        <v>6</v>
      </c>
      <c r="K310">
        <v>2</v>
      </c>
      <c r="L310">
        <v>4</v>
      </c>
      <c r="M310" t="s">
        <v>2824</v>
      </c>
      <c r="N310">
        <v>115</v>
      </c>
      <c r="O310">
        <v>199</v>
      </c>
      <c r="P310">
        <v>11</v>
      </c>
      <c r="Q310" t="s">
        <v>1883</v>
      </c>
      <c r="R310" t="s">
        <v>2116</v>
      </c>
      <c r="S310">
        <v>26</v>
      </c>
      <c r="T310">
        <v>0</v>
      </c>
      <c r="U310" t="s">
        <v>52</v>
      </c>
      <c r="V310" t="s">
        <v>2825</v>
      </c>
      <c r="W310" t="s">
        <v>54</v>
      </c>
      <c r="X310" t="s">
        <v>54</v>
      </c>
      <c r="Y310" t="s">
        <v>54</v>
      </c>
      <c r="Z310" t="s">
        <v>54</v>
      </c>
      <c r="AA310" t="s">
        <v>54</v>
      </c>
      <c r="AB310" t="s">
        <v>54</v>
      </c>
      <c r="AC310" t="s">
        <v>54</v>
      </c>
      <c r="AD310" t="s">
        <v>54</v>
      </c>
      <c r="AE310" t="s">
        <v>54</v>
      </c>
      <c r="AF310" t="s">
        <v>54</v>
      </c>
      <c r="AG310" t="s">
        <v>54</v>
      </c>
      <c r="AH310" t="s">
        <v>54</v>
      </c>
      <c r="AI310" t="s">
        <v>54</v>
      </c>
      <c r="AJ310" t="s">
        <v>54</v>
      </c>
      <c r="AK310" t="s">
        <v>54</v>
      </c>
      <c r="AL310" t="s">
        <v>54</v>
      </c>
      <c r="AM310" t="s">
        <v>54</v>
      </c>
      <c r="AN310" t="s">
        <v>54</v>
      </c>
      <c r="AO310" t="s">
        <v>54</v>
      </c>
      <c r="AP310" t="s">
        <v>54</v>
      </c>
      <c r="AQ310" t="s">
        <v>54</v>
      </c>
    </row>
    <row r="311" spans="1:43" x14ac:dyDescent="0.25">
      <c r="A311" t="s">
        <v>2826</v>
      </c>
      <c r="B311">
        <v>172</v>
      </c>
      <c r="C311">
        <v>116</v>
      </c>
      <c r="D311" t="s">
        <v>2827</v>
      </c>
      <c r="E311" t="s">
        <v>2828</v>
      </c>
      <c r="F311" t="s">
        <v>2729</v>
      </c>
      <c r="G311" t="s">
        <v>2829</v>
      </c>
      <c r="H311" t="s">
        <v>2830</v>
      </c>
      <c r="I311" t="s">
        <v>305</v>
      </c>
      <c r="J311">
        <v>5</v>
      </c>
      <c r="K311">
        <v>4</v>
      </c>
      <c r="L311">
        <v>5</v>
      </c>
      <c r="M311" t="s">
        <v>2744</v>
      </c>
      <c r="N311">
        <v>89</v>
      </c>
      <c r="O311">
        <v>173</v>
      </c>
      <c r="P311">
        <v>15</v>
      </c>
      <c r="Q311" t="s">
        <v>2831</v>
      </c>
      <c r="R311" t="s">
        <v>934</v>
      </c>
      <c r="S311">
        <v>24</v>
      </c>
      <c r="T311">
        <v>1</v>
      </c>
      <c r="U311" t="s">
        <v>2832</v>
      </c>
      <c r="V311" t="s">
        <v>2833</v>
      </c>
      <c r="W311" t="s">
        <v>54</v>
      </c>
      <c r="X311" t="s">
        <v>54</v>
      </c>
      <c r="Y311" t="s">
        <v>54</v>
      </c>
      <c r="Z311" t="s">
        <v>54</v>
      </c>
      <c r="AA311" t="s">
        <v>54</v>
      </c>
      <c r="AB311" t="s">
        <v>54</v>
      </c>
      <c r="AC311" t="s">
        <v>54</v>
      </c>
      <c r="AD311" t="s">
        <v>54</v>
      </c>
      <c r="AE311" t="s">
        <v>54</v>
      </c>
      <c r="AF311" t="s">
        <v>54</v>
      </c>
      <c r="AG311" t="s">
        <v>54</v>
      </c>
      <c r="AH311" t="s">
        <v>54</v>
      </c>
      <c r="AI311" t="s">
        <v>54</v>
      </c>
      <c r="AJ311" t="s">
        <v>54</v>
      </c>
      <c r="AK311" t="s">
        <v>54</v>
      </c>
      <c r="AL311" t="s">
        <v>54</v>
      </c>
      <c r="AM311" t="s">
        <v>54</v>
      </c>
      <c r="AN311" t="s">
        <v>54</v>
      </c>
      <c r="AO311" t="s">
        <v>54</v>
      </c>
      <c r="AP311" t="s">
        <v>54</v>
      </c>
      <c r="AQ311" t="s">
        <v>54</v>
      </c>
    </row>
    <row r="312" spans="1:43" x14ac:dyDescent="0.25">
      <c r="A312" t="s">
        <v>2834</v>
      </c>
      <c r="W312" t="s">
        <v>378</v>
      </c>
      <c r="X312" t="s">
        <v>378</v>
      </c>
      <c r="Y312" t="s">
        <v>378</v>
      </c>
      <c r="Z312" t="s">
        <v>378</v>
      </c>
      <c r="AA312" t="s">
        <v>378</v>
      </c>
      <c r="AB312" t="s">
        <v>378</v>
      </c>
      <c r="AC312" t="s">
        <v>378</v>
      </c>
      <c r="AD312" t="s">
        <v>378</v>
      </c>
      <c r="AE312" t="s">
        <v>378</v>
      </c>
      <c r="AF312" t="s">
        <v>378</v>
      </c>
      <c r="AG312" t="s">
        <v>378</v>
      </c>
      <c r="AH312" t="s">
        <v>378</v>
      </c>
      <c r="AI312" t="s">
        <v>378</v>
      </c>
      <c r="AJ312" t="s">
        <v>378</v>
      </c>
      <c r="AK312" t="s">
        <v>378</v>
      </c>
      <c r="AL312" t="s">
        <v>378</v>
      </c>
      <c r="AM312" t="s">
        <v>378</v>
      </c>
      <c r="AN312" t="s">
        <v>378</v>
      </c>
      <c r="AO312" t="s">
        <v>378</v>
      </c>
      <c r="AP312" t="s">
        <v>378</v>
      </c>
      <c r="AQ312" t="s">
        <v>378</v>
      </c>
    </row>
    <row r="313" spans="1:43" x14ac:dyDescent="0.25">
      <c r="A313" t="s">
        <v>2835</v>
      </c>
      <c r="B313">
        <v>149</v>
      </c>
      <c r="C313">
        <v>110</v>
      </c>
      <c r="D313" t="s">
        <v>2836</v>
      </c>
      <c r="E313" t="s">
        <v>2837</v>
      </c>
      <c r="F313" t="s">
        <v>2838</v>
      </c>
      <c r="G313" t="s">
        <v>2839</v>
      </c>
      <c r="H313" t="s">
        <v>52</v>
      </c>
      <c r="I313" t="s">
        <v>433</v>
      </c>
      <c r="J313">
        <v>0</v>
      </c>
      <c r="K313">
        <v>1</v>
      </c>
      <c r="L313">
        <v>2</v>
      </c>
      <c r="M313" t="s">
        <v>2840</v>
      </c>
      <c r="N313">
        <v>86</v>
      </c>
      <c r="O313">
        <v>149</v>
      </c>
      <c r="P313">
        <v>12</v>
      </c>
      <c r="Q313" t="s">
        <v>435</v>
      </c>
      <c r="R313" t="s">
        <v>2575</v>
      </c>
      <c r="S313">
        <v>23</v>
      </c>
      <c r="T313">
        <v>0</v>
      </c>
      <c r="U313" t="s">
        <v>52</v>
      </c>
      <c r="V313" t="s">
        <v>2841</v>
      </c>
      <c r="W313" t="s">
        <v>54</v>
      </c>
      <c r="X313" t="s">
        <v>54</v>
      </c>
      <c r="Y313" t="s">
        <v>54</v>
      </c>
      <c r="Z313" t="s">
        <v>54</v>
      </c>
      <c r="AA313" t="s">
        <v>54</v>
      </c>
      <c r="AB313" t="s">
        <v>54</v>
      </c>
      <c r="AC313" t="s">
        <v>54</v>
      </c>
      <c r="AD313" t="s">
        <v>54</v>
      </c>
      <c r="AE313" t="s">
        <v>54</v>
      </c>
      <c r="AF313" t="s">
        <v>54</v>
      </c>
      <c r="AG313" t="s">
        <v>54</v>
      </c>
      <c r="AH313" t="s">
        <v>54</v>
      </c>
      <c r="AI313" t="s">
        <v>54</v>
      </c>
      <c r="AJ313" t="s">
        <v>54</v>
      </c>
      <c r="AK313" t="s">
        <v>54</v>
      </c>
      <c r="AL313" t="s">
        <v>54</v>
      </c>
      <c r="AM313" t="s">
        <v>54</v>
      </c>
      <c r="AN313" t="s">
        <v>54</v>
      </c>
      <c r="AO313" t="s">
        <v>54</v>
      </c>
      <c r="AP313" t="s">
        <v>54</v>
      </c>
      <c r="AQ313" t="s">
        <v>54</v>
      </c>
    </row>
    <row r="314" spans="1:43" x14ac:dyDescent="0.25">
      <c r="A314" t="s">
        <v>2842</v>
      </c>
      <c r="B314">
        <v>190</v>
      </c>
      <c r="C314">
        <v>123</v>
      </c>
      <c r="D314" t="s">
        <v>2843</v>
      </c>
      <c r="E314" t="s">
        <v>760</v>
      </c>
      <c r="F314" t="s">
        <v>2844</v>
      </c>
      <c r="G314" t="s">
        <v>2845</v>
      </c>
      <c r="H314" t="s">
        <v>1193</v>
      </c>
      <c r="I314" t="s">
        <v>52</v>
      </c>
      <c r="J314">
        <v>4</v>
      </c>
      <c r="K314">
        <v>0</v>
      </c>
      <c r="L314">
        <v>4</v>
      </c>
      <c r="M314" t="s">
        <v>2846</v>
      </c>
      <c r="N314">
        <v>103</v>
      </c>
      <c r="O314">
        <v>191</v>
      </c>
      <c r="P314">
        <v>3</v>
      </c>
      <c r="Q314" t="s">
        <v>2847</v>
      </c>
      <c r="R314" t="s">
        <v>2848</v>
      </c>
      <c r="S314">
        <v>16</v>
      </c>
      <c r="T314">
        <v>0</v>
      </c>
      <c r="U314" t="s">
        <v>52</v>
      </c>
      <c r="V314" t="s">
        <v>2849</v>
      </c>
      <c r="W314" t="s">
        <v>54</v>
      </c>
      <c r="X314" t="s">
        <v>54</v>
      </c>
      <c r="Y314" t="s">
        <v>54</v>
      </c>
      <c r="Z314" t="s">
        <v>54</v>
      </c>
      <c r="AA314" t="s">
        <v>54</v>
      </c>
      <c r="AB314" t="s">
        <v>54</v>
      </c>
      <c r="AC314" t="s">
        <v>54</v>
      </c>
      <c r="AD314" t="s">
        <v>54</v>
      </c>
      <c r="AE314" t="s">
        <v>54</v>
      </c>
      <c r="AF314" t="s">
        <v>54</v>
      </c>
      <c r="AG314" t="s">
        <v>54</v>
      </c>
      <c r="AH314" t="s">
        <v>54</v>
      </c>
      <c r="AI314" t="s">
        <v>54</v>
      </c>
      <c r="AJ314" t="s">
        <v>54</v>
      </c>
      <c r="AK314" t="s">
        <v>54</v>
      </c>
      <c r="AL314" t="s">
        <v>54</v>
      </c>
      <c r="AM314" t="s">
        <v>54</v>
      </c>
      <c r="AN314" t="s">
        <v>54</v>
      </c>
      <c r="AO314" t="s">
        <v>54</v>
      </c>
      <c r="AP314" t="s">
        <v>54</v>
      </c>
      <c r="AQ314" t="s">
        <v>54</v>
      </c>
    </row>
    <row r="315" spans="1:43" x14ac:dyDescent="0.25">
      <c r="A315" t="s">
        <v>2850</v>
      </c>
      <c r="B315">
        <v>229</v>
      </c>
      <c r="C315">
        <v>131</v>
      </c>
      <c r="D315" t="s">
        <v>2851</v>
      </c>
      <c r="E315" t="s">
        <v>2852</v>
      </c>
      <c r="F315" t="s">
        <v>1963</v>
      </c>
      <c r="G315" t="s">
        <v>2853</v>
      </c>
      <c r="H315" t="s">
        <v>2854</v>
      </c>
      <c r="I315" t="s">
        <v>2855</v>
      </c>
      <c r="J315">
        <v>3</v>
      </c>
      <c r="K315">
        <v>13</v>
      </c>
      <c r="L315">
        <v>5</v>
      </c>
      <c r="M315" t="s">
        <v>2856</v>
      </c>
      <c r="N315">
        <v>115</v>
      </c>
      <c r="O315">
        <v>234</v>
      </c>
      <c r="P315">
        <v>7</v>
      </c>
      <c r="Q315" t="s">
        <v>2857</v>
      </c>
      <c r="R315" t="s">
        <v>2858</v>
      </c>
      <c r="S315">
        <v>38</v>
      </c>
      <c r="T315">
        <v>0</v>
      </c>
      <c r="U315" t="s">
        <v>52</v>
      </c>
      <c r="V315" t="s">
        <v>2859</v>
      </c>
      <c r="W315" t="s">
        <v>54</v>
      </c>
      <c r="X315" t="s">
        <v>54</v>
      </c>
      <c r="Y315" t="s">
        <v>54</v>
      </c>
      <c r="Z315" t="s">
        <v>54</v>
      </c>
      <c r="AA315" t="s">
        <v>54</v>
      </c>
      <c r="AB315" t="s">
        <v>54</v>
      </c>
      <c r="AC315" t="s">
        <v>54</v>
      </c>
      <c r="AD315" t="s">
        <v>54</v>
      </c>
      <c r="AE315" t="s">
        <v>54</v>
      </c>
      <c r="AF315" t="s">
        <v>54</v>
      </c>
      <c r="AG315" t="s">
        <v>54</v>
      </c>
      <c r="AH315" t="s">
        <v>54</v>
      </c>
      <c r="AI315" t="s">
        <v>54</v>
      </c>
      <c r="AJ315" t="s">
        <v>54</v>
      </c>
      <c r="AK315" t="s">
        <v>54</v>
      </c>
      <c r="AL315" t="s">
        <v>54</v>
      </c>
      <c r="AM315" t="s">
        <v>54</v>
      </c>
      <c r="AN315" t="s">
        <v>54</v>
      </c>
      <c r="AO315" t="s">
        <v>54</v>
      </c>
      <c r="AP315" t="s">
        <v>54</v>
      </c>
      <c r="AQ315" t="s">
        <v>54</v>
      </c>
    </row>
    <row r="316" spans="1:43" x14ac:dyDescent="0.25">
      <c r="A316" t="s">
        <v>2860</v>
      </c>
      <c r="B316">
        <v>221</v>
      </c>
      <c r="C316">
        <v>134</v>
      </c>
      <c r="D316" t="s">
        <v>2861</v>
      </c>
      <c r="E316" t="s">
        <v>546</v>
      </c>
      <c r="F316" t="s">
        <v>2309</v>
      </c>
      <c r="G316" t="s">
        <v>2862</v>
      </c>
      <c r="H316" t="s">
        <v>2863</v>
      </c>
      <c r="I316" t="s">
        <v>2864</v>
      </c>
      <c r="J316">
        <v>5</v>
      </c>
      <c r="K316">
        <v>8</v>
      </c>
      <c r="L316">
        <v>3</v>
      </c>
      <c r="M316" t="s">
        <v>2865</v>
      </c>
      <c r="N316">
        <v>115</v>
      </c>
      <c r="O316">
        <v>221</v>
      </c>
      <c r="P316">
        <v>8</v>
      </c>
      <c r="Q316" t="s">
        <v>2866</v>
      </c>
      <c r="R316" t="s">
        <v>209</v>
      </c>
      <c r="S316">
        <v>32</v>
      </c>
      <c r="T316">
        <v>0</v>
      </c>
      <c r="U316" t="s">
        <v>52</v>
      </c>
      <c r="V316" t="s">
        <v>2867</v>
      </c>
      <c r="W316" t="s">
        <v>54</v>
      </c>
      <c r="X316" t="s">
        <v>54</v>
      </c>
      <c r="Y316" t="s">
        <v>54</v>
      </c>
      <c r="Z316" t="s">
        <v>54</v>
      </c>
      <c r="AA316" t="s">
        <v>54</v>
      </c>
      <c r="AB316" t="s">
        <v>54</v>
      </c>
      <c r="AC316" t="s">
        <v>54</v>
      </c>
      <c r="AD316" t="s">
        <v>54</v>
      </c>
      <c r="AE316" t="s">
        <v>54</v>
      </c>
      <c r="AF316" t="s">
        <v>54</v>
      </c>
      <c r="AG316" t="s">
        <v>54</v>
      </c>
      <c r="AH316" t="s">
        <v>54</v>
      </c>
      <c r="AI316" t="s">
        <v>54</v>
      </c>
      <c r="AJ316" t="s">
        <v>54</v>
      </c>
      <c r="AK316" t="s">
        <v>54</v>
      </c>
      <c r="AL316" t="s">
        <v>54</v>
      </c>
      <c r="AM316" t="s">
        <v>54</v>
      </c>
      <c r="AN316" t="s">
        <v>54</v>
      </c>
      <c r="AO316" t="s">
        <v>54</v>
      </c>
      <c r="AP316" t="s">
        <v>54</v>
      </c>
      <c r="AQ316" t="s">
        <v>54</v>
      </c>
    </row>
    <row r="317" spans="1:43" x14ac:dyDescent="0.25">
      <c r="A317" t="s">
        <v>2868</v>
      </c>
      <c r="B317">
        <v>135</v>
      </c>
      <c r="C317">
        <v>84</v>
      </c>
      <c r="D317" t="s">
        <v>2869</v>
      </c>
      <c r="E317" t="s">
        <v>2870</v>
      </c>
      <c r="F317" t="s">
        <v>968</v>
      </c>
      <c r="G317" t="s">
        <v>2871</v>
      </c>
      <c r="H317" t="s">
        <v>2872</v>
      </c>
      <c r="I317" t="s">
        <v>2873</v>
      </c>
      <c r="J317">
        <v>4</v>
      </c>
      <c r="K317">
        <v>2</v>
      </c>
      <c r="L317">
        <v>3</v>
      </c>
      <c r="M317" t="s">
        <v>2874</v>
      </c>
      <c r="N317">
        <v>64</v>
      </c>
      <c r="O317">
        <v>135</v>
      </c>
      <c r="P317">
        <v>13</v>
      </c>
      <c r="Q317" t="s">
        <v>2875</v>
      </c>
      <c r="R317" t="s">
        <v>467</v>
      </c>
      <c r="S317">
        <v>16</v>
      </c>
      <c r="T317">
        <v>0</v>
      </c>
      <c r="U317" t="s">
        <v>52</v>
      </c>
      <c r="V317" t="s">
        <v>2876</v>
      </c>
      <c r="W317" t="s">
        <v>54</v>
      </c>
      <c r="X317" t="s">
        <v>54</v>
      </c>
      <c r="Y317" t="s">
        <v>54</v>
      </c>
      <c r="Z317" t="s">
        <v>54</v>
      </c>
      <c r="AA317" t="s">
        <v>54</v>
      </c>
      <c r="AB317" t="s">
        <v>54</v>
      </c>
      <c r="AC317" t="s">
        <v>54</v>
      </c>
      <c r="AD317" t="s">
        <v>54</v>
      </c>
      <c r="AE317" t="s">
        <v>54</v>
      </c>
      <c r="AF317" t="s">
        <v>54</v>
      </c>
      <c r="AG317" t="s">
        <v>54</v>
      </c>
      <c r="AH317" t="s">
        <v>54</v>
      </c>
      <c r="AI317" t="s">
        <v>54</v>
      </c>
      <c r="AJ317" t="s">
        <v>54</v>
      </c>
      <c r="AK317" t="s">
        <v>54</v>
      </c>
      <c r="AL317" t="s">
        <v>54</v>
      </c>
      <c r="AM317" t="s">
        <v>54</v>
      </c>
      <c r="AN317" t="s">
        <v>54</v>
      </c>
      <c r="AO317" t="s">
        <v>54</v>
      </c>
      <c r="AP317" t="s">
        <v>54</v>
      </c>
      <c r="AQ317" t="s">
        <v>54</v>
      </c>
    </row>
    <row r="318" spans="1:43" x14ac:dyDescent="0.25">
      <c r="A318" t="s">
        <v>2877</v>
      </c>
      <c r="B318">
        <v>136</v>
      </c>
      <c r="C318">
        <v>104</v>
      </c>
      <c r="D318" t="s">
        <v>1441</v>
      </c>
      <c r="E318" t="s">
        <v>1972</v>
      </c>
      <c r="F318" t="s">
        <v>2878</v>
      </c>
      <c r="G318" t="s">
        <v>2879</v>
      </c>
      <c r="H318" t="s">
        <v>990</v>
      </c>
      <c r="I318" t="s">
        <v>52</v>
      </c>
      <c r="J318">
        <v>1</v>
      </c>
      <c r="K318">
        <v>0</v>
      </c>
      <c r="L318">
        <v>4</v>
      </c>
      <c r="M318" t="s">
        <v>758</v>
      </c>
      <c r="N318">
        <v>76</v>
      </c>
      <c r="O318">
        <v>136</v>
      </c>
      <c r="P318">
        <v>5</v>
      </c>
      <c r="Q318" t="s">
        <v>2880</v>
      </c>
      <c r="R318" t="s">
        <v>882</v>
      </c>
      <c r="S318">
        <v>13</v>
      </c>
      <c r="T318">
        <v>0</v>
      </c>
      <c r="U318" t="s">
        <v>52</v>
      </c>
      <c r="V318" t="s">
        <v>2881</v>
      </c>
      <c r="W318" t="s">
        <v>54</v>
      </c>
      <c r="X318" t="s">
        <v>54</v>
      </c>
      <c r="Y318" t="s">
        <v>54</v>
      </c>
      <c r="Z318" t="s">
        <v>54</v>
      </c>
      <c r="AA318" t="s">
        <v>54</v>
      </c>
      <c r="AB318" t="s">
        <v>54</v>
      </c>
      <c r="AC318" t="s">
        <v>54</v>
      </c>
      <c r="AD318" t="s">
        <v>54</v>
      </c>
      <c r="AE318" t="s">
        <v>54</v>
      </c>
      <c r="AF318" t="s">
        <v>54</v>
      </c>
      <c r="AG318" t="s">
        <v>54</v>
      </c>
      <c r="AH318" t="s">
        <v>54</v>
      </c>
      <c r="AI318" t="s">
        <v>54</v>
      </c>
      <c r="AJ318" t="s">
        <v>54</v>
      </c>
      <c r="AK318" t="s">
        <v>54</v>
      </c>
      <c r="AL318" t="s">
        <v>54</v>
      </c>
      <c r="AM318" t="s">
        <v>54</v>
      </c>
      <c r="AN318" t="s">
        <v>54</v>
      </c>
      <c r="AO318" t="s">
        <v>54</v>
      </c>
      <c r="AP318" t="s">
        <v>54</v>
      </c>
      <c r="AQ318" t="s">
        <v>54</v>
      </c>
    </row>
    <row r="319" spans="1:43" x14ac:dyDescent="0.25">
      <c r="A319" t="s">
        <v>2882</v>
      </c>
      <c r="B319">
        <v>38</v>
      </c>
      <c r="C319">
        <v>30</v>
      </c>
      <c r="D319" t="s">
        <v>46</v>
      </c>
      <c r="E319" t="s">
        <v>2883</v>
      </c>
      <c r="F319" t="s">
        <v>342</v>
      </c>
      <c r="G319" t="s">
        <v>46</v>
      </c>
      <c r="H319" t="s">
        <v>52</v>
      </c>
      <c r="I319" t="s">
        <v>52</v>
      </c>
      <c r="J319">
        <v>0</v>
      </c>
      <c r="K319">
        <v>0</v>
      </c>
      <c r="L319">
        <v>0</v>
      </c>
      <c r="M319" t="s">
        <v>2884</v>
      </c>
      <c r="N319">
        <v>16</v>
      </c>
      <c r="O319">
        <v>38</v>
      </c>
      <c r="P319">
        <v>3</v>
      </c>
      <c r="Q319" t="s">
        <v>2574</v>
      </c>
      <c r="R319" t="s">
        <v>1646</v>
      </c>
      <c r="S319">
        <v>4</v>
      </c>
      <c r="T319">
        <v>0</v>
      </c>
      <c r="U319" t="s">
        <v>52</v>
      </c>
      <c r="V319" t="s">
        <v>2885</v>
      </c>
      <c r="W319" t="s">
        <v>54</v>
      </c>
      <c r="X319" t="s">
        <v>54</v>
      </c>
      <c r="Y319" t="s">
        <v>54</v>
      </c>
      <c r="Z319" t="s">
        <v>54</v>
      </c>
      <c r="AA319" t="s">
        <v>54</v>
      </c>
      <c r="AB319" t="s">
        <v>54</v>
      </c>
      <c r="AC319" t="s">
        <v>54</v>
      </c>
      <c r="AD319" t="s">
        <v>54</v>
      </c>
      <c r="AE319" t="s">
        <v>54</v>
      </c>
      <c r="AF319" t="s">
        <v>54</v>
      </c>
      <c r="AG319" t="s">
        <v>54</v>
      </c>
      <c r="AH319" t="s">
        <v>54</v>
      </c>
      <c r="AI319" t="s">
        <v>54</v>
      </c>
      <c r="AJ319" t="s">
        <v>54</v>
      </c>
      <c r="AK319" t="s">
        <v>54</v>
      </c>
      <c r="AL319" t="s">
        <v>54</v>
      </c>
      <c r="AM319" t="s">
        <v>54</v>
      </c>
      <c r="AN319" t="s">
        <v>54</v>
      </c>
      <c r="AO319" t="s">
        <v>54</v>
      </c>
      <c r="AP319" t="s">
        <v>54</v>
      </c>
      <c r="AQ319" t="s">
        <v>54</v>
      </c>
    </row>
    <row r="320" spans="1:43" x14ac:dyDescent="0.25">
      <c r="A320" t="s">
        <v>2886</v>
      </c>
      <c r="B320">
        <v>60</v>
      </c>
      <c r="C320">
        <v>46</v>
      </c>
      <c r="D320" t="s">
        <v>2442</v>
      </c>
      <c r="E320" t="s">
        <v>2887</v>
      </c>
      <c r="F320" t="s">
        <v>2888</v>
      </c>
      <c r="G320" t="s">
        <v>2889</v>
      </c>
      <c r="H320" t="s">
        <v>52</v>
      </c>
      <c r="I320" t="s">
        <v>979</v>
      </c>
      <c r="J320">
        <v>0</v>
      </c>
      <c r="K320">
        <v>1</v>
      </c>
      <c r="L320">
        <v>1</v>
      </c>
      <c r="M320" t="s">
        <v>2890</v>
      </c>
      <c r="N320">
        <v>34</v>
      </c>
      <c r="O320">
        <v>60</v>
      </c>
      <c r="P320">
        <v>6</v>
      </c>
      <c r="Q320" t="s">
        <v>638</v>
      </c>
      <c r="R320" t="s">
        <v>760</v>
      </c>
      <c r="S320">
        <v>3</v>
      </c>
      <c r="T320">
        <v>0</v>
      </c>
      <c r="U320" t="s">
        <v>52</v>
      </c>
      <c r="V320" t="s">
        <v>2891</v>
      </c>
      <c r="W320" t="s">
        <v>54</v>
      </c>
      <c r="X320" t="s">
        <v>54</v>
      </c>
      <c r="Y320" t="s">
        <v>54</v>
      </c>
      <c r="Z320" t="s">
        <v>54</v>
      </c>
      <c r="AA320" t="s">
        <v>54</v>
      </c>
      <c r="AB320" t="s">
        <v>54</v>
      </c>
      <c r="AC320" t="s">
        <v>54</v>
      </c>
      <c r="AD320" t="s">
        <v>54</v>
      </c>
      <c r="AE320" t="s">
        <v>54</v>
      </c>
      <c r="AF320" t="s">
        <v>54</v>
      </c>
      <c r="AG320" t="s">
        <v>54</v>
      </c>
      <c r="AH320" t="s">
        <v>54</v>
      </c>
      <c r="AI320" t="s">
        <v>54</v>
      </c>
      <c r="AJ320" t="s">
        <v>54</v>
      </c>
      <c r="AK320" t="s">
        <v>54</v>
      </c>
      <c r="AL320" t="s">
        <v>54</v>
      </c>
      <c r="AM320" t="s">
        <v>54</v>
      </c>
      <c r="AN320" t="s">
        <v>54</v>
      </c>
      <c r="AO320" t="s">
        <v>54</v>
      </c>
      <c r="AP320" t="s">
        <v>54</v>
      </c>
      <c r="AQ320" t="s">
        <v>54</v>
      </c>
    </row>
    <row r="321" spans="1:43" x14ac:dyDescent="0.25">
      <c r="A321" t="s">
        <v>2892</v>
      </c>
      <c r="B321">
        <v>156</v>
      </c>
      <c r="C321">
        <v>119</v>
      </c>
      <c r="D321" t="s">
        <v>2893</v>
      </c>
      <c r="E321" t="s">
        <v>2894</v>
      </c>
      <c r="F321" t="s">
        <v>2895</v>
      </c>
      <c r="G321" t="s">
        <v>2896</v>
      </c>
      <c r="H321" t="s">
        <v>228</v>
      </c>
      <c r="I321" t="s">
        <v>770</v>
      </c>
      <c r="J321">
        <v>1</v>
      </c>
      <c r="K321">
        <v>3</v>
      </c>
      <c r="L321">
        <v>4</v>
      </c>
      <c r="M321" t="s">
        <v>2897</v>
      </c>
      <c r="N321">
        <v>92</v>
      </c>
      <c r="O321">
        <v>157</v>
      </c>
      <c r="P321">
        <v>8</v>
      </c>
      <c r="Q321" t="s">
        <v>1990</v>
      </c>
      <c r="R321" t="s">
        <v>1167</v>
      </c>
      <c r="S321">
        <v>23</v>
      </c>
      <c r="T321">
        <v>0</v>
      </c>
      <c r="U321" t="s">
        <v>52</v>
      </c>
      <c r="V321" t="s">
        <v>2898</v>
      </c>
      <c r="W321" t="s">
        <v>54</v>
      </c>
      <c r="X321" t="s">
        <v>54</v>
      </c>
      <c r="Y321" t="s">
        <v>54</v>
      </c>
      <c r="Z321" t="s">
        <v>54</v>
      </c>
      <c r="AA321" t="s">
        <v>54</v>
      </c>
      <c r="AB321" t="s">
        <v>54</v>
      </c>
      <c r="AC321" t="s">
        <v>54</v>
      </c>
      <c r="AD321" t="s">
        <v>54</v>
      </c>
      <c r="AE321" t="s">
        <v>54</v>
      </c>
      <c r="AF321" t="s">
        <v>54</v>
      </c>
      <c r="AG321" t="s">
        <v>54</v>
      </c>
      <c r="AH321" t="s">
        <v>54</v>
      </c>
      <c r="AI321" t="s">
        <v>54</v>
      </c>
      <c r="AJ321" t="s">
        <v>54</v>
      </c>
      <c r="AK321" t="s">
        <v>54</v>
      </c>
      <c r="AL321" t="s">
        <v>54</v>
      </c>
      <c r="AM321" t="s">
        <v>54</v>
      </c>
      <c r="AN321" t="s">
        <v>54</v>
      </c>
      <c r="AO321" t="s">
        <v>54</v>
      </c>
      <c r="AP321" t="s">
        <v>54</v>
      </c>
      <c r="AQ321" t="s">
        <v>54</v>
      </c>
    </row>
    <row r="322" spans="1:43" x14ac:dyDescent="0.25">
      <c r="A322" t="s">
        <v>2899</v>
      </c>
      <c r="B322">
        <v>176</v>
      </c>
      <c r="C322">
        <v>109</v>
      </c>
      <c r="D322" t="s">
        <v>2900</v>
      </c>
      <c r="E322" t="s">
        <v>760</v>
      </c>
      <c r="F322" t="s">
        <v>2901</v>
      </c>
      <c r="G322" t="s">
        <v>2902</v>
      </c>
      <c r="H322" t="s">
        <v>2214</v>
      </c>
      <c r="I322" t="s">
        <v>2008</v>
      </c>
      <c r="J322">
        <v>1</v>
      </c>
      <c r="K322">
        <v>3</v>
      </c>
      <c r="L322">
        <v>2</v>
      </c>
      <c r="M322" t="s">
        <v>2903</v>
      </c>
      <c r="N322">
        <v>107</v>
      </c>
      <c r="O322">
        <v>176</v>
      </c>
      <c r="P322">
        <v>10</v>
      </c>
      <c r="Q322" t="s">
        <v>2904</v>
      </c>
      <c r="R322" t="s">
        <v>146</v>
      </c>
      <c r="S322">
        <v>20</v>
      </c>
      <c r="T322">
        <v>0</v>
      </c>
      <c r="U322" t="s">
        <v>52</v>
      </c>
      <c r="V322" t="s">
        <v>2905</v>
      </c>
      <c r="W322" t="s">
        <v>54</v>
      </c>
      <c r="X322" t="s">
        <v>54</v>
      </c>
      <c r="Y322" t="s">
        <v>54</v>
      </c>
      <c r="Z322" t="s">
        <v>54</v>
      </c>
      <c r="AA322" t="s">
        <v>54</v>
      </c>
      <c r="AB322" t="s">
        <v>54</v>
      </c>
      <c r="AC322" t="s">
        <v>54</v>
      </c>
      <c r="AD322" t="s">
        <v>54</v>
      </c>
      <c r="AE322" t="s">
        <v>54</v>
      </c>
      <c r="AF322" t="s">
        <v>54</v>
      </c>
      <c r="AG322" t="s">
        <v>54</v>
      </c>
      <c r="AH322" t="s">
        <v>54</v>
      </c>
      <c r="AI322" t="s">
        <v>54</v>
      </c>
      <c r="AJ322" t="s">
        <v>54</v>
      </c>
      <c r="AK322" t="s">
        <v>54</v>
      </c>
      <c r="AL322" t="s">
        <v>54</v>
      </c>
      <c r="AM322" t="s">
        <v>54</v>
      </c>
      <c r="AN322" t="s">
        <v>54</v>
      </c>
      <c r="AO322" t="s">
        <v>54</v>
      </c>
      <c r="AP322" t="s">
        <v>54</v>
      </c>
      <c r="AQ322" t="s">
        <v>54</v>
      </c>
    </row>
    <row r="323" spans="1:43" x14ac:dyDescent="0.25">
      <c r="A323" t="s">
        <v>2906</v>
      </c>
      <c r="B323">
        <v>168</v>
      </c>
      <c r="C323">
        <v>114</v>
      </c>
      <c r="D323" t="s">
        <v>2907</v>
      </c>
      <c r="E323" t="s">
        <v>2908</v>
      </c>
      <c r="F323" t="s">
        <v>173</v>
      </c>
      <c r="G323" t="s">
        <v>2909</v>
      </c>
      <c r="H323" t="s">
        <v>2910</v>
      </c>
      <c r="I323" t="s">
        <v>2910</v>
      </c>
      <c r="J323">
        <v>6</v>
      </c>
      <c r="K323">
        <v>6</v>
      </c>
      <c r="L323">
        <v>4</v>
      </c>
      <c r="M323" t="s">
        <v>129</v>
      </c>
      <c r="N323">
        <v>96</v>
      </c>
      <c r="O323">
        <v>168</v>
      </c>
      <c r="P323">
        <v>10</v>
      </c>
      <c r="Q323" t="s">
        <v>2911</v>
      </c>
      <c r="R323" t="s">
        <v>356</v>
      </c>
      <c r="S323">
        <v>29</v>
      </c>
      <c r="T323">
        <v>0</v>
      </c>
      <c r="U323" t="s">
        <v>52</v>
      </c>
      <c r="V323" t="s">
        <v>2912</v>
      </c>
      <c r="W323" t="s">
        <v>54</v>
      </c>
      <c r="X323" t="s">
        <v>54</v>
      </c>
      <c r="Y323" t="s">
        <v>54</v>
      </c>
      <c r="Z323" t="s">
        <v>54</v>
      </c>
      <c r="AA323" t="s">
        <v>54</v>
      </c>
      <c r="AB323" t="s">
        <v>54</v>
      </c>
      <c r="AC323" t="s">
        <v>54</v>
      </c>
      <c r="AD323" t="s">
        <v>54</v>
      </c>
      <c r="AE323" t="s">
        <v>54</v>
      </c>
      <c r="AF323" t="s">
        <v>54</v>
      </c>
      <c r="AG323" t="s">
        <v>54</v>
      </c>
      <c r="AH323" t="s">
        <v>54</v>
      </c>
      <c r="AI323" t="s">
        <v>54</v>
      </c>
      <c r="AJ323" t="s">
        <v>54</v>
      </c>
      <c r="AK323" t="s">
        <v>54</v>
      </c>
      <c r="AL323" t="s">
        <v>54</v>
      </c>
      <c r="AM323" t="s">
        <v>54</v>
      </c>
      <c r="AN323" t="s">
        <v>54</v>
      </c>
      <c r="AO323" t="s">
        <v>54</v>
      </c>
      <c r="AP323" t="s">
        <v>54</v>
      </c>
      <c r="AQ323" t="s">
        <v>54</v>
      </c>
    </row>
    <row r="324" spans="1:43" x14ac:dyDescent="0.25">
      <c r="A324" t="s">
        <v>2913</v>
      </c>
      <c r="B324">
        <v>115</v>
      </c>
      <c r="C324">
        <v>82</v>
      </c>
      <c r="D324" t="s">
        <v>2914</v>
      </c>
      <c r="E324" t="s">
        <v>2915</v>
      </c>
      <c r="F324" t="s">
        <v>2916</v>
      </c>
      <c r="G324" t="s">
        <v>2917</v>
      </c>
      <c r="H324" t="s">
        <v>91</v>
      </c>
      <c r="I324" t="s">
        <v>52</v>
      </c>
      <c r="J324">
        <v>2</v>
      </c>
      <c r="K324">
        <v>0</v>
      </c>
      <c r="L324">
        <v>3</v>
      </c>
      <c r="M324" t="s">
        <v>2918</v>
      </c>
      <c r="N324">
        <v>67</v>
      </c>
      <c r="O324">
        <v>116</v>
      </c>
      <c r="P324">
        <v>10</v>
      </c>
      <c r="Q324" t="s">
        <v>1175</v>
      </c>
      <c r="R324" t="s">
        <v>726</v>
      </c>
      <c r="S324">
        <v>9</v>
      </c>
      <c r="T324">
        <v>0</v>
      </c>
      <c r="U324" t="s">
        <v>52</v>
      </c>
      <c r="V324" t="s">
        <v>2919</v>
      </c>
      <c r="W324" t="s">
        <v>54</v>
      </c>
      <c r="X324" t="s">
        <v>54</v>
      </c>
      <c r="Y324" t="s">
        <v>54</v>
      </c>
      <c r="Z324" t="s">
        <v>54</v>
      </c>
      <c r="AA324" t="s">
        <v>54</v>
      </c>
      <c r="AB324" t="s">
        <v>54</v>
      </c>
      <c r="AC324" t="s">
        <v>54</v>
      </c>
      <c r="AD324" t="s">
        <v>54</v>
      </c>
      <c r="AE324" t="s">
        <v>54</v>
      </c>
      <c r="AF324" t="s">
        <v>54</v>
      </c>
      <c r="AG324" t="s">
        <v>54</v>
      </c>
      <c r="AH324" t="s">
        <v>54</v>
      </c>
      <c r="AI324" t="s">
        <v>54</v>
      </c>
      <c r="AJ324" t="s">
        <v>54</v>
      </c>
      <c r="AK324" t="s">
        <v>54</v>
      </c>
      <c r="AL324" t="s">
        <v>54</v>
      </c>
      <c r="AM324" t="s">
        <v>54</v>
      </c>
      <c r="AN324" t="s">
        <v>54</v>
      </c>
      <c r="AO324" t="s">
        <v>54</v>
      </c>
      <c r="AP324" t="s">
        <v>54</v>
      </c>
      <c r="AQ324" t="s">
        <v>54</v>
      </c>
    </row>
    <row r="325" spans="1:43" x14ac:dyDescent="0.25">
      <c r="A325" t="s">
        <v>2920</v>
      </c>
      <c r="B325">
        <v>153</v>
      </c>
      <c r="C325">
        <v>116</v>
      </c>
      <c r="D325" t="s">
        <v>2921</v>
      </c>
      <c r="E325" t="s">
        <v>2922</v>
      </c>
      <c r="F325" t="s">
        <v>2923</v>
      </c>
      <c r="G325" t="s">
        <v>2924</v>
      </c>
      <c r="H325" t="s">
        <v>583</v>
      </c>
      <c r="I325" t="s">
        <v>2925</v>
      </c>
      <c r="J325">
        <v>2</v>
      </c>
      <c r="K325">
        <v>3</v>
      </c>
      <c r="L325">
        <v>4</v>
      </c>
      <c r="M325" t="s">
        <v>1107</v>
      </c>
      <c r="N325">
        <v>94</v>
      </c>
      <c r="O325">
        <v>153</v>
      </c>
      <c r="P325">
        <v>19</v>
      </c>
      <c r="Q325" t="s">
        <v>2926</v>
      </c>
      <c r="R325" t="s">
        <v>2927</v>
      </c>
      <c r="S325">
        <v>11</v>
      </c>
      <c r="T325">
        <v>4</v>
      </c>
      <c r="U325" t="s">
        <v>2928</v>
      </c>
      <c r="V325" t="s">
        <v>2929</v>
      </c>
      <c r="W325" t="s">
        <v>54</v>
      </c>
      <c r="X325" t="s">
        <v>54</v>
      </c>
      <c r="Y325" t="s">
        <v>54</v>
      </c>
      <c r="Z325" t="s">
        <v>54</v>
      </c>
      <c r="AA325" t="s">
        <v>54</v>
      </c>
      <c r="AB325" t="s">
        <v>54</v>
      </c>
      <c r="AC325" t="s">
        <v>54</v>
      </c>
      <c r="AD325" t="s">
        <v>54</v>
      </c>
      <c r="AE325" t="s">
        <v>54</v>
      </c>
      <c r="AF325" t="s">
        <v>54</v>
      </c>
      <c r="AG325" t="s">
        <v>54</v>
      </c>
      <c r="AH325" t="s">
        <v>54</v>
      </c>
      <c r="AI325" t="s">
        <v>54</v>
      </c>
      <c r="AJ325" t="s">
        <v>54</v>
      </c>
      <c r="AK325" t="s">
        <v>54</v>
      </c>
      <c r="AL325" t="s">
        <v>54</v>
      </c>
      <c r="AM325" t="s">
        <v>54</v>
      </c>
      <c r="AN325" t="s">
        <v>54</v>
      </c>
      <c r="AO325" t="s">
        <v>54</v>
      </c>
      <c r="AP325" t="s">
        <v>54</v>
      </c>
      <c r="AQ325" t="s">
        <v>54</v>
      </c>
    </row>
    <row r="326" spans="1:43" x14ac:dyDescent="0.25">
      <c r="A326" t="s">
        <v>2930</v>
      </c>
      <c r="B326">
        <v>194</v>
      </c>
      <c r="C326">
        <v>141</v>
      </c>
      <c r="D326" t="s">
        <v>2931</v>
      </c>
      <c r="E326" t="s">
        <v>2932</v>
      </c>
      <c r="F326" t="s">
        <v>2933</v>
      </c>
      <c r="G326" t="s">
        <v>2934</v>
      </c>
      <c r="H326" t="s">
        <v>154</v>
      </c>
      <c r="I326" t="s">
        <v>2935</v>
      </c>
      <c r="J326">
        <v>3</v>
      </c>
      <c r="K326">
        <v>5</v>
      </c>
      <c r="L326">
        <v>1</v>
      </c>
      <c r="M326" t="s">
        <v>1142</v>
      </c>
      <c r="N326">
        <v>109</v>
      </c>
      <c r="O326">
        <v>195</v>
      </c>
      <c r="P326">
        <v>9</v>
      </c>
      <c r="Q326" t="s">
        <v>2936</v>
      </c>
      <c r="R326" t="s">
        <v>556</v>
      </c>
      <c r="S326">
        <v>19</v>
      </c>
      <c r="T326">
        <v>0</v>
      </c>
      <c r="U326" t="s">
        <v>52</v>
      </c>
      <c r="V326" t="s">
        <v>2937</v>
      </c>
      <c r="W326" t="s">
        <v>54</v>
      </c>
      <c r="X326" t="s">
        <v>54</v>
      </c>
      <c r="Y326" t="s">
        <v>54</v>
      </c>
      <c r="Z326" t="s">
        <v>54</v>
      </c>
      <c r="AA326" t="s">
        <v>54</v>
      </c>
      <c r="AB326" t="s">
        <v>54</v>
      </c>
      <c r="AC326" t="s">
        <v>54</v>
      </c>
      <c r="AD326" t="s">
        <v>54</v>
      </c>
      <c r="AE326" t="s">
        <v>54</v>
      </c>
      <c r="AF326" t="s">
        <v>54</v>
      </c>
      <c r="AG326" t="s">
        <v>54</v>
      </c>
      <c r="AH326" t="s">
        <v>54</v>
      </c>
      <c r="AI326" t="s">
        <v>54</v>
      </c>
      <c r="AJ326" t="s">
        <v>54</v>
      </c>
      <c r="AK326" t="s">
        <v>54</v>
      </c>
      <c r="AL326" t="s">
        <v>54</v>
      </c>
      <c r="AM326" t="s">
        <v>54</v>
      </c>
      <c r="AN326" t="s">
        <v>54</v>
      </c>
      <c r="AO326" t="s">
        <v>54</v>
      </c>
      <c r="AP326" t="s">
        <v>54</v>
      </c>
      <c r="AQ326" t="s">
        <v>54</v>
      </c>
    </row>
    <row r="327" spans="1:43" x14ac:dyDescent="0.25">
      <c r="A327" t="s">
        <v>2938</v>
      </c>
      <c r="B327">
        <v>152</v>
      </c>
      <c r="C327">
        <v>96</v>
      </c>
      <c r="D327" t="s">
        <v>277</v>
      </c>
      <c r="E327" t="s">
        <v>760</v>
      </c>
      <c r="F327" t="s">
        <v>516</v>
      </c>
      <c r="G327" t="s">
        <v>2939</v>
      </c>
      <c r="H327" t="s">
        <v>1694</v>
      </c>
      <c r="I327" t="s">
        <v>1694</v>
      </c>
      <c r="J327">
        <v>5</v>
      </c>
      <c r="K327">
        <v>5</v>
      </c>
      <c r="L327">
        <v>4</v>
      </c>
      <c r="M327" t="s">
        <v>2940</v>
      </c>
      <c r="N327">
        <v>89</v>
      </c>
      <c r="O327">
        <v>153</v>
      </c>
      <c r="P327">
        <v>42</v>
      </c>
      <c r="Q327" t="s">
        <v>2941</v>
      </c>
      <c r="R327" t="s">
        <v>140</v>
      </c>
      <c r="S327">
        <v>18</v>
      </c>
      <c r="T327">
        <v>42</v>
      </c>
      <c r="U327" t="s">
        <v>2942</v>
      </c>
      <c r="V327" t="s">
        <v>2943</v>
      </c>
      <c r="W327" t="s">
        <v>54</v>
      </c>
      <c r="X327" t="s">
        <v>54</v>
      </c>
      <c r="Y327" t="s">
        <v>54</v>
      </c>
      <c r="Z327" t="s">
        <v>54</v>
      </c>
      <c r="AA327" t="s">
        <v>54</v>
      </c>
      <c r="AB327" t="s">
        <v>54</v>
      </c>
      <c r="AC327" t="s">
        <v>54</v>
      </c>
      <c r="AD327" t="s">
        <v>54</v>
      </c>
      <c r="AE327" t="s">
        <v>54</v>
      </c>
      <c r="AF327" t="s">
        <v>54</v>
      </c>
      <c r="AG327" t="s">
        <v>54</v>
      </c>
      <c r="AH327" t="s">
        <v>54</v>
      </c>
      <c r="AI327" t="s">
        <v>54</v>
      </c>
      <c r="AJ327" t="s">
        <v>54</v>
      </c>
      <c r="AK327" t="s">
        <v>54</v>
      </c>
      <c r="AL327" t="s">
        <v>54</v>
      </c>
      <c r="AM327" t="s">
        <v>54</v>
      </c>
      <c r="AN327" t="s">
        <v>54</v>
      </c>
      <c r="AO327" t="s">
        <v>54</v>
      </c>
      <c r="AP327" t="s">
        <v>54</v>
      </c>
      <c r="AQ327" t="s">
        <v>54</v>
      </c>
    </row>
    <row r="328" spans="1:43" x14ac:dyDescent="0.25">
      <c r="A328" t="s">
        <v>2944</v>
      </c>
      <c r="B328">
        <v>208</v>
      </c>
      <c r="C328">
        <v>122</v>
      </c>
      <c r="D328" t="s">
        <v>948</v>
      </c>
      <c r="E328" t="s">
        <v>947</v>
      </c>
      <c r="F328" t="s">
        <v>2945</v>
      </c>
      <c r="G328" t="s">
        <v>2946</v>
      </c>
      <c r="H328" t="s">
        <v>2162</v>
      </c>
      <c r="I328" t="s">
        <v>2947</v>
      </c>
      <c r="J328">
        <v>8</v>
      </c>
      <c r="K328">
        <v>2</v>
      </c>
      <c r="L328">
        <v>4</v>
      </c>
      <c r="M328" t="s">
        <v>2948</v>
      </c>
      <c r="N328">
        <v>100</v>
      </c>
      <c r="O328">
        <v>208</v>
      </c>
      <c r="P328">
        <v>18</v>
      </c>
      <c r="Q328" t="s">
        <v>1095</v>
      </c>
      <c r="R328" t="s">
        <v>407</v>
      </c>
      <c r="S328">
        <v>29</v>
      </c>
      <c r="T328">
        <v>0</v>
      </c>
      <c r="U328" t="s">
        <v>52</v>
      </c>
      <c r="V328" t="s">
        <v>2949</v>
      </c>
      <c r="W328" t="s">
        <v>54</v>
      </c>
      <c r="X328" t="s">
        <v>54</v>
      </c>
      <c r="Y328" t="s">
        <v>54</v>
      </c>
      <c r="Z328" t="s">
        <v>54</v>
      </c>
      <c r="AA328" t="s">
        <v>54</v>
      </c>
      <c r="AB328" t="s">
        <v>54</v>
      </c>
      <c r="AC328" t="s">
        <v>54</v>
      </c>
      <c r="AD328" t="s">
        <v>54</v>
      </c>
      <c r="AE328" t="s">
        <v>54</v>
      </c>
      <c r="AF328" t="s">
        <v>54</v>
      </c>
      <c r="AG328" t="s">
        <v>54</v>
      </c>
      <c r="AH328" t="s">
        <v>54</v>
      </c>
      <c r="AI328" t="s">
        <v>54</v>
      </c>
      <c r="AJ328" t="s">
        <v>54</v>
      </c>
      <c r="AK328" t="s">
        <v>54</v>
      </c>
      <c r="AL328" t="s">
        <v>54</v>
      </c>
      <c r="AM328" t="s">
        <v>54</v>
      </c>
      <c r="AN328" t="s">
        <v>54</v>
      </c>
      <c r="AO328" t="s">
        <v>54</v>
      </c>
      <c r="AP328" t="s">
        <v>54</v>
      </c>
      <c r="AQ328" t="s">
        <v>54</v>
      </c>
    </row>
    <row r="329" spans="1:43" x14ac:dyDescent="0.25">
      <c r="A329" t="s">
        <v>2950</v>
      </c>
      <c r="B329">
        <v>209</v>
      </c>
      <c r="C329">
        <v>141</v>
      </c>
      <c r="D329" t="s">
        <v>2951</v>
      </c>
      <c r="E329" t="s">
        <v>2952</v>
      </c>
      <c r="F329" t="s">
        <v>2953</v>
      </c>
      <c r="G329" t="s">
        <v>2954</v>
      </c>
      <c r="H329" t="s">
        <v>2955</v>
      </c>
      <c r="I329" t="s">
        <v>2956</v>
      </c>
      <c r="J329">
        <v>3</v>
      </c>
      <c r="K329">
        <v>4</v>
      </c>
      <c r="L329">
        <v>5</v>
      </c>
      <c r="M329" t="s">
        <v>2957</v>
      </c>
      <c r="N329">
        <v>116</v>
      </c>
      <c r="O329">
        <v>212</v>
      </c>
      <c r="P329">
        <v>19</v>
      </c>
      <c r="Q329" t="s">
        <v>251</v>
      </c>
      <c r="R329" t="s">
        <v>2958</v>
      </c>
      <c r="S329">
        <v>20</v>
      </c>
      <c r="T329">
        <v>1</v>
      </c>
      <c r="U329" t="s">
        <v>2959</v>
      </c>
      <c r="V329" t="s">
        <v>2960</v>
      </c>
      <c r="W329" t="s">
        <v>54</v>
      </c>
      <c r="X329" t="s">
        <v>54</v>
      </c>
      <c r="Y329" t="s">
        <v>54</v>
      </c>
      <c r="Z329" t="s">
        <v>54</v>
      </c>
      <c r="AA329" t="s">
        <v>54</v>
      </c>
      <c r="AB329" t="s">
        <v>54</v>
      </c>
      <c r="AC329" t="s">
        <v>54</v>
      </c>
      <c r="AD329" t="s">
        <v>54</v>
      </c>
      <c r="AE329" t="s">
        <v>54</v>
      </c>
      <c r="AF329" t="s">
        <v>54</v>
      </c>
      <c r="AG329" t="s">
        <v>54</v>
      </c>
      <c r="AH329" t="s">
        <v>54</v>
      </c>
      <c r="AI329" t="s">
        <v>54</v>
      </c>
      <c r="AJ329" t="s">
        <v>54</v>
      </c>
      <c r="AK329" t="s">
        <v>54</v>
      </c>
      <c r="AL329" t="s">
        <v>54</v>
      </c>
      <c r="AM329" t="s">
        <v>54</v>
      </c>
      <c r="AN329" t="s">
        <v>54</v>
      </c>
      <c r="AO329" t="s">
        <v>54</v>
      </c>
      <c r="AP329" t="s">
        <v>54</v>
      </c>
      <c r="AQ329" t="s">
        <v>54</v>
      </c>
    </row>
    <row r="330" spans="1:43" x14ac:dyDescent="0.25">
      <c r="A330" t="s">
        <v>2961</v>
      </c>
      <c r="B330">
        <v>97</v>
      </c>
      <c r="C330">
        <v>68</v>
      </c>
      <c r="D330" t="s">
        <v>2962</v>
      </c>
      <c r="E330" t="s">
        <v>2963</v>
      </c>
      <c r="F330" t="s">
        <v>88</v>
      </c>
      <c r="G330" t="s">
        <v>2964</v>
      </c>
      <c r="H330" t="s">
        <v>52</v>
      </c>
      <c r="I330" t="s">
        <v>2965</v>
      </c>
      <c r="J330">
        <v>0</v>
      </c>
      <c r="K330">
        <v>1</v>
      </c>
      <c r="L330">
        <v>0</v>
      </c>
      <c r="M330" t="s">
        <v>2966</v>
      </c>
      <c r="N330">
        <v>53</v>
      </c>
      <c r="O330">
        <v>97</v>
      </c>
      <c r="P330">
        <v>8</v>
      </c>
      <c r="Q330" t="s">
        <v>2967</v>
      </c>
      <c r="R330" t="s">
        <v>2183</v>
      </c>
      <c r="S330">
        <v>10</v>
      </c>
      <c r="T330">
        <v>0</v>
      </c>
      <c r="U330" t="s">
        <v>52</v>
      </c>
      <c r="V330" t="s">
        <v>2968</v>
      </c>
      <c r="W330" t="s">
        <v>54</v>
      </c>
      <c r="X330" t="s">
        <v>54</v>
      </c>
      <c r="Y330" t="s">
        <v>54</v>
      </c>
      <c r="Z330" t="s">
        <v>54</v>
      </c>
      <c r="AA330" t="s">
        <v>54</v>
      </c>
      <c r="AB330" t="s">
        <v>54</v>
      </c>
      <c r="AC330" t="s">
        <v>54</v>
      </c>
      <c r="AD330" t="s">
        <v>54</v>
      </c>
      <c r="AE330" t="s">
        <v>54</v>
      </c>
      <c r="AF330" t="s">
        <v>54</v>
      </c>
      <c r="AG330" t="s">
        <v>54</v>
      </c>
      <c r="AH330" t="s">
        <v>54</v>
      </c>
      <c r="AI330" t="s">
        <v>54</v>
      </c>
      <c r="AJ330" t="s">
        <v>54</v>
      </c>
      <c r="AK330" t="s">
        <v>54</v>
      </c>
      <c r="AL330" t="s">
        <v>54</v>
      </c>
      <c r="AM330" t="s">
        <v>54</v>
      </c>
      <c r="AN330" t="s">
        <v>54</v>
      </c>
      <c r="AO330" t="s">
        <v>54</v>
      </c>
      <c r="AP330" t="s">
        <v>54</v>
      </c>
      <c r="AQ330" t="s">
        <v>54</v>
      </c>
    </row>
    <row r="331" spans="1:43" x14ac:dyDescent="0.25">
      <c r="A331" t="s">
        <v>2969</v>
      </c>
      <c r="B331">
        <v>141</v>
      </c>
      <c r="C331">
        <v>100</v>
      </c>
      <c r="D331" t="s">
        <v>2553</v>
      </c>
      <c r="E331" t="s">
        <v>2970</v>
      </c>
      <c r="F331" t="s">
        <v>1266</v>
      </c>
      <c r="G331" t="s">
        <v>2971</v>
      </c>
      <c r="H331" t="s">
        <v>2972</v>
      </c>
      <c r="I331" t="s">
        <v>2973</v>
      </c>
      <c r="J331">
        <v>2</v>
      </c>
      <c r="K331">
        <v>7</v>
      </c>
      <c r="L331">
        <v>1</v>
      </c>
      <c r="M331" t="s">
        <v>2974</v>
      </c>
      <c r="N331">
        <v>66</v>
      </c>
      <c r="O331">
        <v>142</v>
      </c>
      <c r="P331">
        <v>7</v>
      </c>
      <c r="Q331" t="s">
        <v>2975</v>
      </c>
      <c r="R331" t="s">
        <v>1720</v>
      </c>
      <c r="S331">
        <v>23</v>
      </c>
      <c r="T331">
        <v>0</v>
      </c>
      <c r="U331" t="s">
        <v>52</v>
      </c>
      <c r="V331" t="s">
        <v>2976</v>
      </c>
      <c r="W331" t="s">
        <v>54</v>
      </c>
      <c r="X331" t="s">
        <v>54</v>
      </c>
      <c r="Y331" t="s">
        <v>54</v>
      </c>
      <c r="Z331" t="s">
        <v>54</v>
      </c>
      <c r="AA331" t="s">
        <v>54</v>
      </c>
      <c r="AB331" t="s">
        <v>54</v>
      </c>
      <c r="AC331" t="s">
        <v>54</v>
      </c>
      <c r="AD331" t="s">
        <v>54</v>
      </c>
      <c r="AE331" t="s">
        <v>54</v>
      </c>
      <c r="AF331" t="s">
        <v>54</v>
      </c>
      <c r="AG331" t="s">
        <v>54</v>
      </c>
      <c r="AH331" t="s">
        <v>54</v>
      </c>
      <c r="AI331" t="s">
        <v>54</v>
      </c>
      <c r="AJ331" t="s">
        <v>54</v>
      </c>
      <c r="AK331" t="s">
        <v>54</v>
      </c>
      <c r="AL331" t="s">
        <v>54</v>
      </c>
      <c r="AM331" t="s">
        <v>54</v>
      </c>
      <c r="AN331" t="s">
        <v>54</v>
      </c>
      <c r="AO331" t="s">
        <v>54</v>
      </c>
      <c r="AP331" t="s">
        <v>54</v>
      </c>
      <c r="AQ331" t="s">
        <v>54</v>
      </c>
    </row>
    <row r="332" spans="1:43" x14ac:dyDescent="0.25">
      <c r="A332" t="s">
        <v>2977</v>
      </c>
      <c r="B332">
        <v>185</v>
      </c>
      <c r="C332">
        <v>136</v>
      </c>
      <c r="D332" t="s">
        <v>2978</v>
      </c>
      <c r="E332" t="s">
        <v>2979</v>
      </c>
      <c r="F332" t="s">
        <v>1085</v>
      </c>
      <c r="G332" t="s">
        <v>2980</v>
      </c>
      <c r="H332" t="s">
        <v>52</v>
      </c>
      <c r="I332" t="s">
        <v>2981</v>
      </c>
      <c r="J332">
        <v>0</v>
      </c>
      <c r="K332">
        <v>3</v>
      </c>
      <c r="L332">
        <v>5</v>
      </c>
      <c r="M332" t="s">
        <v>2238</v>
      </c>
      <c r="N332">
        <v>104</v>
      </c>
      <c r="O332">
        <v>186</v>
      </c>
      <c r="P332">
        <v>15</v>
      </c>
      <c r="Q332" t="s">
        <v>2982</v>
      </c>
      <c r="R332" t="s">
        <v>1207</v>
      </c>
      <c r="S332">
        <v>21</v>
      </c>
      <c r="T332">
        <v>0</v>
      </c>
      <c r="U332" t="s">
        <v>52</v>
      </c>
      <c r="V332" t="s">
        <v>2983</v>
      </c>
      <c r="W332" t="s">
        <v>54</v>
      </c>
      <c r="X332" t="s">
        <v>54</v>
      </c>
      <c r="Y332" t="s">
        <v>54</v>
      </c>
      <c r="Z332" t="s">
        <v>54</v>
      </c>
      <c r="AA332" t="s">
        <v>54</v>
      </c>
      <c r="AB332" t="s">
        <v>54</v>
      </c>
      <c r="AC332" t="s">
        <v>54</v>
      </c>
      <c r="AD332" t="s">
        <v>54</v>
      </c>
      <c r="AE332" t="s">
        <v>54</v>
      </c>
      <c r="AF332" t="s">
        <v>54</v>
      </c>
      <c r="AG332" t="s">
        <v>54</v>
      </c>
      <c r="AH332" t="s">
        <v>54</v>
      </c>
      <c r="AI332" t="s">
        <v>54</v>
      </c>
      <c r="AJ332" t="s">
        <v>54</v>
      </c>
      <c r="AK332" t="s">
        <v>54</v>
      </c>
      <c r="AL332" t="s">
        <v>54</v>
      </c>
      <c r="AM332" t="s">
        <v>54</v>
      </c>
      <c r="AN332" t="s">
        <v>54</v>
      </c>
      <c r="AO332" t="s">
        <v>54</v>
      </c>
      <c r="AP332" t="s">
        <v>54</v>
      </c>
      <c r="AQ332" t="s">
        <v>54</v>
      </c>
    </row>
    <row r="333" spans="1:43" x14ac:dyDescent="0.25">
      <c r="A333" t="s">
        <v>2984</v>
      </c>
      <c r="B333">
        <v>99</v>
      </c>
      <c r="C333">
        <v>38</v>
      </c>
      <c r="D333" t="s">
        <v>2985</v>
      </c>
      <c r="E333" t="s">
        <v>2986</v>
      </c>
      <c r="F333" t="s">
        <v>2570</v>
      </c>
      <c r="G333" t="s">
        <v>2987</v>
      </c>
      <c r="H333" t="s">
        <v>52</v>
      </c>
      <c r="I333" t="s">
        <v>1384</v>
      </c>
      <c r="J333">
        <v>0</v>
      </c>
      <c r="K333">
        <v>2</v>
      </c>
      <c r="L333">
        <v>2</v>
      </c>
      <c r="M333" t="s">
        <v>2988</v>
      </c>
      <c r="N333">
        <v>65</v>
      </c>
      <c r="O333">
        <v>96</v>
      </c>
      <c r="P333">
        <v>2</v>
      </c>
      <c r="Q333" t="s">
        <v>2989</v>
      </c>
      <c r="R333" t="s">
        <v>489</v>
      </c>
      <c r="S333">
        <v>5</v>
      </c>
      <c r="T333">
        <v>0</v>
      </c>
      <c r="U333" t="s">
        <v>52</v>
      </c>
      <c r="V333" t="s">
        <v>2990</v>
      </c>
      <c r="W333" t="s">
        <v>54</v>
      </c>
      <c r="X333" t="s">
        <v>54</v>
      </c>
      <c r="Y333" t="s">
        <v>54</v>
      </c>
      <c r="Z333" t="s">
        <v>54</v>
      </c>
      <c r="AA333" t="s">
        <v>54</v>
      </c>
      <c r="AB333" t="s">
        <v>54</v>
      </c>
      <c r="AC333" t="s">
        <v>54</v>
      </c>
      <c r="AD333" t="s">
        <v>54</v>
      </c>
      <c r="AE333" t="s">
        <v>54</v>
      </c>
      <c r="AF333" t="s">
        <v>54</v>
      </c>
      <c r="AG333" t="s">
        <v>54</v>
      </c>
      <c r="AH333" t="s">
        <v>54</v>
      </c>
      <c r="AI333" t="s">
        <v>54</v>
      </c>
      <c r="AJ333" t="s">
        <v>54</v>
      </c>
      <c r="AK333" t="s">
        <v>54</v>
      </c>
      <c r="AL333" t="s">
        <v>54</v>
      </c>
      <c r="AM333" t="s">
        <v>54</v>
      </c>
      <c r="AN333" t="s">
        <v>54</v>
      </c>
      <c r="AO333" t="s">
        <v>54</v>
      </c>
      <c r="AP333" t="s">
        <v>54</v>
      </c>
      <c r="AQ333" t="s">
        <v>54</v>
      </c>
    </row>
    <row r="334" spans="1:43" x14ac:dyDescent="0.25">
      <c r="A334" t="s">
        <v>2991</v>
      </c>
      <c r="B334">
        <v>173</v>
      </c>
      <c r="C334">
        <v>122</v>
      </c>
      <c r="D334" t="s">
        <v>2992</v>
      </c>
      <c r="E334" t="s">
        <v>2993</v>
      </c>
      <c r="F334" t="s">
        <v>2994</v>
      </c>
      <c r="G334" t="s">
        <v>2995</v>
      </c>
      <c r="H334" t="s">
        <v>416</v>
      </c>
      <c r="I334" t="s">
        <v>52</v>
      </c>
      <c r="J334">
        <v>2</v>
      </c>
      <c r="K334">
        <v>0</v>
      </c>
      <c r="L334">
        <v>3</v>
      </c>
      <c r="M334" t="s">
        <v>219</v>
      </c>
      <c r="N334">
        <v>91</v>
      </c>
      <c r="O334">
        <v>175</v>
      </c>
      <c r="P334">
        <v>11</v>
      </c>
      <c r="Q334" t="s">
        <v>2996</v>
      </c>
      <c r="R334" t="s">
        <v>2116</v>
      </c>
      <c r="S334">
        <v>26</v>
      </c>
      <c r="T334">
        <v>0</v>
      </c>
      <c r="U334" t="s">
        <v>52</v>
      </c>
      <c r="V334" t="s">
        <v>2997</v>
      </c>
      <c r="W334" t="s">
        <v>54</v>
      </c>
      <c r="X334" t="s">
        <v>54</v>
      </c>
      <c r="Y334" t="s">
        <v>54</v>
      </c>
      <c r="Z334" t="s">
        <v>54</v>
      </c>
      <c r="AA334" t="s">
        <v>54</v>
      </c>
      <c r="AB334" t="s">
        <v>54</v>
      </c>
      <c r="AC334" t="s">
        <v>54</v>
      </c>
      <c r="AD334" t="s">
        <v>54</v>
      </c>
      <c r="AE334" t="s">
        <v>54</v>
      </c>
      <c r="AF334" t="s">
        <v>54</v>
      </c>
      <c r="AG334" t="s">
        <v>54</v>
      </c>
      <c r="AH334" t="s">
        <v>54</v>
      </c>
      <c r="AI334" t="s">
        <v>54</v>
      </c>
      <c r="AJ334" t="s">
        <v>54</v>
      </c>
      <c r="AK334" t="s">
        <v>54</v>
      </c>
      <c r="AL334" t="s">
        <v>54</v>
      </c>
      <c r="AM334" t="s">
        <v>54</v>
      </c>
      <c r="AN334" t="s">
        <v>54</v>
      </c>
      <c r="AO334" t="s">
        <v>54</v>
      </c>
      <c r="AP334" t="s">
        <v>54</v>
      </c>
      <c r="AQ334" t="s">
        <v>54</v>
      </c>
    </row>
    <row r="335" spans="1:43" x14ac:dyDescent="0.25">
      <c r="A335" t="s">
        <v>2998</v>
      </c>
      <c r="B335">
        <v>131</v>
      </c>
      <c r="C335">
        <v>96</v>
      </c>
      <c r="D335" t="s">
        <v>2999</v>
      </c>
      <c r="E335" t="s">
        <v>1964</v>
      </c>
      <c r="F335" t="s">
        <v>2512</v>
      </c>
      <c r="G335" t="s">
        <v>3000</v>
      </c>
      <c r="H335" t="s">
        <v>52</v>
      </c>
      <c r="I335" t="s">
        <v>917</v>
      </c>
      <c r="J335">
        <v>0</v>
      </c>
      <c r="K335">
        <v>3</v>
      </c>
      <c r="L335">
        <v>2</v>
      </c>
      <c r="M335" t="s">
        <v>1612</v>
      </c>
      <c r="N335">
        <v>77</v>
      </c>
      <c r="O335">
        <v>132</v>
      </c>
      <c r="P335">
        <v>16</v>
      </c>
      <c r="Q335" t="s">
        <v>3001</v>
      </c>
      <c r="R335" t="s">
        <v>3002</v>
      </c>
      <c r="S335">
        <v>9</v>
      </c>
      <c r="T335">
        <v>0</v>
      </c>
      <c r="U335" t="s">
        <v>52</v>
      </c>
      <c r="V335" t="s">
        <v>3003</v>
      </c>
      <c r="W335" t="s">
        <v>54</v>
      </c>
      <c r="X335" t="s">
        <v>54</v>
      </c>
      <c r="Y335" t="s">
        <v>54</v>
      </c>
      <c r="Z335" t="s">
        <v>54</v>
      </c>
      <c r="AA335" t="s">
        <v>54</v>
      </c>
      <c r="AB335" t="s">
        <v>54</v>
      </c>
      <c r="AC335" t="s">
        <v>54</v>
      </c>
      <c r="AD335" t="s">
        <v>54</v>
      </c>
      <c r="AE335" t="s">
        <v>54</v>
      </c>
      <c r="AF335" t="s">
        <v>54</v>
      </c>
      <c r="AG335" t="s">
        <v>54</v>
      </c>
      <c r="AH335" t="s">
        <v>54</v>
      </c>
      <c r="AI335" t="s">
        <v>54</v>
      </c>
      <c r="AJ335" t="s">
        <v>54</v>
      </c>
      <c r="AK335" t="s">
        <v>54</v>
      </c>
      <c r="AL335" t="s">
        <v>54</v>
      </c>
      <c r="AM335" t="s">
        <v>54</v>
      </c>
      <c r="AN335" t="s">
        <v>54</v>
      </c>
      <c r="AO335" t="s">
        <v>54</v>
      </c>
      <c r="AP335" t="s">
        <v>54</v>
      </c>
      <c r="AQ335" t="s">
        <v>54</v>
      </c>
    </row>
    <row r="336" spans="1:43" x14ac:dyDescent="0.25">
      <c r="A336" t="s">
        <v>3004</v>
      </c>
      <c r="B336">
        <v>224</v>
      </c>
      <c r="C336">
        <v>144</v>
      </c>
      <c r="D336" t="s">
        <v>812</v>
      </c>
      <c r="E336" t="s">
        <v>3005</v>
      </c>
      <c r="F336" t="s">
        <v>720</v>
      </c>
      <c r="G336" t="s">
        <v>3006</v>
      </c>
      <c r="H336" t="s">
        <v>3007</v>
      </c>
      <c r="I336" t="s">
        <v>594</v>
      </c>
      <c r="J336">
        <v>5</v>
      </c>
      <c r="K336">
        <v>1</v>
      </c>
      <c r="L336">
        <v>3</v>
      </c>
      <c r="M336" t="s">
        <v>3008</v>
      </c>
      <c r="N336">
        <v>110</v>
      </c>
      <c r="O336">
        <v>224</v>
      </c>
      <c r="P336">
        <v>12</v>
      </c>
      <c r="Q336" t="s">
        <v>3009</v>
      </c>
      <c r="R336" t="s">
        <v>3010</v>
      </c>
      <c r="S336">
        <v>28</v>
      </c>
      <c r="T336">
        <v>1</v>
      </c>
      <c r="U336" t="s">
        <v>3011</v>
      </c>
      <c r="V336" t="s">
        <v>3012</v>
      </c>
      <c r="W336" t="s">
        <v>54</v>
      </c>
      <c r="X336" t="s">
        <v>54</v>
      </c>
      <c r="Y336" t="s">
        <v>54</v>
      </c>
      <c r="Z336" t="s">
        <v>54</v>
      </c>
      <c r="AA336" t="s">
        <v>54</v>
      </c>
      <c r="AB336" t="s">
        <v>54</v>
      </c>
      <c r="AC336" t="s">
        <v>54</v>
      </c>
      <c r="AD336" t="s">
        <v>54</v>
      </c>
      <c r="AE336" t="s">
        <v>54</v>
      </c>
      <c r="AF336" t="s">
        <v>54</v>
      </c>
      <c r="AG336" t="s">
        <v>54</v>
      </c>
      <c r="AH336" t="s">
        <v>54</v>
      </c>
      <c r="AI336" t="s">
        <v>54</v>
      </c>
      <c r="AJ336" t="s">
        <v>54</v>
      </c>
      <c r="AK336" t="s">
        <v>54</v>
      </c>
      <c r="AL336" t="s">
        <v>54</v>
      </c>
      <c r="AM336" t="s">
        <v>54</v>
      </c>
      <c r="AN336" t="s">
        <v>54</v>
      </c>
      <c r="AO336" t="s">
        <v>54</v>
      </c>
      <c r="AP336" t="s">
        <v>54</v>
      </c>
      <c r="AQ336" t="s">
        <v>54</v>
      </c>
    </row>
    <row r="337" spans="1:43" x14ac:dyDescent="0.25">
      <c r="A337" t="s">
        <v>3013</v>
      </c>
      <c r="B337">
        <v>191</v>
      </c>
      <c r="C337">
        <v>97</v>
      </c>
      <c r="D337" t="s">
        <v>3014</v>
      </c>
      <c r="E337" t="s">
        <v>1397</v>
      </c>
      <c r="F337" t="s">
        <v>3015</v>
      </c>
      <c r="G337" t="s">
        <v>3016</v>
      </c>
      <c r="H337" t="s">
        <v>1401</v>
      </c>
      <c r="I337" t="s">
        <v>1401</v>
      </c>
      <c r="J337">
        <v>3</v>
      </c>
      <c r="K337">
        <v>3</v>
      </c>
      <c r="L337">
        <v>2</v>
      </c>
      <c r="M337" t="s">
        <v>3017</v>
      </c>
      <c r="N337">
        <v>89</v>
      </c>
      <c r="O337">
        <v>192</v>
      </c>
      <c r="P337">
        <v>23</v>
      </c>
      <c r="Q337" t="s">
        <v>3018</v>
      </c>
      <c r="R337" t="s">
        <v>3019</v>
      </c>
      <c r="S337">
        <v>36</v>
      </c>
      <c r="T337">
        <v>0</v>
      </c>
      <c r="U337" t="s">
        <v>52</v>
      </c>
      <c r="V337" t="s">
        <v>3020</v>
      </c>
      <c r="W337" t="s">
        <v>54</v>
      </c>
      <c r="X337" t="s">
        <v>54</v>
      </c>
      <c r="Y337" t="s">
        <v>54</v>
      </c>
      <c r="Z337" t="s">
        <v>54</v>
      </c>
      <c r="AA337" t="s">
        <v>54</v>
      </c>
      <c r="AB337" t="s">
        <v>54</v>
      </c>
      <c r="AC337" t="s">
        <v>54</v>
      </c>
      <c r="AD337" t="s">
        <v>54</v>
      </c>
      <c r="AE337" t="s">
        <v>54</v>
      </c>
      <c r="AF337" t="s">
        <v>54</v>
      </c>
      <c r="AG337" t="s">
        <v>54</v>
      </c>
      <c r="AH337" t="s">
        <v>54</v>
      </c>
      <c r="AI337" t="s">
        <v>54</v>
      </c>
      <c r="AJ337" t="s">
        <v>54</v>
      </c>
      <c r="AK337" t="s">
        <v>54</v>
      </c>
      <c r="AL337" t="s">
        <v>54</v>
      </c>
      <c r="AM337" t="s">
        <v>54</v>
      </c>
      <c r="AN337" t="s">
        <v>54</v>
      </c>
      <c r="AO337" t="s">
        <v>54</v>
      </c>
      <c r="AP337" t="s">
        <v>54</v>
      </c>
      <c r="AQ337" t="s">
        <v>54</v>
      </c>
    </row>
    <row r="338" spans="1:43" x14ac:dyDescent="0.25">
      <c r="A338" t="s">
        <v>3021</v>
      </c>
      <c r="B338">
        <v>129</v>
      </c>
      <c r="C338">
        <v>95</v>
      </c>
      <c r="D338" t="s">
        <v>3022</v>
      </c>
      <c r="E338" t="s">
        <v>3023</v>
      </c>
      <c r="F338" t="s">
        <v>648</v>
      </c>
      <c r="G338" t="s">
        <v>3024</v>
      </c>
      <c r="H338" t="s">
        <v>2380</v>
      </c>
      <c r="I338" t="s">
        <v>3025</v>
      </c>
      <c r="J338">
        <v>1</v>
      </c>
      <c r="K338">
        <v>2</v>
      </c>
      <c r="L338">
        <v>1</v>
      </c>
      <c r="M338" t="s">
        <v>2482</v>
      </c>
      <c r="N338">
        <v>76</v>
      </c>
      <c r="O338">
        <v>128</v>
      </c>
      <c r="P338">
        <v>7</v>
      </c>
      <c r="Q338" t="s">
        <v>427</v>
      </c>
      <c r="R338" t="s">
        <v>252</v>
      </c>
      <c r="S338">
        <v>10</v>
      </c>
      <c r="T338">
        <v>0</v>
      </c>
      <c r="U338" t="s">
        <v>52</v>
      </c>
      <c r="V338" t="s">
        <v>3026</v>
      </c>
      <c r="W338" t="s">
        <v>54</v>
      </c>
      <c r="X338" t="s">
        <v>54</v>
      </c>
      <c r="Y338" t="s">
        <v>54</v>
      </c>
      <c r="Z338" t="s">
        <v>54</v>
      </c>
      <c r="AA338" t="s">
        <v>54</v>
      </c>
      <c r="AB338" t="s">
        <v>54</v>
      </c>
      <c r="AC338" t="s">
        <v>54</v>
      </c>
      <c r="AD338" t="s">
        <v>54</v>
      </c>
      <c r="AE338" t="s">
        <v>54</v>
      </c>
      <c r="AF338" t="s">
        <v>54</v>
      </c>
      <c r="AG338" t="s">
        <v>54</v>
      </c>
      <c r="AH338" t="s">
        <v>54</v>
      </c>
      <c r="AI338" t="s">
        <v>54</v>
      </c>
      <c r="AJ338" t="s">
        <v>54</v>
      </c>
      <c r="AK338" t="s">
        <v>54</v>
      </c>
      <c r="AL338" t="s">
        <v>54</v>
      </c>
      <c r="AM338" t="s">
        <v>54</v>
      </c>
      <c r="AN338" t="s">
        <v>54</v>
      </c>
      <c r="AO338" t="s">
        <v>54</v>
      </c>
      <c r="AP338" t="s">
        <v>54</v>
      </c>
      <c r="AQ338" t="s">
        <v>54</v>
      </c>
    </row>
    <row r="339" spans="1:43" x14ac:dyDescent="0.25">
      <c r="A339" t="s">
        <v>3027</v>
      </c>
      <c r="B339">
        <v>256</v>
      </c>
      <c r="C339">
        <v>152</v>
      </c>
      <c r="D339" t="s">
        <v>2482</v>
      </c>
      <c r="E339" t="s">
        <v>1975</v>
      </c>
      <c r="F339" t="s">
        <v>720</v>
      </c>
      <c r="G339" t="s">
        <v>3028</v>
      </c>
      <c r="H339" t="s">
        <v>3029</v>
      </c>
      <c r="I339" t="s">
        <v>52</v>
      </c>
      <c r="J339">
        <v>11</v>
      </c>
      <c r="K339">
        <v>0</v>
      </c>
      <c r="L339">
        <v>3</v>
      </c>
      <c r="M339" t="s">
        <v>3030</v>
      </c>
      <c r="N339">
        <v>147</v>
      </c>
      <c r="O339">
        <v>257</v>
      </c>
      <c r="P339">
        <v>13</v>
      </c>
      <c r="Q339" t="s">
        <v>3031</v>
      </c>
      <c r="R339" t="s">
        <v>575</v>
      </c>
      <c r="S339">
        <v>42</v>
      </c>
      <c r="T339">
        <v>0</v>
      </c>
      <c r="U339" t="s">
        <v>52</v>
      </c>
      <c r="V339" t="s">
        <v>3032</v>
      </c>
      <c r="W339" t="s">
        <v>54</v>
      </c>
      <c r="X339" t="s">
        <v>54</v>
      </c>
      <c r="Y339" t="s">
        <v>54</v>
      </c>
      <c r="Z339" t="s">
        <v>54</v>
      </c>
      <c r="AA339" t="s">
        <v>54</v>
      </c>
      <c r="AB339" t="s">
        <v>54</v>
      </c>
      <c r="AC339" t="s">
        <v>54</v>
      </c>
      <c r="AD339" t="s">
        <v>54</v>
      </c>
      <c r="AE339" t="s">
        <v>54</v>
      </c>
      <c r="AF339" t="s">
        <v>54</v>
      </c>
      <c r="AG339" t="s">
        <v>54</v>
      </c>
      <c r="AH339" t="s">
        <v>54</v>
      </c>
      <c r="AI339" t="s">
        <v>54</v>
      </c>
      <c r="AJ339" t="s">
        <v>54</v>
      </c>
      <c r="AK339" t="s">
        <v>54</v>
      </c>
      <c r="AL339" t="s">
        <v>54</v>
      </c>
      <c r="AM339" t="s">
        <v>54</v>
      </c>
      <c r="AN339" t="s">
        <v>54</v>
      </c>
      <c r="AO339" t="s">
        <v>54</v>
      </c>
      <c r="AP339" t="s">
        <v>54</v>
      </c>
      <c r="AQ339" t="s">
        <v>54</v>
      </c>
    </row>
    <row r="340" spans="1:43" x14ac:dyDescent="0.25">
      <c r="A340" t="s">
        <v>3033</v>
      </c>
      <c r="B340">
        <v>162</v>
      </c>
      <c r="C340">
        <v>119</v>
      </c>
      <c r="D340" t="s">
        <v>3034</v>
      </c>
      <c r="E340" t="s">
        <v>235</v>
      </c>
      <c r="F340" t="s">
        <v>361</v>
      </c>
      <c r="G340" t="s">
        <v>3035</v>
      </c>
      <c r="H340" t="s">
        <v>238</v>
      </c>
      <c r="I340" t="s">
        <v>3036</v>
      </c>
      <c r="J340">
        <v>2</v>
      </c>
      <c r="K340">
        <v>1</v>
      </c>
      <c r="L340">
        <v>2</v>
      </c>
      <c r="M340" t="s">
        <v>3037</v>
      </c>
      <c r="N340">
        <v>83</v>
      </c>
      <c r="O340">
        <v>164</v>
      </c>
      <c r="P340">
        <v>6</v>
      </c>
      <c r="Q340" t="s">
        <v>3038</v>
      </c>
      <c r="R340" t="s">
        <v>954</v>
      </c>
      <c r="S340">
        <v>21</v>
      </c>
      <c r="T340">
        <v>0</v>
      </c>
      <c r="U340" t="s">
        <v>52</v>
      </c>
      <c r="V340" t="s">
        <v>3039</v>
      </c>
      <c r="W340" t="s">
        <v>54</v>
      </c>
      <c r="X340" t="s">
        <v>54</v>
      </c>
      <c r="Y340" t="s">
        <v>54</v>
      </c>
      <c r="Z340" t="s">
        <v>54</v>
      </c>
      <c r="AA340" t="s">
        <v>54</v>
      </c>
      <c r="AB340" t="s">
        <v>54</v>
      </c>
      <c r="AC340" t="s">
        <v>54</v>
      </c>
      <c r="AD340" t="s">
        <v>54</v>
      </c>
      <c r="AE340" t="s">
        <v>54</v>
      </c>
      <c r="AF340" t="s">
        <v>54</v>
      </c>
      <c r="AG340" t="s">
        <v>54</v>
      </c>
      <c r="AH340" t="s">
        <v>54</v>
      </c>
      <c r="AI340" t="s">
        <v>54</v>
      </c>
      <c r="AJ340" t="s">
        <v>54</v>
      </c>
      <c r="AK340" t="s">
        <v>54</v>
      </c>
      <c r="AL340" t="s">
        <v>54</v>
      </c>
      <c r="AM340" t="s">
        <v>54</v>
      </c>
      <c r="AN340" t="s">
        <v>54</v>
      </c>
      <c r="AO340" t="s">
        <v>54</v>
      </c>
      <c r="AP340" t="s">
        <v>54</v>
      </c>
      <c r="AQ340" t="s">
        <v>54</v>
      </c>
    </row>
    <row r="341" spans="1:43" x14ac:dyDescent="0.25">
      <c r="A341" t="s">
        <v>3040</v>
      </c>
      <c r="B341">
        <v>155</v>
      </c>
      <c r="C341">
        <v>113</v>
      </c>
      <c r="D341" t="s">
        <v>610</v>
      </c>
      <c r="E341" t="s">
        <v>611</v>
      </c>
      <c r="F341" t="s">
        <v>612</v>
      </c>
      <c r="G341" t="s">
        <v>3041</v>
      </c>
      <c r="H341" t="s">
        <v>385</v>
      </c>
      <c r="I341" t="s">
        <v>3042</v>
      </c>
      <c r="J341">
        <v>5</v>
      </c>
      <c r="K341">
        <v>4</v>
      </c>
      <c r="L341">
        <v>4</v>
      </c>
      <c r="M341" t="s">
        <v>2591</v>
      </c>
      <c r="N341">
        <v>87</v>
      </c>
      <c r="O341">
        <v>155</v>
      </c>
      <c r="P341">
        <v>10</v>
      </c>
      <c r="Q341" t="s">
        <v>2239</v>
      </c>
      <c r="R341" t="s">
        <v>366</v>
      </c>
      <c r="S341">
        <v>10</v>
      </c>
      <c r="T341">
        <v>0</v>
      </c>
      <c r="U341" t="s">
        <v>52</v>
      </c>
      <c r="V341" t="s">
        <v>3043</v>
      </c>
      <c r="W341" t="s">
        <v>54</v>
      </c>
      <c r="X341" t="s">
        <v>54</v>
      </c>
      <c r="Y341" t="s">
        <v>54</v>
      </c>
      <c r="Z341" t="s">
        <v>54</v>
      </c>
      <c r="AA341" t="s">
        <v>54</v>
      </c>
      <c r="AB341" t="s">
        <v>54</v>
      </c>
      <c r="AC341" t="s">
        <v>54</v>
      </c>
      <c r="AD341" t="s">
        <v>54</v>
      </c>
      <c r="AE341" t="s">
        <v>54</v>
      </c>
      <c r="AF341" t="s">
        <v>54</v>
      </c>
      <c r="AG341" t="s">
        <v>54</v>
      </c>
      <c r="AH341" t="s">
        <v>54</v>
      </c>
      <c r="AI341" t="s">
        <v>54</v>
      </c>
      <c r="AJ341" t="s">
        <v>54</v>
      </c>
      <c r="AK341" t="s">
        <v>54</v>
      </c>
      <c r="AL341" t="s">
        <v>54</v>
      </c>
      <c r="AM341" t="s">
        <v>54</v>
      </c>
      <c r="AN341" t="s">
        <v>54</v>
      </c>
      <c r="AO341" t="s">
        <v>54</v>
      </c>
      <c r="AP341" t="s">
        <v>54</v>
      </c>
      <c r="AQ341" t="s">
        <v>54</v>
      </c>
    </row>
    <row r="342" spans="1:43" x14ac:dyDescent="0.25">
      <c r="A342" t="s">
        <v>3044</v>
      </c>
      <c r="B342">
        <v>169</v>
      </c>
      <c r="C342">
        <v>105</v>
      </c>
      <c r="D342" t="s">
        <v>3045</v>
      </c>
      <c r="E342" t="s">
        <v>3046</v>
      </c>
      <c r="F342" t="s">
        <v>160</v>
      </c>
      <c r="G342" t="s">
        <v>3047</v>
      </c>
      <c r="H342" t="s">
        <v>52</v>
      </c>
      <c r="I342" t="s">
        <v>1296</v>
      </c>
      <c r="J342">
        <v>0</v>
      </c>
      <c r="K342">
        <v>3</v>
      </c>
      <c r="L342">
        <v>1</v>
      </c>
      <c r="M342" t="s">
        <v>2740</v>
      </c>
      <c r="N342">
        <v>107</v>
      </c>
      <c r="O342">
        <v>173</v>
      </c>
      <c r="P342">
        <v>12</v>
      </c>
      <c r="Q342" t="s">
        <v>3048</v>
      </c>
      <c r="R342" t="s">
        <v>1282</v>
      </c>
      <c r="S342">
        <v>19</v>
      </c>
      <c r="T342">
        <v>0</v>
      </c>
      <c r="U342" t="s">
        <v>52</v>
      </c>
      <c r="V342" t="s">
        <v>3049</v>
      </c>
      <c r="W342" t="s">
        <v>54</v>
      </c>
      <c r="X342" t="s">
        <v>54</v>
      </c>
      <c r="Y342" t="s">
        <v>54</v>
      </c>
      <c r="Z342" t="s">
        <v>54</v>
      </c>
      <c r="AA342" t="s">
        <v>54</v>
      </c>
      <c r="AB342" t="s">
        <v>54</v>
      </c>
      <c r="AC342" t="s">
        <v>54</v>
      </c>
      <c r="AD342" t="s">
        <v>54</v>
      </c>
      <c r="AE342" t="s">
        <v>54</v>
      </c>
      <c r="AF342" t="s">
        <v>54</v>
      </c>
      <c r="AG342" t="s">
        <v>54</v>
      </c>
      <c r="AH342" t="s">
        <v>54</v>
      </c>
      <c r="AI342" t="s">
        <v>54</v>
      </c>
      <c r="AJ342" t="s">
        <v>54</v>
      </c>
      <c r="AK342" t="s">
        <v>54</v>
      </c>
      <c r="AL342" t="s">
        <v>54</v>
      </c>
      <c r="AM342" t="s">
        <v>54</v>
      </c>
      <c r="AN342" t="s">
        <v>54</v>
      </c>
      <c r="AO342" t="s">
        <v>54</v>
      </c>
      <c r="AP342" t="s">
        <v>54</v>
      </c>
      <c r="AQ342" t="s">
        <v>54</v>
      </c>
    </row>
    <row r="343" spans="1:43" x14ac:dyDescent="0.25">
      <c r="A343" t="s">
        <v>3050</v>
      </c>
      <c r="B343">
        <v>214</v>
      </c>
      <c r="C343">
        <v>127</v>
      </c>
      <c r="D343" t="s">
        <v>3051</v>
      </c>
      <c r="E343" t="s">
        <v>3052</v>
      </c>
      <c r="F343" t="s">
        <v>3053</v>
      </c>
      <c r="G343" t="s">
        <v>3054</v>
      </c>
      <c r="H343" t="s">
        <v>3055</v>
      </c>
      <c r="I343" t="s">
        <v>3056</v>
      </c>
      <c r="J343">
        <v>1</v>
      </c>
      <c r="K343">
        <v>16</v>
      </c>
      <c r="L343">
        <v>3</v>
      </c>
      <c r="M343" t="s">
        <v>3057</v>
      </c>
      <c r="N343">
        <v>113</v>
      </c>
      <c r="O343">
        <v>214</v>
      </c>
      <c r="P343">
        <v>11</v>
      </c>
      <c r="Q343" t="s">
        <v>3058</v>
      </c>
      <c r="R343" t="s">
        <v>3059</v>
      </c>
      <c r="S343">
        <v>38</v>
      </c>
      <c r="T343">
        <v>0</v>
      </c>
      <c r="U343" t="s">
        <v>52</v>
      </c>
      <c r="V343" t="s">
        <v>3060</v>
      </c>
      <c r="W343" t="s">
        <v>54</v>
      </c>
      <c r="X343" t="s">
        <v>54</v>
      </c>
      <c r="Y343" t="s">
        <v>54</v>
      </c>
      <c r="Z343" t="s">
        <v>54</v>
      </c>
      <c r="AA343" t="s">
        <v>54</v>
      </c>
      <c r="AB343" t="s">
        <v>54</v>
      </c>
      <c r="AC343" t="s">
        <v>54</v>
      </c>
      <c r="AD343" t="s">
        <v>54</v>
      </c>
      <c r="AE343" t="s">
        <v>54</v>
      </c>
      <c r="AF343" t="s">
        <v>54</v>
      </c>
      <c r="AG343" t="s">
        <v>54</v>
      </c>
      <c r="AH343" t="s">
        <v>54</v>
      </c>
      <c r="AI343" t="s">
        <v>54</v>
      </c>
      <c r="AJ343" t="s">
        <v>54</v>
      </c>
      <c r="AK343" t="s">
        <v>54</v>
      </c>
      <c r="AL343" t="s">
        <v>54</v>
      </c>
      <c r="AM343" t="s">
        <v>54</v>
      </c>
      <c r="AN343" t="s">
        <v>54</v>
      </c>
      <c r="AO343" t="s">
        <v>54</v>
      </c>
      <c r="AP343" t="s">
        <v>54</v>
      </c>
      <c r="AQ343" t="s">
        <v>54</v>
      </c>
    </row>
    <row r="344" spans="1:43" x14ac:dyDescent="0.25">
      <c r="A344" t="s">
        <v>3061</v>
      </c>
      <c r="B344">
        <v>210</v>
      </c>
      <c r="C344">
        <v>132</v>
      </c>
      <c r="D344" t="s">
        <v>3062</v>
      </c>
      <c r="E344" t="s">
        <v>2415</v>
      </c>
      <c r="F344" t="s">
        <v>720</v>
      </c>
      <c r="G344" t="s">
        <v>3063</v>
      </c>
      <c r="H344" t="s">
        <v>3064</v>
      </c>
      <c r="I344" t="s">
        <v>79</v>
      </c>
      <c r="J344">
        <v>13</v>
      </c>
      <c r="K344">
        <v>6</v>
      </c>
      <c r="L344">
        <v>4</v>
      </c>
      <c r="M344" t="s">
        <v>3065</v>
      </c>
      <c r="N344">
        <v>101</v>
      </c>
      <c r="O344">
        <v>209</v>
      </c>
      <c r="P344">
        <v>13</v>
      </c>
      <c r="Q344" t="s">
        <v>3066</v>
      </c>
      <c r="R344" t="s">
        <v>3067</v>
      </c>
      <c r="S344">
        <v>28</v>
      </c>
      <c r="T344">
        <v>0</v>
      </c>
      <c r="U344" t="s">
        <v>52</v>
      </c>
      <c r="V344" t="s">
        <v>3068</v>
      </c>
      <c r="W344" t="s">
        <v>54</v>
      </c>
      <c r="X344" t="s">
        <v>54</v>
      </c>
      <c r="Y344" t="s">
        <v>54</v>
      </c>
      <c r="Z344" t="s">
        <v>54</v>
      </c>
      <c r="AA344" t="s">
        <v>54</v>
      </c>
      <c r="AB344" t="s">
        <v>54</v>
      </c>
      <c r="AC344" t="s">
        <v>54</v>
      </c>
      <c r="AD344" t="s">
        <v>54</v>
      </c>
      <c r="AE344" t="s">
        <v>54</v>
      </c>
      <c r="AF344" t="s">
        <v>54</v>
      </c>
      <c r="AG344" t="s">
        <v>54</v>
      </c>
      <c r="AH344" t="s">
        <v>54</v>
      </c>
      <c r="AI344" t="s">
        <v>54</v>
      </c>
      <c r="AJ344" t="s">
        <v>54</v>
      </c>
      <c r="AK344" t="s">
        <v>54</v>
      </c>
      <c r="AL344" t="s">
        <v>54</v>
      </c>
      <c r="AM344" t="s">
        <v>54</v>
      </c>
      <c r="AN344" t="s">
        <v>54</v>
      </c>
      <c r="AO344" t="s">
        <v>54</v>
      </c>
      <c r="AP344" t="s">
        <v>54</v>
      </c>
      <c r="AQ344" t="s">
        <v>54</v>
      </c>
    </row>
    <row r="345" spans="1:43" x14ac:dyDescent="0.25">
      <c r="A345" t="s">
        <v>3069</v>
      </c>
      <c r="B345">
        <v>163</v>
      </c>
      <c r="C345">
        <v>105</v>
      </c>
      <c r="D345" t="s">
        <v>3070</v>
      </c>
      <c r="E345" t="s">
        <v>2169</v>
      </c>
      <c r="F345" t="s">
        <v>307</v>
      </c>
      <c r="G345" t="s">
        <v>3071</v>
      </c>
      <c r="H345" t="s">
        <v>1011</v>
      </c>
      <c r="I345" t="s">
        <v>1010</v>
      </c>
      <c r="J345">
        <v>2</v>
      </c>
      <c r="K345">
        <v>1</v>
      </c>
      <c r="L345">
        <v>2</v>
      </c>
      <c r="M345" t="s">
        <v>1579</v>
      </c>
      <c r="N345">
        <v>82</v>
      </c>
      <c r="O345">
        <v>163</v>
      </c>
      <c r="P345">
        <v>8</v>
      </c>
      <c r="Q345" t="s">
        <v>1013</v>
      </c>
      <c r="R345" t="s">
        <v>1167</v>
      </c>
      <c r="S345">
        <v>23</v>
      </c>
      <c r="T345">
        <v>0</v>
      </c>
      <c r="U345" t="s">
        <v>52</v>
      </c>
      <c r="V345" t="s">
        <v>3072</v>
      </c>
      <c r="W345" t="s">
        <v>54</v>
      </c>
      <c r="X345" t="s">
        <v>54</v>
      </c>
      <c r="Y345" t="s">
        <v>54</v>
      </c>
      <c r="Z345" t="s">
        <v>54</v>
      </c>
      <c r="AA345" t="s">
        <v>54</v>
      </c>
      <c r="AB345" t="s">
        <v>54</v>
      </c>
      <c r="AC345" t="s">
        <v>54</v>
      </c>
      <c r="AD345" t="s">
        <v>54</v>
      </c>
      <c r="AE345" t="s">
        <v>54</v>
      </c>
      <c r="AF345" t="s">
        <v>54</v>
      </c>
      <c r="AG345" t="s">
        <v>54</v>
      </c>
      <c r="AH345" t="s">
        <v>54</v>
      </c>
      <c r="AI345" t="s">
        <v>54</v>
      </c>
      <c r="AJ345" t="s">
        <v>54</v>
      </c>
      <c r="AK345" t="s">
        <v>54</v>
      </c>
      <c r="AL345" t="s">
        <v>54</v>
      </c>
      <c r="AM345" t="s">
        <v>54</v>
      </c>
      <c r="AN345" t="s">
        <v>54</v>
      </c>
      <c r="AO345" t="s">
        <v>54</v>
      </c>
      <c r="AP345" t="s">
        <v>54</v>
      </c>
      <c r="AQ345" t="s">
        <v>54</v>
      </c>
    </row>
    <row r="346" spans="1:43" x14ac:dyDescent="0.25">
      <c r="A346" t="s">
        <v>3073</v>
      </c>
      <c r="B346">
        <v>259</v>
      </c>
      <c r="C346">
        <v>152</v>
      </c>
      <c r="D346" t="s">
        <v>3074</v>
      </c>
      <c r="E346" t="s">
        <v>3074</v>
      </c>
      <c r="F346" t="s">
        <v>3075</v>
      </c>
      <c r="G346" t="s">
        <v>3076</v>
      </c>
      <c r="H346" t="s">
        <v>3077</v>
      </c>
      <c r="I346" t="s">
        <v>3078</v>
      </c>
      <c r="J346">
        <v>6</v>
      </c>
      <c r="K346">
        <v>4</v>
      </c>
      <c r="L346">
        <v>5</v>
      </c>
      <c r="M346" t="s">
        <v>3079</v>
      </c>
      <c r="N346">
        <v>133</v>
      </c>
      <c r="O346">
        <v>260</v>
      </c>
      <c r="P346">
        <v>13</v>
      </c>
      <c r="Q346" t="s">
        <v>3080</v>
      </c>
      <c r="R346" t="s">
        <v>3081</v>
      </c>
      <c r="S346">
        <v>36</v>
      </c>
      <c r="T346">
        <v>0</v>
      </c>
      <c r="U346" t="s">
        <v>52</v>
      </c>
      <c r="V346" t="s">
        <v>3082</v>
      </c>
      <c r="W346" t="s">
        <v>54</v>
      </c>
      <c r="X346" t="s">
        <v>54</v>
      </c>
      <c r="Y346" t="s">
        <v>54</v>
      </c>
      <c r="Z346" t="s">
        <v>54</v>
      </c>
      <c r="AA346" t="s">
        <v>54</v>
      </c>
      <c r="AB346" t="s">
        <v>54</v>
      </c>
      <c r="AC346" t="s">
        <v>54</v>
      </c>
      <c r="AD346" t="s">
        <v>54</v>
      </c>
      <c r="AE346" t="s">
        <v>54</v>
      </c>
      <c r="AF346" t="s">
        <v>54</v>
      </c>
      <c r="AG346" t="s">
        <v>54</v>
      </c>
      <c r="AH346" t="s">
        <v>54</v>
      </c>
      <c r="AI346" t="s">
        <v>54</v>
      </c>
      <c r="AJ346" t="s">
        <v>54</v>
      </c>
      <c r="AK346" t="s">
        <v>54</v>
      </c>
      <c r="AL346" t="s">
        <v>54</v>
      </c>
      <c r="AM346" t="s">
        <v>54</v>
      </c>
      <c r="AN346" t="s">
        <v>54</v>
      </c>
      <c r="AO346" t="s">
        <v>54</v>
      </c>
      <c r="AP346" t="s">
        <v>54</v>
      </c>
      <c r="AQ346" t="s">
        <v>54</v>
      </c>
    </row>
    <row r="347" spans="1:43" x14ac:dyDescent="0.25">
      <c r="A347" t="s">
        <v>3083</v>
      </c>
      <c r="B347">
        <v>175</v>
      </c>
      <c r="C347">
        <v>120</v>
      </c>
      <c r="D347" t="s">
        <v>3084</v>
      </c>
      <c r="E347" t="s">
        <v>3085</v>
      </c>
      <c r="F347" t="s">
        <v>3086</v>
      </c>
      <c r="G347" t="s">
        <v>3087</v>
      </c>
      <c r="H347" t="s">
        <v>79</v>
      </c>
      <c r="I347" t="s">
        <v>52</v>
      </c>
      <c r="J347">
        <v>5</v>
      </c>
      <c r="K347">
        <v>0</v>
      </c>
      <c r="L347">
        <v>4</v>
      </c>
      <c r="M347" t="s">
        <v>3088</v>
      </c>
      <c r="N347">
        <v>89</v>
      </c>
      <c r="O347">
        <v>176</v>
      </c>
      <c r="P347">
        <v>4</v>
      </c>
      <c r="Q347" t="s">
        <v>3089</v>
      </c>
      <c r="R347" t="s">
        <v>2423</v>
      </c>
      <c r="S347">
        <v>29</v>
      </c>
      <c r="T347">
        <v>0</v>
      </c>
      <c r="U347" t="s">
        <v>52</v>
      </c>
      <c r="V347" t="s">
        <v>3090</v>
      </c>
      <c r="W347" t="s">
        <v>54</v>
      </c>
      <c r="X347" t="s">
        <v>54</v>
      </c>
      <c r="Y347" t="s">
        <v>54</v>
      </c>
      <c r="Z347" t="s">
        <v>54</v>
      </c>
      <c r="AA347" t="s">
        <v>54</v>
      </c>
      <c r="AB347" t="s">
        <v>54</v>
      </c>
      <c r="AC347" t="s">
        <v>54</v>
      </c>
      <c r="AD347" t="s">
        <v>54</v>
      </c>
      <c r="AE347" t="s">
        <v>54</v>
      </c>
      <c r="AF347" t="s">
        <v>54</v>
      </c>
      <c r="AG347" t="s">
        <v>54</v>
      </c>
      <c r="AH347" t="s">
        <v>54</v>
      </c>
      <c r="AI347" t="s">
        <v>54</v>
      </c>
      <c r="AJ347" t="s">
        <v>54</v>
      </c>
      <c r="AK347" t="s">
        <v>54</v>
      </c>
      <c r="AL347" t="s">
        <v>54</v>
      </c>
      <c r="AM347" t="s">
        <v>54</v>
      </c>
      <c r="AN347" t="s">
        <v>54</v>
      </c>
      <c r="AO347" t="s">
        <v>54</v>
      </c>
      <c r="AP347" t="s">
        <v>54</v>
      </c>
      <c r="AQ347" t="s">
        <v>54</v>
      </c>
    </row>
    <row r="348" spans="1:43" x14ac:dyDescent="0.25">
      <c r="A348" t="s">
        <v>3091</v>
      </c>
      <c r="B348">
        <v>181</v>
      </c>
      <c r="C348">
        <v>134</v>
      </c>
      <c r="D348" t="s">
        <v>3092</v>
      </c>
      <c r="E348" t="s">
        <v>3093</v>
      </c>
      <c r="F348" t="s">
        <v>2519</v>
      </c>
      <c r="G348" t="s">
        <v>3094</v>
      </c>
      <c r="H348" t="s">
        <v>1855</v>
      </c>
      <c r="I348" t="s">
        <v>3095</v>
      </c>
      <c r="J348">
        <v>1</v>
      </c>
      <c r="K348">
        <v>4</v>
      </c>
      <c r="L348">
        <v>2</v>
      </c>
      <c r="M348" t="s">
        <v>3096</v>
      </c>
      <c r="N348">
        <v>97</v>
      </c>
      <c r="O348">
        <v>181</v>
      </c>
      <c r="P348">
        <v>8</v>
      </c>
      <c r="Q348" t="s">
        <v>3097</v>
      </c>
      <c r="R348" t="s">
        <v>783</v>
      </c>
      <c r="S348">
        <v>25</v>
      </c>
      <c r="T348">
        <v>0</v>
      </c>
      <c r="U348" t="s">
        <v>52</v>
      </c>
      <c r="V348" t="s">
        <v>3098</v>
      </c>
      <c r="W348" t="s">
        <v>54</v>
      </c>
      <c r="X348" t="s">
        <v>54</v>
      </c>
      <c r="Y348" t="s">
        <v>54</v>
      </c>
      <c r="Z348" t="s">
        <v>54</v>
      </c>
      <c r="AA348" t="s">
        <v>54</v>
      </c>
      <c r="AB348" t="s">
        <v>54</v>
      </c>
      <c r="AC348" t="s">
        <v>54</v>
      </c>
      <c r="AD348" t="s">
        <v>54</v>
      </c>
      <c r="AE348" t="s">
        <v>54</v>
      </c>
      <c r="AF348" t="s">
        <v>54</v>
      </c>
      <c r="AG348" t="s">
        <v>54</v>
      </c>
      <c r="AH348" t="s">
        <v>54</v>
      </c>
      <c r="AI348" t="s">
        <v>54</v>
      </c>
      <c r="AJ348" t="s">
        <v>54</v>
      </c>
      <c r="AK348" t="s">
        <v>54</v>
      </c>
      <c r="AL348" t="s">
        <v>54</v>
      </c>
      <c r="AM348" t="s">
        <v>54</v>
      </c>
      <c r="AN348" t="s">
        <v>54</v>
      </c>
      <c r="AO348" t="s">
        <v>54</v>
      </c>
      <c r="AP348" t="s">
        <v>54</v>
      </c>
      <c r="AQ348" t="s">
        <v>54</v>
      </c>
    </row>
    <row r="349" spans="1:43" x14ac:dyDescent="0.25">
      <c r="A349" t="s">
        <v>3099</v>
      </c>
      <c r="B349">
        <v>151</v>
      </c>
      <c r="C349">
        <v>104</v>
      </c>
      <c r="D349" t="s">
        <v>3100</v>
      </c>
      <c r="E349" t="s">
        <v>3101</v>
      </c>
      <c r="F349" t="s">
        <v>2279</v>
      </c>
      <c r="G349" t="s">
        <v>3102</v>
      </c>
      <c r="H349" t="s">
        <v>52</v>
      </c>
      <c r="I349" t="s">
        <v>52</v>
      </c>
      <c r="J349">
        <v>0</v>
      </c>
      <c r="K349">
        <v>0</v>
      </c>
      <c r="L349">
        <v>1</v>
      </c>
      <c r="M349" t="s">
        <v>3103</v>
      </c>
      <c r="N349">
        <v>90</v>
      </c>
      <c r="O349">
        <v>151</v>
      </c>
      <c r="P349">
        <v>10</v>
      </c>
      <c r="Q349" t="s">
        <v>3104</v>
      </c>
      <c r="R349" t="s">
        <v>201</v>
      </c>
      <c r="S349">
        <v>6</v>
      </c>
      <c r="T349">
        <v>0</v>
      </c>
      <c r="U349" t="s">
        <v>52</v>
      </c>
      <c r="V349" t="s">
        <v>3105</v>
      </c>
      <c r="W349" t="s">
        <v>54</v>
      </c>
      <c r="X349" t="s">
        <v>54</v>
      </c>
      <c r="Y349" t="s">
        <v>54</v>
      </c>
      <c r="Z349" t="s">
        <v>54</v>
      </c>
      <c r="AA349" t="s">
        <v>54</v>
      </c>
      <c r="AB349" t="s">
        <v>54</v>
      </c>
      <c r="AC349" t="s">
        <v>54</v>
      </c>
      <c r="AD349" t="s">
        <v>54</v>
      </c>
      <c r="AE349" t="s">
        <v>54</v>
      </c>
      <c r="AF349" t="s">
        <v>54</v>
      </c>
      <c r="AG349" t="s">
        <v>54</v>
      </c>
      <c r="AH349" t="s">
        <v>54</v>
      </c>
      <c r="AI349" t="s">
        <v>54</v>
      </c>
      <c r="AJ349" t="s">
        <v>54</v>
      </c>
      <c r="AK349" t="s">
        <v>54</v>
      </c>
      <c r="AL349" t="s">
        <v>54</v>
      </c>
      <c r="AM349" t="s">
        <v>54</v>
      </c>
      <c r="AN349" t="s">
        <v>54</v>
      </c>
      <c r="AO349" t="s">
        <v>54</v>
      </c>
      <c r="AP349" t="s">
        <v>54</v>
      </c>
      <c r="AQ349" t="s">
        <v>54</v>
      </c>
    </row>
    <row r="350" spans="1:43" x14ac:dyDescent="0.25">
      <c r="A350" t="s">
        <v>3106</v>
      </c>
      <c r="B350">
        <v>115</v>
      </c>
      <c r="C350">
        <v>89</v>
      </c>
      <c r="D350" t="s">
        <v>3107</v>
      </c>
      <c r="E350" t="s">
        <v>3108</v>
      </c>
      <c r="F350" t="s">
        <v>3109</v>
      </c>
      <c r="G350" t="s">
        <v>3110</v>
      </c>
      <c r="H350" t="s">
        <v>90</v>
      </c>
      <c r="I350" t="s">
        <v>1787</v>
      </c>
      <c r="J350">
        <v>4</v>
      </c>
      <c r="K350">
        <v>5</v>
      </c>
      <c r="L350">
        <v>4</v>
      </c>
      <c r="M350" t="s">
        <v>3111</v>
      </c>
      <c r="N350">
        <v>68</v>
      </c>
      <c r="O350">
        <v>116</v>
      </c>
      <c r="P350">
        <v>15</v>
      </c>
      <c r="Q350" t="s">
        <v>3112</v>
      </c>
      <c r="R350" t="s">
        <v>1531</v>
      </c>
      <c r="S350">
        <v>14</v>
      </c>
      <c r="T350">
        <v>0</v>
      </c>
      <c r="U350" t="s">
        <v>52</v>
      </c>
      <c r="V350" t="s">
        <v>3113</v>
      </c>
      <c r="W350" t="s">
        <v>54</v>
      </c>
      <c r="X350" t="s">
        <v>54</v>
      </c>
      <c r="Y350" t="s">
        <v>54</v>
      </c>
      <c r="Z350" t="s">
        <v>54</v>
      </c>
      <c r="AA350" t="s">
        <v>54</v>
      </c>
      <c r="AB350" t="s">
        <v>54</v>
      </c>
      <c r="AC350" t="s">
        <v>54</v>
      </c>
      <c r="AD350" t="s">
        <v>54</v>
      </c>
      <c r="AE350" t="s">
        <v>54</v>
      </c>
      <c r="AF350" t="s">
        <v>54</v>
      </c>
      <c r="AG350" t="s">
        <v>54</v>
      </c>
      <c r="AH350" t="s">
        <v>54</v>
      </c>
      <c r="AI350" t="s">
        <v>54</v>
      </c>
      <c r="AJ350" t="s">
        <v>54</v>
      </c>
      <c r="AK350" t="s">
        <v>54</v>
      </c>
      <c r="AL350" t="s">
        <v>54</v>
      </c>
      <c r="AM350" t="s">
        <v>54</v>
      </c>
      <c r="AN350" t="s">
        <v>54</v>
      </c>
      <c r="AO350" t="s">
        <v>54</v>
      </c>
      <c r="AP350" t="s">
        <v>54</v>
      </c>
      <c r="AQ350" t="s">
        <v>54</v>
      </c>
    </row>
    <row r="351" spans="1:43" x14ac:dyDescent="0.25">
      <c r="A351" t="s">
        <v>3114</v>
      </c>
      <c r="B351">
        <v>136</v>
      </c>
      <c r="C351">
        <v>89</v>
      </c>
      <c r="D351" t="s">
        <v>3115</v>
      </c>
      <c r="E351" t="s">
        <v>2388</v>
      </c>
      <c r="F351" t="s">
        <v>3116</v>
      </c>
      <c r="G351" t="s">
        <v>3117</v>
      </c>
      <c r="H351" t="s">
        <v>475</v>
      </c>
      <c r="I351" t="s">
        <v>3118</v>
      </c>
      <c r="J351">
        <v>2</v>
      </c>
      <c r="K351">
        <v>4</v>
      </c>
      <c r="L351">
        <v>4</v>
      </c>
      <c r="M351" t="s">
        <v>3119</v>
      </c>
      <c r="N351">
        <v>74</v>
      </c>
      <c r="O351">
        <v>136</v>
      </c>
      <c r="P351">
        <v>9</v>
      </c>
      <c r="Q351" t="s">
        <v>3120</v>
      </c>
      <c r="R351" t="s">
        <v>790</v>
      </c>
      <c r="S351">
        <v>20</v>
      </c>
      <c r="T351">
        <v>0</v>
      </c>
      <c r="U351" t="s">
        <v>52</v>
      </c>
      <c r="V351" t="s">
        <v>3121</v>
      </c>
      <c r="W351" t="s">
        <v>54</v>
      </c>
      <c r="X351" t="s">
        <v>54</v>
      </c>
      <c r="Y351" t="s">
        <v>54</v>
      </c>
      <c r="Z351" t="s">
        <v>54</v>
      </c>
      <c r="AA351" t="s">
        <v>54</v>
      </c>
      <c r="AB351" t="s">
        <v>54</v>
      </c>
      <c r="AC351" t="s">
        <v>54</v>
      </c>
      <c r="AD351" t="s">
        <v>54</v>
      </c>
      <c r="AE351" t="s">
        <v>54</v>
      </c>
      <c r="AF351" t="s">
        <v>54</v>
      </c>
      <c r="AG351" t="s">
        <v>54</v>
      </c>
      <c r="AH351" t="s">
        <v>54</v>
      </c>
      <c r="AI351" t="s">
        <v>54</v>
      </c>
      <c r="AJ351" t="s">
        <v>54</v>
      </c>
      <c r="AK351" t="s">
        <v>54</v>
      </c>
      <c r="AL351" t="s">
        <v>54</v>
      </c>
      <c r="AM351" t="s">
        <v>54</v>
      </c>
      <c r="AN351" t="s">
        <v>54</v>
      </c>
      <c r="AO351" t="s">
        <v>54</v>
      </c>
      <c r="AP351" t="s">
        <v>54</v>
      </c>
      <c r="AQ351" t="s">
        <v>54</v>
      </c>
    </row>
    <row r="352" spans="1:43" x14ac:dyDescent="0.25">
      <c r="A352" t="s">
        <v>3122</v>
      </c>
      <c r="B352">
        <v>154</v>
      </c>
      <c r="C352">
        <v>112</v>
      </c>
      <c r="D352" t="s">
        <v>340</v>
      </c>
      <c r="E352" t="s">
        <v>140</v>
      </c>
      <c r="F352" t="s">
        <v>265</v>
      </c>
      <c r="G352" t="s">
        <v>3123</v>
      </c>
      <c r="H352" t="s">
        <v>259</v>
      </c>
      <c r="I352" t="s">
        <v>249</v>
      </c>
      <c r="J352">
        <v>2</v>
      </c>
      <c r="K352">
        <v>1</v>
      </c>
      <c r="L352">
        <v>4</v>
      </c>
      <c r="M352" t="s">
        <v>3124</v>
      </c>
      <c r="N352">
        <v>93</v>
      </c>
      <c r="O352">
        <v>154</v>
      </c>
      <c r="P352">
        <v>11</v>
      </c>
      <c r="Q352" t="s">
        <v>261</v>
      </c>
      <c r="R352" t="s">
        <v>3125</v>
      </c>
      <c r="S352">
        <v>17</v>
      </c>
      <c r="T352">
        <v>0</v>
      </c>
      <c r="U352" t="s">
        <v>52</v>
      </c>
      <c r="V352" t="s">
        <v>3126</v>
      </c>
      <c r="W352" t="s">
        <v>54</v>
      </c>
      <c r="X352" t="s">
        <v>54</v>
      </c>
      <c r="Y352" t="s">
        <v>54</v>
      </c>
      <c r="Z352" t="s">
        <v>54</v>
      </c>
      <c r="AA352" t="s">
        <v>54</v>
      </c>
      <c r="AB352" t="s">
        <v>54</v>
      </c>
      <c r="AC352" t="s">
        <v>54</v>
      </c>
      <c r="AD352" t="s">
        <v>54</v>
      </c>
      <c r="AE352" t="s">
        <v>54</v>
      </c>
      <c r="AF352" t="s">
        <v>54</v>
      </c>
      <c r="AG352" t="s">
        <v>54</v>
      </c>
      <c r="AH352" t="s">
        <v>54</v>
      </c>
      <c r="AI352" t="s">
        <v>54</v>
      </c>
      <c r="AJ352" t="s">
        <v>54</v>
      </c>
      <c r="AK352" t="s">
        <v>54</v>
      </c>
      <c r="AL352" t="s">
        <v>54</v>
      </c>
      <c r="AM352" t="s">
        <v>54</v>
      </c>
      <c r="AN352" t="s">
        <v>54</v>
      </c>
      <c r="AO352" t="s">
        <v>54</v>
      </c>
      <c r="AP352" t="s">
        <v>54</v>
      </c>
      <c r="AQ352" t="s">
        <v>54</v>
      </c>
    </row>
    <row r="353" spans="1:43" x14ac:dyDescent="0.25">
      <c r="A353" t="s">
        <v>3127</v>
      </c>
      <c r="B353">
        <v>216</v>
      </c>
      <c r="C353">
        <v>156</v>
      </c>
      <c r="D353" t="s">
        <v>975</v>
      </c>
      <c r="E353" t="s">
        <v>3128</v>
      </c>
      <c r="F353" t="s">
        <v>3129</v>
      </c>
      <c r="G353" t="s">
        <v>3130</v>
      </c>
      <c r="H353" t="s">
        <v>3131</v>
      </c>
      <c r="I353" t="s">
        <v>714</v>
      </c>
      <c r="J353">
        <v>2</v>
      </c>
      <c r="K353">
        <v>3</v>
      </c>
      <c r="L353">
        <v>3</v>
      </c>
      <c r="M353" t="s">
        <v>3132</v>
      </c>
      <c r="N353">
        <v>130</v>
      </c>
      <c r="O353">
        <v>215</v>
      </c>
      <c r="P353">
        <v>7</v>
      </c>
      <c r="Q353" t="s">
        <v>3133</v>
      </c>
      <c r="R353" t="s">
        <v>3134</v>
      </c>
      <c r="S353">
        <v>31</v>
      </c>
      <c r="T353">
        <v>0</v>
      </c>
      <c r="U353" t="s">
        <v>52</v>
      </c>
      <c r="V353" t="s">
        <v>3135</v>
      </c>
      <c r="W353" t="s">
        <v>54</v>
      </c>
      <c r="X353" t="s">
        <v>54</v>
      </c>
      <c r="Y353" t="s">
        <v>54</v>
      </c>
      <c r="Z353" t="s">
        <v>54</v>
      </c>
      <c r="AA353" t="s">
        <v>54</v>
      </c>
      <c r="AB353" t="s">
        <v>54</v>
      </c>
      <c r="AC353" t="s">
        <v>54</v>
      </c>
      <c r="AD353" t="s">
        <v>54</v>
      </c>
      <c r="AE353" t="s">
        <v>54</v>
      </c>
      <c r="AF353" t="s">
        <v>54</v>
      </c>
      <c r="AG353" t="s">
        <v>54</v>
      </c>
      <c r="AH353" t="s">
        <v>54</v>
      </c>
      <c r="AI353" t="s">
        <v>54</v>
      </c>
      <c r="AJ353" t="s">
        <v>54</v>
      </c>
      <c r="AK353" t="s">
        <v>54</v>
      </c>
      <c r="AL353" t="s">
        <v>54</v>
      </c>
      <c r="AM353" t="s">
        <v>54</v>
      </c>
      <c r="AN353" t="s">
        <v>54</v>
      </c>
      <c r="AO353" t="s">
        <v>54</v>
      </c>
      <c r="AP353" t="s">
        <v>54</v>
      </c>
      <c r="AQ353" t="s">
        <v>54</v>
      </c>
    </row>
    <row r="354" spans="1:43" x14ac:dyDescent="0.25">
      <c r="A354" t="s">
        <v>3136</v>
      </c>
      <c r="B354">
        <v>142</v>
      </c>
      <c r="C354">
        <v>96</v>
      </c>
      <c r="D354" t="s">
        <v>3137</v>
      </c>
      <c r="E354" t="s">
        <v>3138</v>
      </c>
      <c r="F354" t="s">
        <v>3139</v>
      </c>
      <c r="G354" t="s">
        <v>3140</v>
      </c>
      <c r="H354" t="s">
        <v>52</v>
      </c>
      <c r="I354" t="s">
        <v>704</v>
      </c>
      <c r="J354">
        <v>0</v>
      </c>
      <c r="K354">
        <v>2</v>
      </c>
      <c r="L354">
        <v>2</v>
      </c>
      <c r="M354" t="s">
        <v>3141</v>
      </c>
      <c r="N354">
        <v>91</v>
      </c>
      <c r="O354">
        <v>142</v>
      </c>
      <c r="P354">
        <v>16</v>
      </c>
      <c r="Q354" t="s">
        <v>3142</v>
      </c>
      <c r="R354" t="s">
        <v>1094</v>
      </c>
      <c r="S354">
        <v>10</v>
      </c>
      <c r="T354">
        <v>0</v>
      </c>
      <c r="U354" t="s">
        <v>52</v>
      </c>
      <c r="V354" t="s">
        <v>3143</v>
      </c>
      <c r="W354" t="s">
        <v>54</v>
      </c>
      <c r="X354" t="s">
        <v>54</v>
      </c>
      <c r="Y354" t="s">
        <v>54</v>
      </c>
      <c r="Z354" t="s">
        <v>54</v>
      </c>
      <c r="AA354" t="s">
        <v>54</v>
      </c>
      <c r="AB354" t="s">
        <v>54</v>
      </c>
      <c r="AC354" t="s">
        <v>54</v>
      </c>
      <c r="AD354" t="s">
        <v>54</v>
      </c>
      <c r="AE354" t="s">
        <v>54</v>
      </c>
      <c r="AF354" t="s">
        <v>54</v>
      </c>
      <c r="AG354" t="s">
        <v>54</v>
      </c>
      <c r="AH354" t="s">
        <v>54</v>
      </c>
      <c r="AI354" t="s">
        <v>54</v>
      </c>
      <c r="AJ354" t="s">
        <v>54</v>
      </c>
      <c r="AK354" t="s">
        <v>54</v>
      </c>
      <c r="AL354" t="s">
        <v>54</v>
      </c>
      <c r="AM354" t="s">
        <v>54</v>
      </c>
      <c r="AN354" t="s">
        <v>54</v>
      </c>
      <c r="AO354" t="s">
        <v>54</v>
      </c>
      <c r="AP354" t="s">
        <v>54</v>
      </c>
      <c r="AQ354" t="s">
        <v>54</v>
      </c>
    </row>
    <row r="355" spans="1:43" x14ac:dyDescent="0.25">
      <c r="A355" t="s">
        <v>3144</v>
      </c>
      <c r="B355">
        <v>140</v>
      </c>
      <c r="C355">
        <v>99</v>
      </c>
      <c r="D355" t="s">
        <v>3145</v>
      </c>
      <c r="E355" t="s">
        <v>2411</v>
      </c>
      <c r="F355" t="s">
        <v>1276</v>
      </c>
      <c r="G355" t="s">
        <v>3146</v>
      </c>
      <c r="H355" t="s">
        <v>52</v>
      </c>
      <c r="I355" t="s">
        <v>2716</v>
      </c>
      <c r="J355">
        <v>0</v>
      </c>
      <c r="K355">
        <v>2</v>
      </c>
      <c r="L355">
        <v>4</v>
      </c>
      <c r="M355" t="s">
        <v>3147</v>
      </c>
      <c r="N355">
        <v>79</v>
      </c>
      <c r="O355">
        <v>140</v>
      </c>
      <c r="P355">
        <v>14</v>
      </c>
      <c r="Q355" t="s">
        <v>638</v>
      </c>
      <c r="R355" t="s">
        <v>1323</v>
      </c>
      <c r="S355">
        <v>15</v>
      </c>
      <c r="T355">
        <v>0</v>
      </c>
      <c r="U355" t="s">
        <v>52</v>
      </c>
      <c r="V355" t="s">
        <v>3148</v>
      </c>
      <c r="W355" t="s">
        <v>54</v>
      </c>
      <c r="X355" t="s">
        <v>54</v>
      </c>
      <c r="Y355" t="s">
        <v>54</v>
      </c>
      <c r="Z355" t="s">
        <v>54</v>
      </c>
      <c r="AA355" t="s">
        <v>54</v>
      </c>
      <c r="AB355" t="s">
        <v>54</v>
      </c>
      <c r="AC355" t="s">
        <v>54</v>
      </c>
      <c r="AD355" t="s">
        <v>54</v>
      </c>
      <c r="AE355" t="s">
        <v>54</v>
      </c>
      <c r="AF355" t="s">
        <v>54</v>
      </c>
      <c r="AG355" t="s">
        <v>54</v>
      </c>
      <c r="AH355" t="s">
        <v>54</v>
      </c>
      <c r="AI355" t="s">
        <v>54</v>
      </c>
      <c r="AJ355" t="s">
        <v>54</v>
      </c>
      <c r="AK355" t="s">
        <v>54</v>
      </c>
      <c r="AL355" t="s">
        <v>54</v>
      </c>
      <c r="AM355" t="s">
        <v>54</v>
      </c>
      <c r="AN355" t="s">
        <v>54</v>
      </c>
      <c r="AO355" t="s">
        <v>54</v>
      </c>
      <c r="AP355" t="s">
        <v>54</v>
      </c>
      <c r="AQ355" t="s">
        <v>54</v>
      </c>
    </row>
    <row r="356" spans="1:43" x14ac:dyDescent="0.25">
      <c r="A356" t="s">
        <v>3149</v>
      </c>
      <c r="B356">
        <v>124</v>
      </c>
      <c r="C356">
        <v>93</v>
      </c>
      <c r="D356" t="s">
        <v>720</v>
      </c>
      <c r="E356" t="s">
        <v>3150</v>
      </c>
      <c r="F356" t="s">
        <v>380</v>
      </c>
      <c r="G356" t="s">
        <v>3151</v>
      </c>
      <c r="H356" t="s">
        <v>52</v>
      </c>
      <c r="I356" t="s">
        <v>384</v>
      </c>
      <c r="J356">
        <v>0</v>
      </c>
      <c r="K356">
        <v>2</v>
      </c>
      <c r="L356">
        <v>2</v>
      </c>
      <c r="M356" t="s">
        <v>3152</v>
      </c>
      <c r="N356">
        <v>74</v>
      </c>
      <c r="O356">
        <v>125</v>
      </c>
      <c r="P356">
        <v>7</v>
      </c>
      <c r="Q356" t="s">
        <v>3153</v>
      </c>
      <c r="R356" t="s">
        <v>252</v>
      </c>
      <c r="S356">
        <v>10</v>
      </c>
      <c r="T356">
        <v>0</v>
      </c>
      <c r="U356" t="s">
        <v>52</v>
      </c>
      <c r="V356" t="s">
        <v>3154</v>
      </c>
      <c r="W356" t="s">
        <v>54</v>
      </c>
      <c r="X356" t="s">
        <v>54</v>
      </c>
      <c r="Y356" t="s">
        <v>54</v>
      </c>
      <c r="Z356" t="s">
        <v>54</v>
      </c>
      <c r="AA356" t="s">
        <v>54</v>
      </c>
      <c r="AB356" t="s">
        <v>54</v>
      </c>
      <c r="AC356" t="s">
        <v>54</v>
      </c>
      <c r="AD356" t="s">
        <v>54</v>
      </c>
      <c r="AE356" t="s">
        <v>54</v>
      </c>
      <c r="AF356" t="s">
        <v>54</v>
      </c>
      <c r="AG356" t="s">
        <v>54</v>
      </c>
      <c r="AH356" t="s">
        <v>54</v>
      </c>
      <c r="AI356" t="s">
        <v>54</v>
      </c>
      <c r="AJ356" t="s">
        <v>54</v>
      </c>
      <c r="AK356" t="s">
        <v>54</v>
      </c>
      <c r="AL356" t="s">
        <v>54</v>
      </c>
      <c r="AM356" t="s">
        <v>54</v>
      </c>
      <c r="AN356" t="s">
        <v>54</v>
      </c>
      <c r="AO356" t="s">
        <v>54</v>
      </c>
      <c r="AP356" t="s">
        <v>54</v>
      </c>
      <c r="AQ356" t="s">
        <v>54</v>
      </c>
    </row>
    <row r="357" spans="1:43" x14ac:dyDescent="0.25">
      <c r="A357" t="s">
        <v>3155</v>
      </c>
      <c r="B357">
        <v>143</v>
      </c>
      <c r="C357">
        <v>84</v>
      </c>
      <c r="D357" t="s">
        <v>507</v>
      </c>
      <c r="E357" t="s">
        <v>1260</v>
      </c>
      <c r="F357" t="s">
        <v>968</v>
      </c>
      <c r="G357" t="s">
        <v>3156</v>
      </c>
      <c r="H357" t="s">
        <v>3157</v>
      </c>
      <c r="I357" t="s">
        <v>3158</v>
      </c>
      <c r="J357">
        <v>4</v>
      </c>
      <c r="K357">
        <v>2</v>
      </c>
      <c r="L357">
        <v>3</v>
      </c>
      <c r="M357" t="s">
        <v>3159</v>
      </c>
      <c r="N357">
        <v>62</v>
      </c>
      <c r="O357">
        <v>145</v>
      </c>
      <c r="P357">
        <v>9</v>
      </c>
      <c r="Q357" t="s">
        <v>3160</v>
      </c>
      <c r="R357" t="s">
        <v>3161</v>
      </c>
      <c r="S357">
        <v>30</v>
      </c>
      <c r="T357">
        <v>0</v>
      </c>
      <c r="U357" t="s">
        <v>52</v>
      </c>
      <c r="V357" t="s">
        <v>3162</v>
      </c>
      <c r="W357" t="s">
        <v>54</v>
      </c>
      <c r="X357" t="s">
        <v>54</v>
      </c>
      <c r="Y357" t="s">
        <v>54</v>
      </c>
      <c r="Z357" t="s">
        <v>54</v>
      </c>
      <c r="AA357" t="s">
        <v>54</v>
      </c>
      <c r="AB357" t="s">
        <v>54</v>
      </c>
      <c r="AC357" t="s">
        <v>54</v>
      </c>
      <c r="AD357" t="s">
        <v>54</v>
      </c>
      <c r="AE357" t="s">
        <v>54</v>
      </c>
      <c r="AF357" t="s">
        <v>54</v>
      </c>
      <c r="AG357" t="s">
        <v>54</v>
      </c>
      <c r="AH357" t="s">
        <v>54</v>
      </c>
      <c r="AI357" t="s">
        <v>54</v>
      </c>
      <c r="AJ357" t="s">
        <v>54</v>
      </c>
      <c r="AK357" t="s">
        <v>54</v>
      </c>
      <c r="AL357" t="s">
        <v>54</v>
      </c>
      <c r="AM357" t="s">
        <v>54</v>
      </c>
      <c r="AN357" t="s">
        <v>54</v>
      </c>
      <c r="AO357" t="s">
        <v>54</v>
      </c>
      <c r="AP357" t="s">
        <v>54</v>
      </c>
      <c r="AQ357" t="s">
        <v>54</v>
      </c>
    </row>
    <row r="358" spans="1:43" x14ac:dyDescent="0.25">
      <c r="A358" t="s">
        <v>3163</v>
      </c>
      <c r="B358">
        <v>139</v>
      </c>
      <c r="C358">
        <v>103</v>
      </c>
      <c r="D358" t="s">
        <v>3164</v>
      </c>
      <c r="E358" t="s">
        <v>3165</v>
      </c>
      <c r="F358" t="s">
        <v>702</v>
      </c>
      <c r="G358" t="s">
        <v>3166</v>
      </c>
      <c r="H358" t="s">
        <v>3167</v>
      </c>
      <c r="I358" t="s">
        <v>3168</v>
      </c>
      <c r="J358">
        <v>1</v>
      </c>
      <c r="K358">
        <v>2</v>
      </c>
      <c r="L358">
        <v>3</v>
      </c>
      <c r="M358" t="s">
        <v>3169</v>
      </c>
      <c r="N358">
        <v>89</v>
      </c>
      <c r="O358">
        <v>139</v>
      </c>
      <c r="P358">
        <v>8</v>
      </c>
      <c r="Q358" t="s">
        <v>3170</v>
      </c>
      <c r="R358" t="s">
        <v>366</v>
      </c>
      <c r="S358">
        <v>8</v>
      </c>
      <c r="T358">
        <v>0</v>
      </c>
      <c r="U358" t="s">
        <v>52</v>
      </c>
      <c r="V358" t="s">
        <v>3171</v>
      </c>
      <c r="W358" t="s">
        <v>54</v>
      </c>
      <c r="X358" t="s">
        <v>54</v>
      </c>
      <c r="Y358" t="s">
        <v>54</v>
      </c>
      <c r="Z358" t="s">
        <v>54</v>
      </c>
      <c r="AA358" t="s">
        <v>54</v>
      </c>
      <c r="AB358" t="s">
        <v>54</v>
      </c>
      <c r="AC358" t="s">
        <v>54</v>
      </c>
      <c r="AD358" t="s">
        <v>54</v>
      </c>
      <c r="AE358" t="s">
        <v>54</v>
      </c>
      <c r="AF358" t="s">
        <v>54</v>
      </c>
      <c r="AG358" t="s">
        <v>54</v>
      </c>
      <c r="AH358" t="s">
        <v>54</v>
      </c>
      <c r="AI358" t="s">
        <v>54</v>
      </c>
      <c r="AJ358" t="s">
        <v>54</v>
      </c>
      <c r="AK358" t="s">
        <v>54</v>
      </c>
      <c r="AL358" t="s">
        <v>54</v>
      </c>
      <c r="AM358" t="s">
        <v>54</v>
      </c>
      <c r="AN358" t="s">
        <v>54</v>
      </c>
      <c r="AO358" t="s">
        <v>54</v>
      </c>
      <c r="AP358" t="s">
        <v>54</v>
      </c>
      <c r="AQ358" t="s">
        <v>54</v>
      </c>
    </row>
    <row r="359" spans="1:43" x14ac:dyDescent="0.25">
      <c r="A359" t="s">
        <v>3172</v>
      </c>
      <c r="B359">
        <v>207</v>
      </c>
      <c r="C359">
        <v>132</v>
      </c>
      <c r="D359" t="s">
        <v>602</v>
      </c>
      <c r="E359" t="s">
        <v>3173</v>
      </c>
      <c r="F359" t="s">
        <v>3174</v>
      </c>
      <c r="G359" t="s">
        <v>3175</v>
      </c>
      <c r="H359" t="s">
        <v>52</v>
      </c>
      <c r="I359" t="s">
        <v>3176</v>
      </c>
      <c r="J359">
        <v>0</v>
      </c>
      <c r="K359">
        <v>1</v>
      </c>
      <c r="L359">
        <v>3</v>
      </c>
      <c r="M359" t="s">
        <v>1243</v>
      </c>
      <c r="N359">
        <v>115</v>
      </c>
      <c r="O359">
        <v>207</v>
      </c>
      <c r="P359">
        <v>18</v>
      </c>
      <c r="Q359" t="s">
        <v>1175</v>
      </c>
      <c r="R359" t="s">
        <v>1243</v>
      </c>
      <c r="S359">
        <v>10</v>
      </c>
      <c r="T359">
        <v>0</v>
      </c>
      <c r="U359" t="s">
        <v>52</v>
      </c>
      <c r="V359" t="s">
        <v>3177</v>
      </c>
      <c r="W359" t="s">
        <v>54</v>
      </c>
      <c r="X359" t="s">
        <v>54</v>
      </c>
      <c r="Y359" t="s">
        <v>54</v>
      </c>
      <c r="Z359" t="s">
        <v>54</v>
      </c>
      <c r="AA359" t="s">
        <v>54</v>
      </c>
      <c r="AB359" t="s">
        <v>54</v>
      </c>
      <c r="AC359" t="s">
        <v>54</v>
      </c>
      <c r="AD359" t="s">
        <v>54</v>
      </c>
      <c r="AE359" t="s">
        <v>54</v>
      </c>
      <c r="AF359" t="s">
        <v>54</v>
      </c>
      <c r="AG359" t="s">
        <v>54</v>
      </c>
      <c r="AH359" t="s">
        <v>54</v>
      </c>
      <c r="AI359" t="s">
        <v>54</v>
      </c>
      <c r="AJ359" t="s">
        <v>54</v>
      </c>
      <c r="AK359" t="s">
        <v>54</v>
      </c>
      <c r="AL359" t="s">
        <v>54</v>
      </c>
      <c r="AM359" t="s">
        <v>54</v>
      </c>
      <c r="AN359" t="s">
        <v>54</v>
      </c>
      <c r="AO359" t="s">
        <v>54</v>
      </c>
      <c r="AP359" t="s">
        <v>54</v>
      </c>
      <c r="AQ359" t="s">
        <v>54</v>
      </c>
    </row>
    <row r="360" spans="1:43" x14ac:dyDescent="0.25">
      <c r="A360" t="s">
        <v>3178</v>
      </c>
      <c r="B360">
        <v>134</v>
      </c>
      <c r="C360">
        <v>90</v>
      </c>
      <c r="D360" t="s">
        <v>3179</v>
      </c>
      <c r="E360" t="s">
        <v>3180</v>
      </c>
      <c r="F360" t="s">
        <v>160</v>
      </c>
      <c r="G360" t="s">
        <v>3181</v>
      </c>
      <c r="H360" t="s">
        <v>52</v>
      </c>
      <c r="I360" t="s">
        <v>52</v>
      </c>
      <c r="J360">
        <v>0</v>
      </c>
      <c r="K360">
        <v>0</v>
      </c>
      <c r="L360">
        <v>3</v>
      </c>
      <c r="M360" t="s">
        <v>3182</v>
      </c>
      <c r="N360">
        <v>86</v>
      </c>
      <c r="O360">
        <v>136</v>
      </c>
      <c r="P360">
        <v>12</v>
      </c>
      <c r="Q360" t="s">
        <v>3183</v>
      </c>
      <c r="R360" t="s">
        <v>1761</v>
      </c>
      <c r="S360">
        <v>13</v>
      </c>
      <c r="T360">
        <v>0</v>
      </c>
      <c r="U360" t="s">
        <v>52</v>
      </c>
      <c r="V360" t="s">
        <v>3184</v>
      </c>
      <c r="W360" t="s">
        <v>54</v>
      </c>
      <c r="X360" t="s">
        <v>54</v>
      </c>
      <c r="Y360" t="s">
        <v>54</v>
      </c>
      <c r="Z360" t="s">
        <v>54</v>
      </c>
      <c r="AA360" t="s">
        <v>54</v>
      </c>
      <c r="AB360" t="s">
        <v>54</v>
      </c>
      <c r="AC360" t="s">
        <v>54</v>
      </c>
      <c r="AD360" t="s">
        <v>54</v>
      </c>
      <c r="AE360" t="s">
        <v>54</v>
      </c>
      <c r="AF360" t="s">
        <v>54</v>
      </c>
      <c r="AG360" t="s">
        <v>54</v>
      </c>
      <c r="AH360" t="s">
        <v>54</v>
      </c>
      <c r="AI360" t="s">
        <v>54</v>
      </c>
      <c r="AJ360" t="s">
        <v>54</v>
      </c>
      <c r="AK360" t="s">
        <v>54</v>
      </c>
      <c r="AL360" t="s">
        <v>54</v>
      </c>
      <c r="AM360" t="s">
        <v>54</v>
      </c>
      <c r="AN360" t="s">
        <v>54</v>
      </c>
      <c r="AO360" t="s">
        <v>54</v>
      </c>
      <c r="AP360" t="s">
        <v>54</v>
      </c>
      <c r="AQ360" t="s">
        <v>54</v>
      </c>
    </row>
    <row r="361" spans="1:43" x14ac:dyDescent="0.25">
      <c r="A361" t="s">
        <v>3185</v>
      </c>
      <c r="B361">
        <v>61</v>
      </c>
      <c r="C361">
        <v>44</v>
      </c>
      <c r="D361" t="s">
        <v>3186</v>
      </c>
      <c r="E361" t="s">
        <v>3187</v>
      </c>
      <c r="F361" t="s">
        <v>1724</v>
      </c>
      <c r="G361" t="s">
        <v>3188</v>
      </c>
      <c r="H361" t="s">
        <v>52</v>
      </c>
      <c r="I361" t="s">
        <v>1915</v>
      </c>
      <c r="J361">
        <v>0</v>
      </c>
      <c r="K361">
        <v>2</v>
      </c>
      <c r="L361">
        <v>2</v>
      </c>
      <c r="M361" t="s">
        <v>3189</v>
      </c>
      <c r="N361">
        <v>36</v>
      </c>
      <c r="O361">
        <v>61</v>
      </c>
      <c r="P361">
        <v>6</v>
      </c>
      <c r="Q361" t="s">
        <v>3190</v>
      </c>
      <c r="R361" t="s">
        <v>1016</v>
      </c>
      <c r="S361">
        <v>5</v>
      </c>
      <c r="T361">
        <v>11</v>
      </c>
      <c r="U361" t="s">
        <v>3191</v>
      </c>
      <c r="V361" t="s">
        <v>3192</v>
      </c>
      <c r="W361" t="s">
        <v>54</v>
      </c>
      <c r="X361" t="s">
        <v>54</v>
      </c>
      <c r="Y361" t="s">
        <v>54</v>
      </c>
      <c r="Z361" t="s">
        <v>54</v>
      </c>
      <c r="AA361" t="s">
        <v>54</v>
      </c>
      <c r="AB361" t="s">
        <v>54</v>
      </c>
      <c r="AC361" t="s">
        <v>54</v>
      </c>
      <c r="AD361" t="s">
        <v>54</v>
      </c>
      <c r="AE361" t="s">
        <v>54</v>
      </c>
      <c r="AF361" t="s">
        <v>54</v>
      </c>
      <c r="AG361" t="s">
        <v>54</v>
      </c>
      <c r="AH361" t="s">
        <v>54</v>
      </c>
      <c r="AI361" t="s">
        <v>54</v>
      </c>
      <c r="AJ361" t="s">
        <v>54</v>
      </c>
      <c r="AK361" t="s">
        <v>54</v>
      </c>
      <c r="AL361" t="s">
        <v>54</v>
      </c>
      <c r="AM361" t="s">
        <v>54</v>
      </c>
      <c r="AN361" t="s">
        <v>54</v>
      </c>
      <c r="AO361" t="s">
        <v>54</v>
      </c>
      <c r="AP361" t="s">
        <v>54</v>
      </c>
      <c r="AQ361" t="s">
        <v>54</v>
      </c>
    </row>
    <row r="362" spans="1:43" x14ac:dyDescent="0.25">
      <c r="A362" t="s">
        <v>3193</v>
      </c>
      <c r="B362">
        <v>196</v>
      </c>
      <c r="C362">
        <v>134</v>
      </c>
      <c r="D362" t="s">
        <v>3194</v>
      </c>
      <c r="E362" t="s">
        <v>3195</v>
      </c>
      <c r="F362" t="s">
        <v>1453</v>
      </c>
      <c r="G362" t="s">
        <v>3196</v>
      </c>
      <c r="H362" t="s">
        <v>518</v>
      </c>
      <c r="I362" t="s">
        <v>52</v>
      </c>
      <c r="J362">
        <v>4</v>
      </c>
      <c r="K362">
        <v>0</v>
      </c>
      <c r="L362">
        <v>3</v>
      </c>
      <c r="M362" t="s">
        <v>3197</v>
      </c>
      <c r="N362">
        <v>106</v>
      </c>
      <c r="O362">
        <v>195</v>
      </c>
      <c r="P362">
        <v>17</v>
      </c>
      <c r="Q362" t="s">
        <v>3198</v>
      </c>
      <c r="R362" t="s">
        <v>3199</v>
      </c>
      <c r="S362">
        <v>26</v>
      </c>
      <c r="T362">
        <v>0</v>
      </c>
      <c r="U362" t="s">
        <v>52</v>
      </c>
      <c r="V362" t="s">
        <v>3200</v>
      </c>
      <c r="W362" t="s">
        <v>54</v>
      </c>
      <c r="X362" t="s">
        <v>54</v>
      </c>
      <c r="Y362" t="s">
        <v>54</v>
      </c>
      <c r="Z362" t="s">
        <v>54</v>
      </c>
      <c r="AA362" t="s">
        <v>54</v>
      </c>
      <c r="AB362" t="s">
        <v>54</v>
      </c>
      <c r="AC362" t="s">
        <v>54</v>
      </c>
      <c r="AD362" t="s">
        <v>54</v>
      </c>
      <c r="AE362" t="s">
        <v>54</v>
      </c>
      <c r="AF362" t="s">
        <v>54</v>
      </c>
      <c r="AG362" t="s">
        <v>54</v>
      </c>
      <c r="AH362" t="s">
        <v>54</v>
      </c>
      <c r="AI362" t="s">
        <v>54</v>
      </c>
      <c r="AJ362" t="s">
        <v>54</v>
      </c>
      <c r="AK362" t="s">
        <v>54</v>
      </c>
      <c r="AL362" t="s">
        <v>54</v>
      </c>
      <c r="AM362" t="s">
        <v>54</v>
      </c>
      <c r="AN362" t="s">
        <v>54</v>
      </c>
      <c r="AO362" t="s">
        <v>54</v>
      </c>
      <c r="AP362" t="s">
        <v>54</v>
      </c>
      <c r="AQ362" t="s">
        <v>54</v>
      </c>
    </row>
    <row r="363" spans="1:43" x14ac:dyDescent="0.25">
      <c r="A363" t="s">
        <v>3201</v>
      </c>
      <c r="B363">
        <v>151</v>
      </c>
      <c r="C363">
        <v>105</v>
      </c>
      <c r="D363" t="s">
        <v>1994</v>
      </c>
      <c r="E363" t="s">
        <v>3101</v>
      </c>
      <c r="F363" t="s">
        <v>2120</v>
      </c>
      <c r="G363" t="s">
        <v>3202</v>
      </c>
      <c r="H363" t="s">
        <v>1998</v>
      </c>
      <c r="I363" t="s">
        <v>1889</v>
      </c>
      <c r="J363">
        <v>1</v>
      </c>
      <c r="K363">
        <v>2</v>
      </c>
      <c r="L363">
        <v>3</v>
      </c>
      <c r="M363" t="s">
        <v>3203</v>
      </c>
      <c r="N363">
        <v>92</v>
      </c>
      <c r="O363">
        <v>151</v>
      </c>
      <c r="P363">
        <v>3</v>
      </c>
      <c r="Q363" t="s">
        <v>3204</v>
      </c>
      <c r="R363" t="s">
        <v>3112</v>
      </c>
      <c r="S363">
        <v>23</v>
      </c>
      <c r="T363">
        <v>0</v>
      </c>
      <c r="U363" t="s">
        <v>52</v>
      </c>
      <c r="V363" t="s">
        <v>3205</v>
      </c>
      <c r="W363" t="s">
        <v>54</v>
      </c>
      <c r="X363" t="s">
        <v>54</v>
      </c>
      <c r="Y363" t="s">
        <v>54</v>
      </c>
      <c r="Z363" t="s">
        <v>54</v>
      </c>
      <c r="AA363" t="s">
        <v>54</v>
      </c>
      <c r="AB363" t="s">
        <v>54</v>
      </c>
      <c r="AC363" t="s">
        <v>54</v>
      </c>
      <c r="AD363" t="s">
        <v>54</v>
      </c>
      <c r="AE363" t="s">
        <v>54</v>
      </c>
      <c r="AF363" t="s">
        <v>54</v>
      </c>
      <c r="AG363" t="s">
        <v>54</v>
      </c>
      <c r="AH363" t="s">
        <v>54</v>
      </c>
      <c r="AI363" t="s">
        <v>54</v>
      </c>
      <c r="AJ363" t="s">
        <v>54</v>
      </c>
      <c r="AK363" t="s">
        <v>54</v>
      </c>
      <c r="AL363" t="s">
        <v>54</v>
      </c>
      <c r="AM363" t="s">
        <v>54</v>
      </c>
      <c r="AN363" t="s">
        <v>54</v>
      </c>
      <c r="AO363" t="s">
        <v>54</v>
      </c>
      <c r="AP363" t="s">
        <v>54</v>
      </c>
      <c r="AQ363" t="s">
        <v>54</v>
      </c>
    </row>
    <row r="364" spans="1:43" x14ac:dyDescent="0.25">
      <c r="A364" t="s">
        <v>3206</v>
      </c>
      <c r="B364">
        <v>135</v>
      </c>
      <c r="C364">
        <v>100</v>
      </c>
      <c r="D364" t="s">
        <v>2154</v>
      </c>
      <c r="E364" t="s">
        <v>2150</v>
      </c>
      <c r="F364" t="s">
        <v>3207</v>
      </c>
      <c r="G364" t="s">
        <v>3208</v>
      </c>
      <c r="H364" t="s">
        <v>2873</v>
      </c>
      <c r="I364" t="s">
        <v>2872</v>
      </c>
      <c r="J364">
        <v>2</v>
      </c>
      <c r="K364">
        <v>4</v>
      </c>
      <c r="L364">
        <v>2</v>
      </c>
      <c r="M364" t="s">
        <v>3209</v>
      </c>
      <c r="N364">
        <v>70</v>
      </c>
      <c r="O364">
        <v>135</v>
      </c>
      <c r="P364">
        <v>16</v>
      </c>
      <c r="Q364" t="s">
        <v>3210</v>
      </c>
      <c r="R364" t="s">
        <v>3211</v>
      </c>
      <c r="S364">
        <v>5</v>
      </c>
      <c r="T364">
        <v>0</v>
      </c>
      <c r="U364" t="s">
        <v>52</v>
      </c>
      <c r="V364" t="s">
        <v>3212</v>
      </c>
      <c r="W364" t="s">
        <v>54</v>
      </c>
      <c r="X364" t="s">
        <v>54</v>
      </c>
      <c r="Y364" t="s">
        <v>54</v>
      </c>
      <c r="Z364" t="s">
        <v>54</v>
      </c>
      <c r="AA364" t="s">
        <v>54</v>
      </c>
      <c r="AB364" t="s">
        <v>54</v>
      </c>
      <c r="AC364" t="s">
        <v>54</v>
      </c>
      <c r="AD364" t="s">
        <v>54</v>
      </c>
      <c r="AE364" t="s">
        <v>54</v>
      </c>
      <c r="AF364" t="s">
        <v>54</v>
      </c>
      <c r="AG364" t="s">
        <v>54</v>
      </c>
      <c r="AH364" t="s">
        <v>54</v>
      </c>
      <c r="AI364" t="s">
        <v>54</v>
      </c>
      <c r="AJ364" t="s">
        <v>54</v>
      </c>
      <c r="AK364" t="s">
        <v>54</v>
      </c>
      <c r="AL364" t="s">
        <v>54</v>
      </c>
      <c r="AM364" t="s">
        <v>54</v>
      </c>
      <c r="AN364" t="s">
        <v>54</v>
      </c>
      <c r="AO364" t="s">
        <v>54</v>
      </c>
      <c r="AP364" t="s">
        <v>54</v>
      </c>
      <c r="AQ364" t="s">
        <v>54</v>
      </c>
    </row>
    <row r="365" spans="1:43" x14ac:dyDescent="0.25">
      <c r="A365" t="s">
        <v>3213</v>
      </c>
      <c r="B365">
        <v>124</v>
      </c>
      <c r="C365">
        <v>87</v>
      </c>
      <c r="D365" t="s">
        <v>1549</v>
      </c>
      <c r="E365" t="s">
        <v>3214</v>
      </c>
      <c r="F365" t="s">
        <v>3215</v>
      </c>
      <c r="G365" t="s">
        <v>3216</v>
      </c>
      <c r="H365" t="s">
        <v>3217</v>
      </c>
      <c r="I365" t="s">
        <v>3218</v>
      </c>
      <c r="J365">
        <v>3</v>
      </c>
      <c r="K365">
        <v>9</v>
      </c>
      <c r="L365">
        <v>3</v>
      </c>
      <c r="M365" t="s">
        <v>2235</v>
      </c>
      <c r="N365">
        <v>60</v>
      </c>
      <c r="O365">
        <v>124</v>
      </c>
      <c r="P365">
        <v>1</v>
      </c>
      <c r="Q365" t="s">
        <v>2052</v>
      </c>
      <c r="R365" t="s">
        <v>3219</v>
      </c>
      <c r="S365">
        <v>23</v>
      </c>
      <c r="T365">
        <v>0</v>
      </c>
      <c r="U365" t="s">
        <v>52</v>
      </c>
      <c r="V365" t="s">
        <v>3220</v>
      </c>
      <c r="W365" t="s">
        <v>54</v>
      </c>
      <c r="X365" t="s">
        <v>54</v>
      </c>
      <c r="Y365" t="s">
        <v>54</v>
      </c>
      <c r="Z365" t="s">
        <v>54</v>
      </c>
      <c r="AA365" t="s">
        <v>54</v>
      </c>
      <c r="AB365" t="s">
        <v>54</v>
      </c>
      <c r="AC365" t="s">
        <v>54</v>
      </c>
      <c r="AD365" t="s">
        <v>54</v>
      </c>
      <c r="AE365" t="s">
        <v>54</v>
      </c>
      <c r="AF365" t="s">
        <v>54</v>
      </c>
      <c r="AG365" t="s">
        <v>54</v>
      </c>
      <c r="AH365" t="s">
        <v>54</v>
      </c>
      <c r="AI365" t="s">
        <v>54</v>
      </c>
      <c r="AJ365" t="s">
        <v>54</v>
      </c>
      <c r="AK365" t="s">
        <v>54</v>
      </c>
      <c r="AL365" t="s">
        <v>54</v>
      </c>
      <c r="AM365" t="s">
        <v>54</v>
      </c>
      <c r="AN365" t="s">
        <v>54</v>
      </c>
      <c r="AO365" t="s">
        <v>54</v>
      </c>
      <c r="AP365" t="s">
        <v>54</v>
      </c>
      <c r="AQ365" t="s">
        <v>54</v>
      </c>
    </row>
    <row r="366" spans="1:43" x14ac:dyDescent="0.25">
      <c r="A366" t="s">
        <v>3221</v>
      </c>
      <c r="B366">
        <v>119</v>
      </c>
      <c r="C366">
        <v>90</v>
      </c>
      <c r="D366" t="s">
        <v>1190</v>
      </c>
      <c r="E366" t="s">
        <v>3222</v>
      </c>
      <c r="F366" t="s">
        <v>1016</v>
      </c>
      <c r="G366" t="s">
        <v>3223</v>
      </c>
      <c r="H366" t="s">
        <v>1627</v>
      </c>
      <c r="I366" t="s">
        <v>1627</v>
      </c>
      <c r="J366">
        <v>1</v>
      </c>
      <c r="K366">
        <v>1</v>
      </c>
      <c r="L366">
        <v>2</v>
      </c>
      <c r="M366" t="s">
        <v>3224</v>
      </c>
      <c r="N366">
        <v>69</v>
      </c>
      <c r="O366">
        <v>119</v>
      </c>
      <c r="P366">
        <v>3</v>
      </c>
      <c r="Q366" t="s">
        <v>3225</v>
      </c>
      <c r="R366" t="s">
        <v>2848</v>
      </c>
      <c r="S366">
        <v>16</v>
      </c>
      <c r="T366">
        <v>0</v>
      </c>
      <c r="U366" t="s">
        <v>52</v>
      </c>
      <c r="V366" t="s">
        <v>3226</v>
      </c>
      <c r="W366" t="s">
        <v>54</v>
      </c>
      <c r="X366" t="s">
        <v>54</v>
      </c>
      <c r="Y366" t="s">
        <v>54</v>
      </c>
      <c r="Z366" t="s">
        <v>54</v>
      </c>
      <c r="AA366" t="s">
        <v>54</v>
      </c>
      <c r="AB366" t="s">
        <v>54</v>
      </c>
      <c r="AC366" t="s">
        <v>54</v>
      </c>
      <c r="AD366" t="s">
        <v>54</v>
      </c>
      <c r="AE366" t="s">
        <v>54</v>
      </c>
      <c r="AF366" t="s">
        <v>54</v>
      </c>
      <c r="AG366" t="s">
        <v>54</v>
      </c>
      <c r="AH366" t="s">
        <v>54</v>
      </c>
      <c r="AI366" t="s">
        <v>54</v>
      </c>
      <c r="AJ366" t="s">
        <v>54</v>
      </c>
      <c r="AK366" t="s">
        <v>54</v>
      </c>
      <c r="AL366" t="s">
        <v>54</v>
      </c>
      <c r="AM366" t="s">
        <v>54</v>
      </c>
      <c r="AN366" t="s">
        <v>54</v>
      </c>
      <c r="AO366" t="s">
        <v>54</v>
      </c>
      <c r="AP366" t="s">
        <v>54</v>
      </c>
      <c r="AQ366" t="s">
        <v>54</v>
      </c>
    </row>
    <row r="367" spans="1:43" x14ac:dyDescent="0.25">
      <c r="A367" t="s">
        <v>3227</v>
      </c>
      <c r="B367">
        <v>186</v>
      </c>
      <c r="C367">
        <v>122</v>
      </c>
      <c r="D367" t="s">
        <v>2234</v>
      </c>
      <c r="E367" t="s">
        <v>760</v>
      </c>
      <c r="F367" t="s">
        <v>3228</v>
      </c>
      <c r="G367" t="s">
        <v>3229</v>
      </c>
      <c r="H367" t="s">
        <v>3230</v>
      </c>
      <c r="I367" t="s">
        <v>2237</v>
      </c>
      <c r="J367">
        <v>7</v>
      </c>
      <c r="K367">
        <v>1</v>
      </c>
      <c r="L367">
        <v>2</v>
      </c>
      <c r="M367" t="s">
        <v>3231</v>
      </c>
      <c r="N367">
        <v>96</v>
      </c>
      <c r="O367">
        <v>186</v>
      </c>
      <c r="P367">
        <v>9</v>
      </c>
      <c r="Q367" t="s">
        <v>3232</v>
      </c>
      <c r="R367" t="s">
        <v>1299</v>
      </c>
      <c r="S367">
        <v>25</v>
      </c>
      <c r="T367">
        <v>0</v>
      </c>
      <c r="U367" t="s">
        <v>52</v>
      </c>
      <c r="V367" t="s">
        <v>3233</v>
      </c>
      <c r="W367" t="s">
        <v>54</v>
      </c>
      <c r="X367" t="s">
        <v>54</v>
      </c>
      <c r="Y367" t="s">
        <v>54</v>
      </c>
      <c r="Z367" t="s">
        <v>54</v>
      </c>
      <c r="AA367" t="s">
        <v>54</v>
      </c>
      <c r="AB367" t="s">
        <v>54</v>
      </c>
      <c r="AC367" t="s">
        <v>54</v>
      </c>
      <c r="AD367" t="s">
        <v>54</v>
      </c>
      <c r="AE367" t="s">
        <v>54</v>
      </c>
      <c r="AF367" t="s">
        <v>54</v>
      </c>
      <c r="AG367" t="s">
        <v>54</v>
      </c>
      <c r="AH367" t="s">
        <v>54</v>
      </c>
      <c r="AI367" t="s">
        <v>54</v>
      </c>
      <c r="AJ367" t="s">
        <v>54</v>
      </c>
      <c r="AK367" t="s">
        <v>54</v>
      </c>
      <c r="AL367" t="s">
        <v>54</v>
      </c>
      <c r="AM367" t="s">
        <v>54</v>
      </c>
      <c r="AN367" t="s">
        <v>54</v>
      </c>
      <c r="AO367" t="s">
        <v>54</v>
      </c>
      <c r="AP367" t="s">
        <v>54</v>
      </c>
      <c r="AQ367" t="s">
        <v>54</v>
      </c>
    </row>
    <row r="368" spans="1:43" x14ac:dyDescent="0.25">
      <c r="A368" t="s">
        <v>3234</v>
      </c>
      <c r="B368">
        <v>166</v>
      </c>
      <c r="C368">
        <v>116</v>
      </c>
      <c r="D368" t="s">
        <v>3235</v>
      </c>
      <c r="E368" t="s">
        <v>3236</v>
      </c>
      <c r="F368" t="s">
        <v>3237</v>
      </c>
      <c r="G368" t="s">
        <v>3238</v>
      </c>
      <c r="H368" t="s">
        <v>52</v>
      </c>
      <c r="I368" t="s">
        <v>744</v>
      </c>
      <c r="J368">
        <v>0</v>
      </c>
      <c r="K368">
        <v>7</v>
      </c>
      <c r="L368">
        <v>4</v>
      </c>
      <c r="M368" t="s">
        <v>741</v>
      </c>
      <c r="N368">
        <v>88</v>
      </c>
      <c r="O368">
        <v>166</v>
      </c>
      <c r="P368">
        <v>9</v>
      </c>
      <c r="Q368" t="s">
        <v>317</v>
      </c>
      <c r="R368" t="s">
        <v>446</v>
      </c>
      <c r="S368">
        <v>17</v>
      </c>
      <c r="T368">
        <v>0</v>
      </c>
      <c r="U368" t="s">
        <v>52</v>
      </c>
      <c r="V368" t="s">
        <v>3239</v>
      </c>
      <c r="W368" t="s">
        <v>54</v>
      </c>
      <c r="X368" t="s">
        <v>54</v>
      </c>
      <c r="Y368" t="s">
        <v>54</v>
      </c>
      <c r="Z368" t="s">
        <v>54</v>
      </c>
      <c r="AA368" t="s">
        <v>54</v>
      </c>
      <c r="AB368" t="s">
        <v>54</v>
      </c>
      <c r="AC368" t="s">
        <v>54</v>
      </c>
      <c r="AD368" t="s">
        <v>54</v>
      </c>
      <c r="AE368" t="s">
        <v>54</v>
      </c>
      <c r="AF368" t="s">
        <v>54</v>
      </c>
      <c r="AG368" t="s">
        <v>54</v>
      </c>
      <c r="AH368" t="s">
        <v>54</v>
      </c>
      <c r="AI368" t="s">
        <v>54</v>
      </c>
      <c r="AJ368" t="s">
        <v>54</v>
      </c>
      <c r="AK368" t="s">
        <v>54</v>
      </c>
      <c r="AL368" t="s">
        <v>54</v>
      </c>
      <c r="AM368" t="s">
        <v>54</v>
      </c>
      <c r="AN368" t="s">
        <v>54</v>
      </c>
      <c r="AO368" t="s">
        <v>54</v>
      </c>
      <c r="AP368" t="s">
        <v>54</v>
      </c>
      <c r="AQ368" t="s">
        <v>54</v>
      </c>
    </row>
    <row r="369" spans="1:43" x14ac:dyDescent="0.25">
      <c r="A369" t="s">
        <v>3240</v>
      </c>
      <c r="B369">
        <v>49</v>
      </c>
      <c r="C369">
        <v>40</v>
      </c>
      <c r="D369" t="s">
        <v>3241</v>
      </c>
      <c r="E369" t="s">
        <v>3242</v>
      </c>
      <c r="F369" t="s">
        <v>342</v>
      </c>
      <c r="G369" t="s">
        <v>3243</v>
      </c>
      <c r="H369" t="s">
        <v>52</v>
      </c>
      <c r="I369" t="s">
        <v>518</v>
      </c>
      <c r="J369">
        <v>0</v>
      </c>
      <c r="K369">
        <v>1</v>
      </c>
      <c r="L369">
        <v>1</v>
      </c>
      <c r="M369" t="s">
        <v>3244</v>
      </c>
      <c r="N369">
        <v>25</v>
      </c>
      <c r="O369">
        <v>49</v>
      </c>
      <c r="P369">
        <v>5</v>
      </c>
      <c r="Q369" t="s">
        <v>3245</v>
      </c>
      <c r="R369" t="s">
        <v>342</v>
      </c>
      <c r="S369">
        <v>4</v>
      </c>
      <c r="T369">
        <v>0</v>
      </c>
      <c r="U369" t="s">
        <v>52</v>
      </c>
      <c r="V369" t="s">
        <v>3246</v>
      </c>
      <c r="W369" t="s">
        <v>54</v>
      </c>
      <c r="X369" t="s">
        <v>54</v>
      </c>
      <c r="Y369" t="s">
        <v>54</v>
      </c>
      <c r="Z369" t="s">
        <v>54</v>
      </c>
      <c r="AA369" t="s">
        <v>54</v>
      </c>
      <c r="AB369" t="s">
        <v>54</v>
      </c>
      <c r="AC369" t="s">
        <v>54</v>
      </c>
      <c r="AD369" t="s">
        <v>54</v>
      </c>
      <c r="AE369" t="s">
        <v>54</v>
      </c>
      <c r="AF369" t="s">
        <v>54</v>
      </c>
      <c r="AG369" t="s">
        <v>54</v>
      </c>
      <c r="AH369" t="s">
        <v>54</v>
      </c>
      <c r="AI369" t="s">
        <v>54</v>
      </c>
      <c r="AJ369" t="s">
        <v>54</v>
      </c>
      <c r="AK369" t="s">
        <v>54</v>
      </c>
      <c r="AL369" t="s">
        <v>54</v>
      </c>
      <c r="AM369" t="s">
        <v>54</v>
      </c>
      <c r="AN369" t="s">
        <v>54</v>
      </c>
      <c r="AO369" t="s">
        <v>54</v>
      </c>
      <c r="AP369" t="s">
        <v>54</v>
      </c>
      <c r="AQ369" t="s">
        <v>54</v>
      </c>
    </row>
    <row r="370" spans="1:43" x14ac:dyDescent="0.25">
      <c r="A370" t="s">
        <v>3247</v>
      </c>
      <c r="B370">
        <v>201</v>
      </c>
      <c r="C370">
        <v>137</v>
      </c>
      <c r="D370" t="s">
        <v>3248</v>
      </c>
      <c r="E370" t="s">
        <v>3249</v>
      </c>
      <c r="F370" t="s">
        <v>3250</v>
      </c>
      <c r="G370" t="s">
        <v>3251</v>
      </c>
      <c r="H370" t="s">
        <v>112</v>
      </c>
      <c r="I370" t="s">
        <v>3252</v>
      </c>
      <c r="J370">
        <v>3</v>
      </c>
      <c r="K370">
        <v>1</v>
      </c>
      <c r="L370">
        <v>3</v>
      </c>
      <c r="M370" t="s">
        <v>3253</v>
      </c>
      <c r="N370">
        <v>96</v>
      </c>
      <c r="O370">
        <v>202</v>
      </c>
      <c r="P370">
        <v>11</v>
      </c>
      <c r="Q370" t="s">
        <v>3254</v>
      </c>
      <c r="R370" t="s">
        <v>1714</v>
      </c>
      <c r="S370">
        <v>25</v>
      </c>
      <c r="T370">
        <v>0</v>
      </c>
      <c r="U370" t="s">
        <v>52</v>
      </c>
      <c r="V370" t="s">
        <v>3255</v>
      </c>
      <c r="W370" t="s">
        <v>54</v>
      </c>
      <c r="X370" t="s">
        <v>54</v>
      </c>
      <c r="Y370" t="s">
        <v>54</v>
      </c>
      <c r="Z370" t="s">
        <v>54</v>
      </c>
      <c r="AA370" t="s">
        <v>54</v>
      </c>
      <c r="AB370" t="s">
        <v>54</v>
      </c>
      <c r="AC370" t="s">
        <v>54</v>
      </c>
      <c r="AD370" t="s">
        <v>54</v>
      </c>
      <c r="AE370" t="s">
        <v>54</v>
      </c>
      <c r="AF370" t="s">
        <v>54</v>
      </c>
      <c r="AG370" t="s">
        <v>54</v>
      </c>
      <c r="AH370" t="s">
        <v>54</v>
      </c>
      <c r="AI370" t="s">
        <v>54</v>
      </c>
      <c r="AJ370" t="s">
        <v>54</v>
      </c>
      <c r="AK370" t="s">
        <v>54</v>
      </c>
      <c r="AL370" t="s">
        <v>54</v>
      </c>
      <c r="AM370" t="s">
        <v>54</v>
      </c>
      <c r="AN370" t="s">
        <v>54</v>
      </c>
      <c r="AO370" t="s">
        <v>54</v>
      </c>
      <c r="AP370" t="s">
        <v>54</v>
      </c>
      <c r="AQ370" t="s">
        <v>54</v>
      </c>
    </row>
    <row r="371" spans="1:43" x14ac:dyDescent="0.25">
      <c r="A371" t="s">
        <v>3256</v>
      </c>
      <c r="B371">
        <v>206</v>
      </c>
      <c r="C371">
        <v>135</v>
      </c>
      <c r="D371" t="s">
        <v>3257</v>
      </c>
      <c r="E371" t="s">
        <v>3258</v>
      </c>
      <c r="F371" t="s">
        <v>3259</v>
      </c>
      <c r="G371" t="s">
        <v>3260</v>
      </c>
      <c r="H371" t="s">
        <v>334</v>
      </c>
      <c r="I371" t="s">
        <v>1718</v>
      </c>
      <c r="J371">
        <v>2</v>
      </c>
      <c r="K371">
        <v>4</v>
      </c>
      <c r="L371">
        <v>5</v>
      </c>
      <c r="M371" t="s">
        <v>3261</v>
      </c>
      <c r="N371">
        <v>117</v>
      </c>
      <c r="O371">
        <v>205</v>
      </c>
      <c r="P371">
        <v>8</v>
      </c>
      <c r="Q371" t="s">
        <v>3262</v>
      </c>
      <c r="R371" t="s">
        <v>783</v>
      </c>
      <c r="S371">
        <v>25</v>
      </c>
      <c r="T371">
        <v>0</v>
      </c>
      <c r="U371" t="s">
        <v>52</v>
      </c>
      <c r="V371" t="s">
        <v>3263</v>
      </c>
      <c r="W371" t="s">
        <v>54</v>
      </c>
      <c r="X371" t="s">
        <v>54</v>
      </c>
      <c r="Y371" t="s">
        <v>54</v>
      </c>
      <c r="Z371" t="s">
        <v>54</v>
      </c>
      <c r="AA371" t="s">
        <v>54</v>
      </c>
      <c r="AB371" t="s">
        <v>54</v>
      </c>
      <c r="AC371" t="s">
        <v>54</v>
      </c>
      <c r="AD371" t="s">
        <v>54</v>
      </c>
      <c r="AE371" t="s">
        <v>54</v>
      </c>
      <c r="AF371" t="s">
        <v>54</v>
      </c>
      <c r="AG371" t="s">
        <v>54</v>
      </c>
      <c r="AH371" t="s">
        <v>54</v>
      </c>
      <c r="AI371" t="s">
        <v>54</v>
      </c>
      <c r="AJ371" t="s">
        <v>54</v>
      </c>
      <c r="AK371" t="s">
        <v>54</v>
      </c>
      <c r="AL371" t="s">
        <v>54</v>
      </c>
      <c r="AM371" t="s">
        <v>54</v>
      </c>
      <c r="AN371" t="s">
        <v>54</v>
      </c>
      <c r="AO371" t="s">
        <v>54</v>
      </c>
      <c r="AP371" t="s">
        <v>54</v>
      </c>
      <c r="AQ371" t="s">
        <v>54</v>
      </c>
    </row>
    <row r="372" spans="1:43" x14ac:dyDescent="0.25">
      <c r="A372" t="s">
        <v>3264</v>
      </c>
      <c r="B372">
        <v>147</v>
      </c>
      <c r="C372">
        <v>108</v>
      </c>
      <c r="D372" t="s">
        <v>3265</v>
      </c>
      <c r="E372" t="s">
        <v>3266</v>
      </c>
      <c r="F372" t="s">
        <v>3267</v>
      </c>
      <c r="G372" t="s">
        <v>3268</v>
      </c>
      <c r="H372" t="s">
        <v>518</v>
      </c>
      <c r="I372" t="s">
        <v>52</v>
      </c>
      <c r="J372">
        <v>3</v>
      </c>
      <c r="K372">
        <v>0</v>
      </c>
      <c r="L372">
        <v>4</v>
      </c>
      <c r="M372" t="s">
        <v>3269</v>
      </c>
      <c r="N372">
        <v>75</v>
      </c>
      <c r="O372">
        <v>149</v>
      </c>
      <c r="P372">
        <v>4</v>
      </c>
      <c r="Q372" t="s">
        <v>526</v>
      </c>
      <c r="R372" t="s">
        <v>697</v>
      </c>
      <c r="S372">
        <v>22</v>
      </c>
      <c r="T372">
        <v>0</v>
      </c>
      <c r="U372" t="s">
        <v>52</v>
      </c>
      <c r="V372" t="s">
        <v>3270</v>
      </c>
      <c r="W372" t="s">
        <v>54</v>
      </c>
      <c r="X372" t="s">
        <v>54</v>
      </c>
      <c r="Y372" t="s">
        <v>54</v>
      </c>
      <c r="Z372" t="s">
        <v>54</v>
      </c>
      <c r="AA372" t="s">
        <v>54</v>
      </c>
      <c r="AB372" t="s">
        <v>54</v>
      </c>
      <c r="AC372" t="s">
        <v>54</v>
      </c>
      <c r="AD372" t="s">
        <v>54</v>
      </c>
      <c r="AE372" t="s">
        <v>54</v>
      </c>
      <c r="AF372" t="s">
        <v>54</v>
      </c>
      <c r="AG372" t="s">
        <v>54</v>
      </c>
      <c r="AH372" t="s">
        <v>54</v>
      </c>
      <c r="AI372" t="s">
        <v>54</v>
      </c>
      <c r="AJ372" t="s">
        <v>54</v>
      </c>
      <c r="AK372" t="s">
        <v>54</v>
      </c>
      <c r="AL372" t="s">
        <v>54</v>
      </c>
      <c r="AM372" t="s">
        <v>54</v>
      </c>
      <c r="AN372" t="s">
        <v>54</v>
      </c>
      <c r="AO372" t="s">
        <v>54</v>
      </c>
      <c r="AP372" t="s">
        <v>54</v>
      </c>
      <c r="AQ372" t="s">
        <v>54</v>
      </c>
    </row>
    <row r="373" spans="1:43" x14ac:dyDescent="0.25">
      <c r="A373" t="s">
        <v>3271</v>
      </c>
      <c r="B373">
        <v>190</v>
      </c>
      <c r="C373">
        <v>114</v>
      </c>
      <c r="D373" t="s">
        <v>201</v>
      </c>
      <c r="E373" t="s">
        <v>3272</v>
      </c>
      <c r="F373" t="s">
        <v>3273</v>
      </c>
      <c r="G373" t="s">
        <v>3274</v>
      </c>
      <c r="H373" t="s">
        <v>3275</v>
      </c>
      <c r="I373" t="s">
        <v>572</v>
      </c>
      <c r="J373">
        <v>3</v>
      </c>
      <c r="K373">
        <v>5</v>
      </c>
      <c r="L373">
        <v>3</v>
      </c>
      <c r="M373" t="s">
        <v>909</v>
      </c>
      <c r="N373">
        <v>100</v>
      </c>
      <c r="O373">
        <v>190</v>
      </c>
      <c r="P373">
        <v>11</v>
      </c>
      <c r="Q373" t="s">
        <v>3276</v>
      </c>
      <c r="R373" t="s">
        <v>3277</v>
      </c>
      <c r="S373">
        <v>37</v>
      </c>
      <c r="T373">
        <v>0</v>
      </c>
      <c r="U373" t="s">
        <v>52</v>
      </c>
      <c r="V373" t="s">
        <v>3278</v>
      </c>
      <c r="W373" t="s">
        <v>54</v>
      </c>
      <c r="X373" t="s">
        <v>54</v>
      </c>
      <c r="Y373" t="s">
        <v>54</v>
      </c>
      <c r="Z373" t="s">
        <v>54</v>
      </c>
      <c r="AA373" t="s">
        <v>54</v>
      </c>
      <c r="AB373" t="s">
        <v>54</v>
      </c>
      <c r="AC373" t="s">
        <v>54</v>
      </c>
      <c r="AD373" t="s">
        <v>54</v>
      </c>
      <c r="AE373" t="s">
        <v>54</v>
      </c>
      <c r="AF373" t="s">
        <v>54</v>
      </c>
      <c r="AG373" t="s">
        <v>54</v>
      </c>
      <c r="AH373" t="s">
        <v>54</v>
      </c>
      <c r="AI373" t="s">
        <v>54</v>
      </c>
      <c r="AJ373" t="s">
        <v>54</v>
      </c>
      <c r="AK373" t="s">
        <v>54</v>
      </c>
      <c r="AL373" t="s">
        <v>54</v>
      </c>
      <c r="AM373" t="s">
        <v>54</v>
      </c>
      <c r="AN373" t="s">
        <v>54</v>
      </c>
      <c r="AO373" t="s">
        <v>54</v>
      </c>
      <c r="AP373" t="s">
        <v>54</v>
      </c>
      <c r="AQ373" t="s">
        <v>54</v>
      </c>
    </row>
    <row r="374" spans="1:43" x14ac:dyDescent="0.25">
      <c r="A374" t="s">
        <v>3279</v>
      </c>
      <c r="B374">
        <v>182</v>
      </c>
      <c r="C374">
        <v>117</v>
      </c>
      <c r="D374" t="s">
        <v>812</v>
      </c>
      <c r="E374" t="s">
        <v>3280</v>
      </c>
      <c r="F374" t="s">
        <v>2567</v>
      </c>
      <c r="G374" t="s">
        <v>3281</v>
      </c>
      <c r="H374" t="s">
        <v>3282</v>
      </c>
      <c r="I374" t="s">
        <v>52</v>
      </c>
      <c r="J374">
        <v>3</v>
      </c>
      <c r="K374">
        <v>0</v>
      </c>
      <c r="L374">
        <v>4</v>
      </c>
      <c r="M374" t="s">
        <v>3283</v>
      </c>
      <c r="N374">
        <v>114</v>
      </c>
      <c r="O374">
        <v>185</v>
      </c>
      <c r="P374">
        <v>18</v>
      </c>
      <c r="Q374" t="s">
        <v>3284</v>
      </c>
      <c r="R374" t="s">
        <v>407</v>
      </c>
      <c r="S374">
        <v>29</v>
      </c>
      <c r="T374">
        <v>0</v>
      </c>
      <c r="U374" t="s">
        <v>52</v>
      </c>
      <c r="V374" t="s">
        <v>3285</v>
      </c>
      <c r="W374" t="s">
        <v>54</v>
      </c>
      <c r="X374" t="s">
        <v>54</v>
      </c>
      <c r="Y374" t="s">
        <v>54</v>
      </c>
      <c r="Z374" t="s">
        <v>54</v>
      </c>
      <c r="AA374" t="s">
        <v>54</v>
      </c>
      <c r="AB374" t="s">
        <v>54</v>
      </c>
      <c r="AC374" t="s">
        <v>54</v>
      </c>
      <c r="AD374" t="s">
        <v>54</v>
      </c>
      <c r="AE374" t="s">
        <v>54</v>
      </c>
      <c r="AF374" t="s">
        <v>54</v>
      </c>
      <c r="AG374" t="s">
        <v>54</v>
      </c>
      <c r="AH374" t="s">
        <v>54</v>
      </c>
      <c r="AI374" t="s">
        <v>54</v>
      </c>
      <c r="AJ374" t="s">
        <v>54</v>
      </c>
      <c r="AK374" t="s">
        <v>54</v>
      </c>
      <c r="AL374" t="s">
        <v>54</v>
      </c>
      <c r="AM374" t="s">
        <v>54</v>
      </c>
      <c r="AN374" t="s">
        <v>54</v>
      </c>
      <c r="AO374" t="s">
        <v>54</v>
      </c>
      <c r="AP374" t="s">
        <v>54</v>
      </c>
      <c r="AQ374" t="s">
        <v>54</v>
      </c>
    </row>
    <row r="375" spans="1:43" x14ac:dyDescent="0.25">
      <c r="A375" t="s">
        <v>3286</v>
      </c>
      <c r="B375">
        <v>128</v>
      </c>
      <c r="C375">
        <v>81</v>
      </c>
      <c r="D375" t="s">
        <v>3287</v>
      </c>
      <c r="E375" t="s">
        <v>3288</v>
      </c>
      <c r="F375" t="s">
        <v>3289</v>
      </c>
      <c r="G375" t="s">
        <v>3290</v>
      </c>
      <c r="H375" t="s">
        <v>175</v>
      </c>
      <c r="I375" t="s">
        <v>175</v>
      </c>
      <c r="J375">
        <v>2</v>
      </c>
      <c r="K375">
        <v>2</v>
      </c>
      <c r="L375">
        <v>1</v>
      </c>
      <c r="M375" t="s">
        <v>3291</v>
      </c>
      <c r="N375">
        <v>61</v>
      </c>
      <c r="O375">
        <v>128</v>
      </c>
      <c r="P375">
        <v>12</v>
      </c>
      <c r="Q375" t="s">
        <v>3292</v>
      </c>
      <c r="R375" t="s">
        <v>3293</v>
      </c>
      <c r="S375">
        <v>14</v>
      </c>
      <c r="T375">
        <v>0</v>
      </c>
      <c r="U375" t="s">
        <v>52</v>
      </c>
      <c r="V375" t="s">
        <v>3294</v>
      </c>
      <c r="W375" t="s">
        <v>54</v>
      </c>
      <c r="X375" t="s">
        <v>54</v>
      </c>
      <c r="Y375" t="s">
        <v>54</v>
      </c>
      <c r="Z375" t="s">
        <v>54</v>
      </c>
      <c r="AA375" t="s">
        <v>54</v>
      </c>
      <c r="AB375" t="s">
        <v>54</v>
      </c>
      <c r="AC375" t="s">
        <v>54</v>
      </c>
      <c r="AD375" t="s">
        <v>54</v>
      </c>
      <c r="AE375" t="s">
        <v>54</v>
      </c>
      <c r="AF375" t="s">
        <v>54</v>
      </c>
      <c r="AG375" t="s">
        <v>54</v>
      </c>
      <c r="AH375" t="s">
        <v>54</v>
      </c>
      <c r="AI375" t="s">
        <v>54</v>
      </c>
      <c r="AJ375" t="s">
        <v>54</v>
      </c>
      <c r="AK375" t="s">
        <v>54</v>
      </c>
      <c r="AL375" t="s">
        <v>54</v>
      </c>
      <c r="AM375" t="s">
        <v>54</v>
      </c>
      <c r="AN375" t="s">
        <v>54</v>
      </c>
      <c r="AO375" t="s">
        <v>54</v>
      </c>
      <c r="AP375" t="s">
        <v>54</v>
      </c>
      <c r="AQ375" t="s">
        <v>54</v>
      </c>
    </row>
    <row r="376" spans="1:43" x14ac:dyDescent="0.25">
      <c r="A376" t="s">
        <v>3295</v>
      </c>
      <c r="B376">
        <v>113</v>
      </c>
      <c r="C376">
        <v>78</v>
      </c>
      <c r="D376" t="s">
        <v>3296</v>
      </c>
      <c r="E376" t="s">
        <v>3297</v>
      </c>
      <c r="F376" t="s">
        <v>1643</v>
      </c>
      <c r="G376" t="s">
        <v>3298</v>
      </c>
      <c r="H376" t="s">
        <v>3299</v>
      </c>
      <c r="I376" t="s">
        <v>860</v>
      </c>
      <c r="J376">
        <v>1</v>
      </c>
      <c r="K376">
        <v>3</v>
      </c>
      <c r="L376">
        <v>3</v>
      </c>
      <c r="M376" t="s">
        <v>3300</v>
      </c>
      <c r="N376">
        <v>76</v>
      </c>
      <c r="O376">
        <v>113</v>
      </c>
      <c r="P376">
        <v>25</v>
      </c>
      <c r="Q376" t="s">
        <v>3301</v>
      </c>
      <c r="R376" t="s">
        <v>3302</v>
      </c>
      <c r="S376">
        <v>3</v>
      </c>
      <c r="T376">
        <v>0</v>
      </c>
      <c r="U376" t="s">
        <v>52</v>
      </c>
      <c r="V376" t="s">
        <v>3303</v>
      </c>
      <c r="W376" t="s">
        <v>54</v>
      </c>
      <c r="X376" t="s">
        <v>54</v>
      </c>
      <c r="Y376" t="s">
        <v>54</v>
      </c>
      <c r="Z376" t="s">
        <v>54</v>
      </c>
      <c r="AA376" t="s">
        <v>54</v>
      </c>
      <c r="AB376" t="s">
        <v>54</v>
      </c>
      <c r="AC376" t="s">
        <v>54</v>
      </c>
      <c r="AD376" t="s">
        <v>54</v>
      </c>
      <c r="AE376" t="s">
        <v>54</v>
      </c>
      <c r="AF376" t="s">
        <v>54</v>
      </c>
      <c r="AG376" t="s">
        <v>54</v>
      </c>
      <c r="AH376" t="s">
        <v>54</v>
      </c>
      <c r="AI376" t="s">
        <v>54</v>
      </c>
      <c r="AJ376" t="s">
        <v>54</v>
      </c>
      <c r="AK376" t="s">
        <v>54</v>
      </c>
      <c r="AL376" t="s">
        <v>54</v>
      </c>
      <c r="AM376" t="s">
        <v>54</v>
      </c>
      <c r="AN376" t="s">
        <v>54</v>
      </c>
      <c r="AO376" t="s">
        <v>54</v>
      </c>
      <c r="AP376" t="s">
        <v>54</v>
      </c>
      <c r="AQ376" t="s">
        <v>54</v>
      </c>
    </row>
    <row r="377" spans="1:43" x14ac:dyDescent="0.25">
      <c r="A377" t="s">
        <v>3304</v>
      </c>
      <c r="B377">
        <v>114</v>
      </c>
      <c r="C377">
        <v>70</v>
      </c>
      <c r="D377" t="s">
        <v>3305</v>
      </c>
      <c r="E377" t="s">
        <v>3306</v>
      </c>
      <c r="F377" t="s">
        <v>3307</v>
      </c>
      <c r="G377" t="s">
        <v>3308</v>
      </c>
      <c r="H377" t="s">
        <v>373</v>
      </c>
      <c r="I377" t="s">
        <v>908</v>
      </c>
      <c r="J377">
        <v>4</v>
      </c>
      <c r="K377">
        <v>2</v>
      </c>
      <c r="L377">
        <v>4</v>
      </c>
      <c r="M377" t="s">
        <v>3309</v>
      </c>
      <c r="N377">
        <v>54</v>
      </c>
      <c r="O377">
        <v>114</v>
      </c>
      <c r="P377">
        <v>10</v>
      </c>
      <c r="Q377" t="s">
        <v>910</v>
      </c>
      <c r="R377" t="s">
        <v>1991</v>
      </c>
      <c r="S377">
        <v>23</v>
      </c>
      <c r="T377">
        <v>0</v>
      </c>
      <c r="U377" t="s">
        <v>52</v>
      </c>
      <c r="V377" t="s">
        <v>3310</v>
      </c>
      <c r="W377" t="s">
        <v>54</v>
      </c>
      <c r="X377" t="s">
        <v>54</v>
      </c>
      <c r="Y377" t="s">
        <v>54</v>
      </c>
      <c r="Z377" t="s">
        <v>54</v>
      </c>
      <c r="AA377" t="s">
        <v>54</v>
      </c>
      <c r="AB377" t="s">
        <v>54</v>
      </c>
      <c r="AC377" t="s">
        <v>54</v>
      </c>
      <c r="AD377" t="s">
        <v>54</v>
      </c>
      <c r="AE377" t="s">
        <v>54</v>
      </c>
      <c r="AF377" t="s">
        <v>54</v>
      </c>
      <c r="AG377" t="s">
        <v>54</v>
      </c>
      <c r="AH377" t="s">
        <v>54</v>
      </c>
      <c r="AI377" t="s">
        <v>54</v>
      </c>
      <c r="AJ377" t="s">
        <v>54</v>
      </c>
      <c r="AK377" t="s">
        <v>54</v>
      </c>
      <c r="AL377" t="s">
        <v>54</v>
      </c>
      <c r="AM377" t="s">
        <v>54</v>
      </c>
      <c r="AN377" t="s">
        <v>54</v>
      </c>
      <c r="AO377" t="s">
        <v>54</v>
      </c>
      <c r="AP377" t="s">
        <v>54</v>
      </c>
      <c r="AQ377" t="s">
        <v>54</v>
      </c>
    </row>
    <row r="378" spans="1:43" x14ac:dyDescent="0.25">
      <c r="A378" t="s">
        <v>3311</v>
      </c>
      <c r="B378">
        <v>209</v>
      </c>
      <c r="C378">
        <v>138</v>
      </c>
      <c r="D378" t="s">
        <v>3312</v>
      </c>
      <c r="E378" t="s">
        <v>3313</v>
      </c>
      <c r="F378" t="s">
        <v>1016</v>
      </c>
      <c r="G378" t="s">
        <v>3314</v>
      </c>
      <c r="H378" t="s">
        <v>3315</v>
      </c>
      <c r="I378" t="s">
        <v>3316</v>
      </c>
      <c r="J378">
        <v>9</v>
      </c>
      <c r="K378">
        <v>5</v>
      </c>
      <c r="L378">
        <v>5</v>
      </c>
      <c r="M378" t="s">
        <v>3317</v>
      </c>
      <c r="N378">
        <v>108</v>
      </c>
      <c r="O378">
        <v>209</v>
      </c>
      <c r="P378">
        <v>4</v>
      </c>
      <c r="Q378" t="s">
        <v>3318</v>
      </c>
      <c r="R378" t="s">
        <v>1799</v>
      </c>
      <c r="S378">
        <v>35</v>
      </c>
      <c r="T378">
        <v>0</v>
      </c>
      <c r="U378" t="s">
        <v>52</v>
      </c>
      <c r="V378" t="s">
        <v>3319</v>
      </c>
      <c r="W378" t="s">
        <v>54</v>
      </c>
      <c r="X378" t="s">
        <v>54</v>
      </c>
      <c r="Y378" t="s">
        <v>54</v>
      </c>
      <c r="Z378" t="s">
        <v>54</v>
      </c>
      <c r="AA378" t="s">
        <v>54</v>
      </c>
      <c r="AB378" t="s">
        <v>54</v>
      </c>
      <c r="AC378" t="s">
        <v>54</v>
      </c>
      <c r="AD378" t="s">
        <v>54</v>
      </c>
      <c r="AE378" t="s">
        <v>54</v>
      </c>
      <c r="AF378" t="s">
        <v>54</v>
      </c>
      <c r="AG378" t="s">
        <v>54</v>
      </c>
      <c r="AH378" t="s">
        <v>54</v>
      </c>
      <c r="AI378" t="s">
        <v>54</v>
      </c>
      <c r="AJ378" t="s">
        <v>54</v>
      </c>
      <c r="AK378" t="s">
        <v>54</v>
      </c>
      <c r="AL378" t="s">
        <v>54</v>
      </c>
      <c r="AM378" t="s">
        <v>54</v>
      </c>
      <c r="AN378" t="s">
        <v>54</v>
      </c>
      <c r="AO378" t="s">
        <v>54</v>
      </c>
      <c r="AP378" t="s">
        <v>54</v>
      </c>
      <c r="AQ378" t="s">
        <v>54</v>
      </c>
    </row>
    <row r="379" spans="1:43" x14ac:dyDescent="0.25">
      <c r="A379" t="s">
        <v>3320</v>
      </c>
      <c r="B379">
        <v>147</v>
      </c>
      <c r="C379">
        <v>97</v>
      </c>
      <c r="D379" t="s">
        <v>3321</v>
      </c>
      <c r="E379" t="s">
        <v>3322</v>
      </c>
      <c r="F379" t="s">
        <v>3323</v>
      </c>
      <c r="G379" t="s">
        <v>3324</v>
      </c>
      <c r="H379" t="s">
        <v>518</v>
      </c>
      <c r="I379" t="s">
        <v>2288</v>
      </c>
      <c r="J379">
        <v>3</v>
      </c>
      <c r="K379">
        <v>4</v>
      </c>
      <c r="L379">
        <v>4</v>
      </c>
      <c r="M379" t="s">
        <v>3322</v>
      </c>
      <c r="N379">
        <v>77</v>
      </c>
      <c r="O379">
        <v>147</v>
      </c>
      <c r="P379">
        <v>12</v>
      </c>
      <c r="Q379" t="s">
        <v>2123</v>
      </c>
      <c r="R379" t="s">
        <v>3325</v>
      </c>
      <c r="S379">
        <v>29</v>
      </c>
      <c r="T379">
        <v>0</v>
      </c>
      <c r="U379" t="s">
        <v>52</v>
      </c>
      <c r="V379" t="s">
        <v>3326</v>
      </c>
      <c r="W379" t="s">
        <v>54</v>
      </c>
      <c r="X379" t="s">
        <v>54</v>
      </c>
      <c r="Y379" t="s">
        <v>54</v>
      </c>
      <c r="Z379" t="s">
        <v>54</v>
      </c>
      <c r="AA379" t="s">
        <v>54</v>
      </c>
      <c r="AB379" t="s">
        <v>54</v>
      </c>
      <c r="AC379" t="s">
        <v>54</v>
      </c>
      <c r="AD379" t="s">
        <v>54</v>
      </c>
      <c r="AE379" t="s">
        <v>54</v>
      </c>
      <c r="AF379" t="s">
        <v>54</v>
      </c>
      <c r="AG379" t="s">
        <v>54</v>
      </c>
      <c r="AH379" t="s">
        <v>54</v>
      </c>
      <c r="AI379" t="s">
        <v>54</v>
      </c>
      <c r="AJ379" t="s">
        <v>54</v>
      </c>
      <c r="AK379" t="s">
        <v>54</v>
      </c>
      <c r="AL379" t="s">
        <v>54</v>
      </c>
      <c r="AM379" t="s">
        <v>54</v>
      </c>
      <c r="AN379" t="s">
        <v>54</v>
      </c>
      <c r="AO379" t="s">
        <v>54</v>
      </c>
      <c r="AP379" t="s">
        <v>54</v>
      </c>
      <c r="AQ379" t="s">
        <v>54</v>
      </c>
    </row>
    <row r="380" spans="1:43" x14ac:dyDescent="0.25">
      <c r="A380" t="s">
        <v>3327</v>
      </c>
      <c r="B380">
        <v>106</v>
      </c>
      <c r="C380">
        <v>77</v>
      </c>
      <c r="D380" t="s">
        <v>3328</v>
      </c>
      <c r="E380" t="s">
        <v>3329</v>
      </c>
      <c r="F380" t="s">
        <v>3330</v>
      </c>
      <c r="G380" t="s">
        <v>3331</v>
      </c>
      <c r="H380" t="s">
        <v>52</v>
      </c>
      <c r="I380" t="s">
        <v>3332</v>
      </c>
      <c r="J380">
        <v>0</v>
      </c>
      <c r="K380">
        <v>6</v>
      </c>
      <c r="L380">
        <v>2</v>
      </c>
      <c r="M380" t="s">
        <v>2957</v>
      </c>
      <c r="N380">
        <v>58</v>
      </c>
      <c r="O380">
        <v>106</v>
      </c>
      <c r="P380">
        <v>6</v>
      </c>
      <c r="Q380" t="s">
        <v>2407</v>
      </c>
      <c r="R380" t="s">
        <v>993</v>
      </c>
      <c r="S380">
        <v>9</v>
      </c>
      <c r="T380">
        <v>0</v>
      </c>
      <c r="U380" t="s">
        <v>52</v>
      </c>
      <c r="V380" t="s">
        <v>3333</v>
      </c>
      <c r="W380" t="s">
        <v>54</v>
      </c>
      <c r="X380" t="s">
        <v>54</v>
      </c>
      <c r="Y380" t="s">
        <v>54</v>
      </c>
      <c r="Z380" t="s">
        <v>54</v>
      </c>
      <c r="AA380" t="s">
        <v>54</v>
      </c>
      <c r="AB380" t="s">
        <v>54</v>
      </c>
      <c r="AC380" t="s">
        <v>54</v>
      </c>
      <c r="AD380" t="s">
        <v>54</v>
      </c>
      <c r="AE380" t="s">
        <v>54</v>
      </c>
      <c r="AF380" t="s">
        <v>54</v>
      </c>
      <c r="AG380" t="s">
        <v>54</v>
      </c>
      <c r="AH380" t="s">
        <v>54</v>
      </c>
      <c r="AI380" t="s">
        <v>54</v>
      </c>
      <c r="AJ380" t="s">
        <v>54</v>
      </c>
      <c r="AK380" t="s">
        <v>54</v>
      </c>
      <c r="AL380" t="s">
        <v>54</v>
      </c>
      <c r="AM380" t="s">
        <v>54</v>
      </c>
      <c r="AN380" t="s">
        <v>54</v>
      </c>
      <c r="AO380" t="s">
        <v>54</v>
      </c>
      <c r="AP380" t="s">
        <v>54</v>
      </c>
      <c r="AQ380" t="s">
        <v>54</v>
      </c>
    </row>
    <row r="381" spans="1:43" x14ac:dyDescent="0.25">
      <c r="A381" t="s">
        <v>3334</v>
      </c>
      <c r="B381">
        <v>163</v>
      </c>
      <c r="C381">
        <v>115</v>
      </c>
      <c r="D381" t="s">
        <v>3335</v>
      </c>
      <c r="E381" t="s">
        <v>3336</v>
      </c>
      <c r="F381" t="s">
        <v>3337</v>
      </c>
      <c r="G381" t="s">
        <v>3338</v>
      </c>
      <c r="H381" t="s">
        <v>1011</v>
      </c>
      <c r="I381" t="s">
        <v>1010</v>
      </c>
      <c r="J381">
        <v>2</v>
      </c>
      <c r="K381">
        <v>1</v>
      </c>
      <c r="L381">
        <v>3</v>
      </c>
      <c r="M381" t="s">
        <v>3339</v>
      </c>
      <c r="N381">
        <v>96</v>
      </c>
      <c r="O381">
        <v>163</v>
      </c>
      <c r="P381">
        <v>12</v>
      </c>
      <c r="Q381" t="s">
        <v>3340</v>
      </c>
      <c r="R381" t="s">
        <v>366</v>
      </c>
      <c r="S381">
        <v>12</v>
      </c>
      <c r="T381">
        <v>0</v>
      </c>
      <c r="U381" t="s">
        <v>52</v>
      </c>
      <c r="V381" t="s">
        <v>3341</v>
      </c>
      <c r="W381" t="s">
        <v>54</v>
      </c>
      <c r="X381" t="s">
        <v>54</v>
      </c>
      <c r="Y381" t="s">
        <v>54</v>
      </c>
      <c r="Z381" t="s">
        <v>54</v>
      </c>
      <c r="AA381" t="s">
        <v>54</v>
      </c>
      <c r="AB381" t="s">
        <v>54</v>
      </c>
      <c r="AC381" t="s">
        <v>54</v>
      </c>
      <c r="AD381" t="s">
        <v>54</v>
      </c>
      <c r="AE381" t="s">
        <v>54</v>
      </c>
      <c r="AF381" t="s">
        <v>54</v>
      </c>
      <c r="AG381" t="s">
        <v>54</v>
      </c>
      <c r="AH381" t="s">
        <v>54</v>
      </c>
      <c r="AI381" t="s">
        <v>54</v>
      </c>
      <c r="AJ381" t="s">
        <v>54</v>
      </c>
      <c r="AK381" t="s">
        <v>54</v>
      </c>
      <c r="AL381" t="s">
        <v>54</v>
      </c>
      <c r="AM381" t="s">
        <v>54</v>
      </c>
      <c r="AN381" t="s">
        <v>54</v>
      </c>
      <c r="AO381" t="s">
        <v>54</v>
      </c>
      <c r="AP381" t="s">
        <v>54</v>
      </c>
      <c r="AQ381" t="s">
        <v>54</v>
      </c>
    </row>
    <row r="382" spans="1:43" x14ac:dyDescent="0.25">
      <c r="A382" t="s">
        <v>3342</v>
      </c>
      <c r="B382">
        <v>243</v>
      </c>
      <c r="C382">
        <v>170</v>
      </c>
      <c r="D382" t="s">
        <v>3343</v>
      </c>
      <c r="E382" t="s">
        <v>3344</v>
      </c>
      <c r="F382" t="s">
        <v>3345</v>
      </c>
      <c r="G382" t="s">
        <v>3346</v>
      </c>
      <c r="H382" t="s">
        <v>3347</v>
      </c>
      <c r="I382" t="s">
        <v>3348</v>
      </c>
      <c r="J382">
        <v>4</v>
      </c>
      <c r="K382">
        <v>2</v>
      </c>
      <c r="L382">
        <v>4</v>
      </c>
      <c r="M382" t="s">
        <v>1243</v>
      </c>
      <c r="N382">
        <v>135</v>
      </c>
      <c r="O382">
        <v>243</v>
      </c>
      <c r="P382">
        <v>11</v>
      </c>
      <c r="Q382" t="s">
        <v>3349</v>
      </c>
      <c r="R382" t="s">
        <v>2348</v>
      </c>
      <c r="S382">
        <v>29</v>
      </c>
      <c r="T382">
        <v>0</v>
      </c>
      <c r="U382" t="s">
        <v>52</v>
      </c>
      <c r="V382" t="s">
        <v>3350</v>
      </c>
      <c r="W382" t="s">
        <v>54</v>
      </c>
      <c r="X382" t="s">
        <v>54</v>
      </c>
      <c r="Y382" t="s">
        <v>54</v>
      </c>
      <c r="Z382" t="s">
        <v>54</v>
      </c>
      <c r="AA382" t="s">
        <v>54</v>
      </c>
      <c r="AB382" t="s">
        <v>54</v>
      </c>
      <c r="AC382" t="s">
        <v>54</v>
      </c>
      <c r="AD382" t="s">
        <v>54</v>
      </c>
      <c r="AE382" t="s">
        <v>54</v>
      </c>
      <c r="AF382" t="s">
        <v>54</v>
      </c>
      <c r="AG382" t="s">
        <v>54</v>
      </c>
      <c r="AH382" t="s">
        <v>54</v>
      </c>
      <c r="AI382" t="s">
        <v>54</v>
      </c>
      <c r="AJ382" t="s">
        <v>54</v>
      </c>
      <c r="AK382" t="s">
        <v>54</v>
      </c>
      <c r="AL382" t="s">
        <v>54</v>
      </c>
      <c r="AM382" t="s">
        <v>54</v>
      </c>
      <c r="AN382" t="s">
        <v>54</v>
      </c>
      <c r="AO382" t="s">
        <v>54</v>
      </c>
      <c r="AP382" t="s">
        <v>54</v>
      </c>
      <c r="AQ382" t="s">
        <v>54</v>
      </c>
    </row>
    <row r="383" spans="1:43" x14ac:dyDescent="0.25">
      <c r="A383" t="s">
        <v>3351</v>
      </c>
      <c r="B383">
        <v>189</v>
      </c>
      <c r="C383">
        <v>116</v>
      </c>
      <c r="D383" t="s">
        <v>3352</v>
      </c>
      <c r="E383" t="s">
        <v>3353</v>
      </c>
      <c r="F383" t="s">
        <v>3354</v>
      </c>
      <c r="G383" t="s">
        <v>3355</v>
      </c>
      <c r="H383" t="s">
        <v>3356</v>
      </c>
      <c r="I383" t="s">
        <v>1586</v>
      </c>
      <c r="J383">
        <v>1</v>
      </c>
      <c r="K383">
        <v>3</v>
      </c>
      <c r="L383">
        <v>3</v>
      </c>
      <c r="M383" t="s">
        <v>3357</v>
      </c>
      <c r="N383">
        <v>102</v>
      </c>
      <c r="O383">
        <v>189</v>
      </c>
      <c r="P383">
        <v>14</v>
      </c>
      <c r="Q383" t="s">
        <v>2012</v>
      </c>
      <c r="R383" t="s">
        <v>2550</v>
      </c>
      <c r="S383">
        <v>30</v>
      </c>
      <c r="T383">
        <v>0</v>
      </c>
      <c r="U383" t="s">
        <v>52</v>
      </c>
      <c r="V383" t="s">
        <v>3358</v>
      </c>
      <c r="W383" t="s">
        <v>54</v>
      </c>
      <c r="X383" t="s">
        <v>54</v>
      </c>
      <c r="Y383" t="s">
        <v>54</v>
      </c>
      <c r="Z383" t="s">
        <v>54</v>
      </c>
      <c r="AA383" t="s">
        <v>54</v>
      </c>
      <c r="AB383" t="s">
        <v>54</v>
      </c>
      <c r="AC383" t="s">
        <v>54</v>
      </c>
      <c r="AD383" t="s">
        <v>54</v>
      </c>
      <c r="AE383" t="s">
        <v>54</v>
      </c>
      <c r="AF383" t="s">
        <v>54</v>
      </c>
      <c r="AG383" t="s">
        <v>54</v>
      </c>
      <c r="AH383" t="s">
        <v>54</v>
      </c>
      <c r="AI383" t="s">
        <v>54</v>
      </c>
      <c r="AJ383" t="s">
        <v>54</v>
      </c>
      <c r="AK383" t="s">
        <v>54</v>
      </c>
      <c r="AL383" t="s">
        <v>54</v>
      </c>
      <c r="AM383" t="s">
        <v>54</v>
      </c>
      <c r="AN383" t="s">
        <v>54</v>
      </c>
      <c r="AO383" t="s">
        <v>54</v>
      </c>
      <c r="AP383" t="s">
        <v>54</v>
      </c>
      <c r="AQ383" t="s">
        <v>54</v>
      </c>
    </row>
    <row r="384" spans="1:43" x14ac:dyDescent="0.25">
      <c r="A384" t="s">
        <v>3359</v>
      </c>
      <c r="B384">
        <v>134</v>
      </c>
      <c r="C384">
        <v>100</v>
      </c>
      <c r="D384" t="s">
        <v>3360</v>
      </c>
      <c r="E384" t="s">
        <v>3361</v>
      </c>
      <c r="F384" t="s">
        <v>1266</v>
      </c>
      <c r="G384" t="s">
        <v>3362</v>
      </c>
      <c r="H384" t="s">
        <v>1456</v>
      </c>
      <c r="I384" t="s">
        <v>1456</v>
      </c>
      <c r="J384">
        <v>3</v>
      </c>
      <c r="K384">
        <v>3</v>
      </c>
      <c r="L384">
        <v>2</v>
      </c>
      <c r="M384" t="s">
        <v>144</v>
      </c>
      <c r="N384">
        <v>72</v>
      </c>
      <c r="O384">
        <v>134</v>
      </c>
      <c r="P384">
        <v>12</v>
      </c>
      <c r="Q384" t="s">
        <v>3183</v>
      </c>
      <c r="R384" t="s">
        <v>1604</v>
      </c>
      <c r="S384">
        <v>20</v>
      </c>
      <c r="T384">
        <v>0</v>
      </c>
      <c r="U384" t="s">
        <v>52</v>
      </c>
      <c r="V384" t="s">
        <v>3363</v>
      </c>
      <c r="W384" t="s">
        <v>54</v>
      </c>
      <c r="X384" t="s">
        <v>54</v>
      </c>
      <c r="Y384" t="s">
        <v>54</v>
      </c>
      <c r="Z384" t="s">
        <v>54</v>
      </c>
      <c r="AA384" t="s">
        <v>54</v>
      </c>
      <c r="AB384" t="s">
        <v>54</v>
      </c>
      <c r="AC384" t="s">
        <v>54</v>
      </c>
      <c r="AD384" t="s">
        <v>54</v>
      </c>
      <c r="AE384" t="s">
        <v>54</v>
      </c>
      <c r="AF384" t="s">
        <v>54</v>
      </c>
      <c r="AG384" t="s">
        <v>54</v>
      </c>
      <c r="AH384" t="s">
        <v>54</v>
      </c>
      <c r="AI384" t="s">
        <v>54</v>
      </c>
      <c r="AJ384" t="s">
        <v>54</v>
      </c>
      <c r="AK384" t="s">
        <v>54</v>
      </c>
      <c r="AL384" t="s">
        <v>54</v>
      </c>
      <c r="AM384" t="s">
        <v>54</v>
      </c>
      <c r="AN384" t="s">
        <v>54</v>
      </c>
      <c r="AO384" t="s">
        <v>54</v>
      </c>
      <c r="AP384" t="s">
        <v>54</v>
      </c>
      <c r="AQ384" t="s">
        <v>54</v>
      </c>
    </row>
    <row r="385" spans="1:43" x14ac:dyDescent="0.25">
      <c r="A385" t="s">
        <v>3364</v>
      </c>
      <c r="B385">
        <v>121</v>
      </c>
      <c r="C385">
        <v>88</v>
      </c>
      <c r="D385" t="s">
        <v>340</v>
      </c>
      <c r="E385" t="s">
        <v>3365</v>
      </c>
      <c r="F385" t="s">
        <v>1276</v>
      </c>
      <c r="G385" t="s">
        <v>3366</v>
      </c>
      <c r="H385" t="s">
        <v>3367</v>
      </c>
      <c r="I385" t="s">
        <v>3368</v>
      </c>
      <c r="J385">
        <v>3</v>
      </c>
      <c r="K385">
        <v>4</v>
      </c>
      <c r="L385">
        <v>4</v>
      </c>
      <c r="M385" t="s">
        <v>3369</v>
      </c>
      <c r="N385">
        <v>52</v>
      </c>
      <c r="O385">
        <v>121</v>
      </c>
      <c r="P385">
        <v>7</v>
      </c>
      <c r="Q385" t="s">
        <v>3370</v>
      </c>
      <c r="R385" t="s">
        <v>547</v>
      </c>
      <c r="S385">
        <v>24</v>
      </c>
      <c r="T385">
        <v>0</v>
      </c>
      <c r="U385" t="s">
        <v>52</v>
      </c>
      <c r="V385" t="s">
        <v>3371</v>
      </c>
      <c r="W385" t="s">
        <v>54</v>
      </c>
      <c r="X385" t="s">
        <v>54</v>
      </c>
      <c r="Y385" t="s">
        <v>54</v>
      </c>
      <c r="Z385" t="s">
        <v>54</v>
      </c>
      <c r="AA385" t="s">
        <v>54</v>
      </c>
      <c r="AB385" t="s">
        <v>54</v>
      </c>
      <c r="AC385" t="s">
        <v>54</v>
      </c>
      <c r="AD385" t="s">
        <v>54</v>
      </c>
      <c r="AE385" t="s">
        <v>54</v>
      </c>
      <c r="AF385" t="s">
        <v>54</v>
      </c>
      <c r="AG385" t="s">
        <v>54</v>
      </c>
      <c r="AH385" t="s">
        <v>54</v>
      </c>
      <c r="AI385" t="s">
        <v>54</v>
      </c>
      <c r="AJ385" t="s">
        <v>54</v>
      </c>
      <c r="AK385" t="s">
        <v>54</v>
      </c>
      <c r="AL385" t="s">
        <v>54</v>
      </c>
      <c r="AM385" t="s">
        <v>54</v>
      </c>
      <c r="AN385" t="s">
        <v>54</v>
      </c>
      <c r="AO385" t="s">
        <v>54</v>
      </c>
      <c r="AP385" t="s">
        <v>54</v>
      </c>
      <c r="AQ385" t="s">
        <v>54</v>
      </c>
    </row>
    <row r="386" spans="1:43" x14ac:dyDescent="0.25">
      <c r="A386" t="s">
        <v>3372</v>
      </c>
      <c r="B386">
        <v>149</v>
      </c>
      <c r="C386">
        <v>105</v>
      </c>
      <c r="D386" t="s">
        <v>3373</v>
      </c>
      <c r="E386" t="s">
        <v>997</v>
      </c>
      <c r="F386" t="s">
        <v>342</v>
      </c>
      <c r="G386" t="s">
        <v>3374</v>
      </c>
      <c r="H386" t="s">
        <v>1000</v>
      </c>
      <c r="I386" t="s">
        <v>52</v>
      </c>
      <c r="J386">
        <v>2</v>
      </c>
      <c r="K386">
        <v>0</v>
      </c>
      <c r="L386">
        <v>2</v>
      </c>
      <c r="M386" t="s">
        <v>1069</v>
      </c>
      <c r="N386">
        <v>77</v>
      </c>
      <c r="O386">
        <v>149</v>
      </c>
      <c r="P386">
        <v>9</v>
      </c>
      <c r="Q386" t="s">
        <v>3375</v>
      </c>
      <c r="R386" t="s">
        <v>146</v>
      </c>
      <c r="S386">
        <v>18</v>
      </c>
      <c r="T386">
        <v>0</v>
      </c>
      <c r="U386" t="s">
        <v>52</v>
      </c>
      <c r="V386" t="s">
        <v>3376</v>
      </c>
      <c r="W386" t="s">
        <v>54</v>
      </c>
      <c r="X386" t="s">
        <v>54</v>
      </c>
      <c r="Y386" t="s">
        <v>54</v>
      </c>
      <c r="Z386" t="s">
        <v>54</v>
      </c>
      <c r="AA386" t="s">
        <v>54</v>
      </c>
      <c r="AB386" t="s">
        <v>54</v>
      </c>
      <c r="AC386" t="s">
        <v>54</v>
      </c>
      <c r="AD386" t="s">
        <v>54</v>
      </c>
      <c r="AE386" t="s">
        <v>54</v>
      </c>
      <c r="AF386" t="s">
        <v>54</v>
      </c>
      <c r="AG386" t="s">
        <v>54</v>
      </c>
      <c r="AH386" t="s">
        <v>54</v>
      </c>
      <c r="AI386" t="s">
        <v>54</v>
      </c>
      <c r="AJ386" t="s">
        <v>54</v>
      </c>
      <c r="AK386" t="s">
        <v>54</v>
      </c>
      <c r="AL386" t="s">
        <v>54</v>
      </c>
      <c r="AM386" t="s">
        <v>54</v>
      </c>
      <c r="AN386" t="s">
        <v>54</v>
      </c>
      <c r="AO386" t="s">
        <v>54</v>
      </c>
      <c r="AP386" t="s">
        <v>54</v>
      </c>
      <c r="AQ386" t="s">
        <v>54</v>
      </c>
    </row>
    <row r="387" spans="1:43" x14ac:dyDescent="0.25">
      <c r="A387" t="s">
        <v>3377</v>
      </c>
      <c r="B387">
        <v>173</v>
      </c>
      <c r="C387">
        <v>112</v>
      </c>
      <c r="D387" t="s">
        <v>3378</v>
      </c>
      <c r="E387" t="s">
        <v>1420</v>
      </c>
      <c r="F387" t="s">
        <v>3379</v>
      </c>
      <c r="G387" t="s">
        <v>3380</v>
      </c>
      <c r="H387" t="s">
        <v>416</v>
      </c>
      <c r="I387" t="s">
        <v>2626</v>
      </c>
      <c r="J387">
        <v>2</v>
      </c>
      <c r="K387">
        <v>3</v>
      </c>
      <c r="L387">
        <v>4</v>
      </c>
      <c r="M387" t="s">
        <v>3381</v>
      </c>
      <c r="N387">
        <v>90</v>
      </c>
      <c r="O387">
        <v>173</v>
      </c>
      <c r="P387">
        <v>6</v>
      </c>
      <c r="Q387" t="s">
        <v>3382</v>
      </c>
      <c r="R387" t="s">
        <v>209</v>
      </c>
      <c r="S387">
        <v>24</v>
      </c>
      <c r="T387">
        <v>0</v>
      </c>
      <c r="U387" t="s">
        <v>52</v>
      </c>
      <c r="V387" t="s">
        <v>3383</v>
      </c>
      <c r="W387" t="s">
        <v>54</v>
      </c>
      <c r="X387" t="s">
        <v>54</v>
      </c>
      <c r="Y387" t="s">
        <v>54</v>
      </c>
      <c r="Z387" t="s">
        <v>54</v>
      </c>
      <c r="AA387" t="s">
        <v>54</v>
      </c>
      <c r="AB387" t="s">
        <v>54</v>
      </c>
      <c r="AC387" t="s">
        <v>54</v>
      </c>
      <c r="AD387" t="s">
        <v>54</v>
      </c>
      <c r="AE387" t="s">
        <v>54</v>
      </c>
      <c r="AF387" t="s">
        <v>54</v>
      </c>
      <c r="AG387" t="s">
        <v>54</v>
      </c>
      <c r="AH387" t="s">
        <v>54</v>
      </c>
      <c r="AI387" t="s">
        <v>54</v>
      </c>
      <c r="AJ387" t="s">
        <v>54</v>
      </c>
      <c r="AK387" t="s">
        <v>54</v>
      </c>
      <c r="AL387" t="s">
        <v>54</v>
      </c>
      <c r="AM387" t="s">
        <v>54</v>
      </c>
      <c r="AN387" t="s">
        <v>54</v>
      </c>
      <c r="AO387" t="s">
        <v>54</v>
      </c>
      <c r="AP387" t="s">
        <v>54</v>
      </c>
      <c r="AQ387" t="s">
        <v>54</v>
      </c>
    </row>
    <row r="388" spans="1:43" x14ac:dyDescent="0.25">
      <c r="A388" t="s">
        <v>3384</v>
      </c>
      <c r="B388">
        <v>173</v>
      </c>
      <c r="C388">
        <v>122</v>
      </c>
      <c r="D388" t="s">
        <v>2992</v>
      </c>
      <c r="E388" t="s">
        <v>3385</v>
      </c>
      <c r="F388" t="s">
        <v>3386</v>
      </c>
      <c r="G388" t="s">
        <v>3387</v>
      </c>
      <c r="H388" t="s">
        <v>52</v>
      </c>
      <c r="I388" t="s">
        <v>2626</v>
      </c>
      <c r="J388">
        <v>0</v>
      </c>
      <c r="K388">
        <v>3</v>
      </c>
      <c r="L388">
        <v>3</v>
      </c>
      <c r="M388" t="s">
        <v>3388</v>
      </c>
      <c r="N388">
        <v>93</v>
      </c>
      <c r="O388">
        <v>175</v>
      </c>
      <c r="P388">
        <v>6</v>
      </c>
      <c r="Q388" t="s">
        <v>3382</v>
      </c>
      <c r="R388" t="s">
        <v>3161</v>
      </c>
      <c r="S388">
        <v>20</v>
      </c>
      <c r="T388">
        <v>0</v>
      </c>
      <c r="U388" t="s">
        <v>52</v>
      </c>
      <c r="V388" t="s">
        <v>3389</v>
      </c>
      <c r="W388" t="s">
        <v>54</v>
      </c>
      <c r="X388" t="s">
        <v>54</v>
      </c>
      <c r="Y388" t="s">
        <v>54</v>
      </c>
      <c r="Z388" t="s">
        <v>54</v>
      </c>
      <c r="AA388" t="s">
        <v>54</v>
      </c>
      <c r="AB388" t="s">
        <v>54</v>
      </c>
      <c r="AC388" t="s">
        <v>54</v>
      </c>
      <c r="AD388" t="s">
        <v>54</v>
      </c>
      <c r="AE388" t="s">
        <v>54</v>
      </c>
      <c r="AF388" t="s">
        <v>54</v>
      </c>
      <c r="AG388" t="s">
        <v>54</v>
      </c>
      <c r="AH388" t="s">
        <v>54</v>
      </c>
      <c r="AI388" t="s">
        <v>54</v>
      </c>
      <c r="AJ388" t="s">
        <v>54</v>
      </c>
      <c r="AK388" t="s">
        <v>54</v>
      </c>
      <c r="AL388" t="s">
        <v>54</v>
      </c>
      <c r="AM388" t="s">
        <v>54</v>
      </c>
      <c r="AN388" t="s">
        <v>54</v>
      </c>
      <c r="AO388" t="s">
        <v>54</v>
      </c>
      <c r="AP388" t="s">
        <v>54</v>
      </c>
      <c r="AQ388" t="s">
        <v>54</v>
      </c>
    </row>
    <row r="389" spans="1:43" x14ac:dyDescent="0.25">
      <c r="A389" t="s">
        <v>3390</v>
      </c>
      <c r="B389">
        <v>203</v>
      </c>
      <c r="C389">
        <v>141</v>
      </c>
      <c r="D389" t="s">
        <v>3391</v>
      </c>
      <c r="E389" t="s">
        <v>3392</v>
      </c>
      <c r="F389" t="s">
        <v>141</v>
      </c>
      <c r="G389" t="s">
        <v>3393</v>
      </c>
      <c r="H389" t="s">
        <v>3394</v>
      </c>
      <c r="I389" t="s">
        <v>3395</v>
      </c>
      <c r="J389">
        <v>5</v>
      </c>
      <c r="K389">
        <v>4</v>
      </c>
      <c r="L389">
        <v>5</v>
      </c>
      <c r="M389" t="s">
        <v>758</v>
      </c>
      <c r="N389">
        <v>114</v>
      </c>
      <c r="O389">
        <v>204</v>
      </c>
      <c r="P389">
        <v>21</v>
      </c>
      <c r="Q389" t="s">
        <v>365</v>
      </c>
      <c r="R389" t="s">
        <v>3396</v>
      </c>
      <c r="S389">
        <v>20</v>
      </c>
      <c r="T389">
        <v>0</v>
      </c>
      <c r="U389" t="s">
        <v>52</v>
      </c>
      <c r="V389" t="s">
        <v>3397</v>
      </c>
      <c r="W389" t="s">
        <v>54</v>
      </c>
      <c r="X389" t="s">
        <v>54</v>
      </c>
      <c r="Y389" t="s">
        <v>54</v>
      </c>
      <c r="Z389" t="s">
        <v>54</v>
      </c>
      <c r="AA389" t="s">
        <v>54</v>
      </c>
      <c r="AB389" t="s">
        <v>54</v>
      </c>
      <c r="AC389" t="s">
        <v>54</v>
      </c>
      <c r="AD389" t="s">
        <v>54</v>
      </c>
      <c r="AE389" t="s">
        <v>54</v>
      </c>
      <c r="AF389" t="s">
        <v>54</v>
      </c>
      <c r="AG389" t="s">
        <v>54</v>
      </c>
      <c r="AH389" t="s">
        <v>54</v>
      </c>
      <c r="AI389" t="s">
        <v>54</v>
      </c>
      <c r="AJ389" t="s">
        <v>54</v>
      </c>
      <c r="AK389" t="s">
        <v>54</v>
      </c>
      <c r="AL389" t="s">
        <v>54</v>
      </c>
      <c r="AM389" t="s">
        <v>54</v>
      </c>
      <c r="AN389" t="s">
        <v>54</v>
      </c>
      <c r="AO389" t="s">
        <v>54</v>
      </c>
      <c r="AP389" t="s">
        <v>54</v>
      </c>
      <c r="AQ389" t="s">
        <v>54</v>
      </c>
    </row>
    <row r="390" spans="1:43" x14ac:dyDescent="0.25">
      <c r="A390" t="s">
        <v>3398</v>
      </c>
      <c r="B390">
        <v>121</v>
      </c>
      <c r="C390">
        <v>89</v>
      </c>
      <c r="D390" t="s">
        <v>3399</v>
      </c>
      <c r="E390" t="s">
        <v>3400</v>
      </c>
      <c r="F390" t="s">
        <v>868</v>
      </c>
      <c r="G390" t="s">
        <v>3401</v>
      </c>
      <c r="H390" t="s">
        <v>52</v>
      </c>
      <c r="I390" t="s">
        <v>3402</v>
      </c>
      <c r="J390">
        <v>0</v>
      </c>
      <c r="K390">
        <v>1</v>
      </c>
      <c r="L390">
        <v>2</v>
      </c>
      <c r="M390" t="s">
        <v>3403</v>
      </c>
      <c r="N390">
        <v>74</v>
      </c>
      <c r="O390">
        <v>124</v>
      </c>
      <c r="P390">
        <v>9</v>
      </c>
      <c r="Q390" t="s">
        <v>3404</v>
      </c>
      <c r="R390" t="s">
        <v>1646</v>
      </c>
      <c r="S390">
        <v>12</v>
      </c>
      <c r="T390">
        <v>0</v>
      </c>
      <c r="U390" t="s">
        <v>52</v>
      </c>
      <c r="V390" t="s">
        <v>3405</v>
      </c>
      <c r="W390" t="s">
        <v>54</v>
      </c>
      <c r="X390" t="s">
        <v>54</v>
      </c>
      <c r="Y390" t="s">
        <v>54</v>
      </c>
      <c r="Z390" t="s">
        <v>54</v>
      </c>
      <c r="AA390" t="s">
        <v>54</v>
      </c>
      <c r="AB390" t="s">
        <v>54</v>
      </c>
      <c r="AC390" t="s">
        <v>54</v>
      </c>
      <c r="AD390" t="s">
        <v>54</v>
      </c>
      <c r="AE390" t="s">
        <v>54</v>
      </c>
      <c r="AF390" t="s">
        <v>54</v>
      </c>
      <c r="AG390" t="s">
        <v>54</v>
      </c>
      <c r="AH390" t="s">
        <v>54</v>
      </c>
      <c r="AI390" t="s">
        <v>54</v>
      </c>
      <c r="AJ390" t="s">
        <v>54</v>
      </c>
      <c r="AK390" t="s">
        <v>54</v>
      </c>
      <c r="AL390" t="s">
        <v>54</v>
      </c>
      <c r="AM390" t="s">
        <v>54</v>
      </c>
      <c r="AN390" t="s">
        <v>54</v>
      </c>
      <c r="AO390" t="s">
        <v>54</v>
      </c>
      <c r="AP390" t="s">
        <v>54</v>
      </c>
      <c r="AQ390" t="s">
        <v>54</v>
      </c>
    </row>
    <row r="391" spans="1:43" x14ac:dyDescent="0.25">
      <c r="A391" t="s">
        <v>3406</v>
      </c>
      <c r="B391">
        <v>178</v>
      </c>
      <c r="C391">
        <v>116</v>
      </c>
      <c r="D391" t="s">
        <v>3407</v>
      </c>
      <c r="E391" t="s">
        <v>3408</v>
      </c>
      <c r="F391" t="s">
        <v>1658</v>
      </c>
      <c r="G391" t="s">
        <v>3409</v>
      </c>
      <c r="H391" t="s">
        <v>3410</v>
      </c>
      <c r="I391" t="s">
        <v>3411</v>
      </c>
      <c r="J391">
        <v>7</v>
      </c>
      <c r="K391">
        <v>1</v>
      </c>
      <c r="L391">
        <v>4</v>
      </c>
      <c r="M391" t="s">
        <v>3412</v>
      </c>
      <c r="N391">
        <v>98</v>
      </c>
      <c r="O391">
        <v>179</v>
      </c>
      <c r="P391">
        <v>10</v>
      </c>
      <c r="Q391" t="s">
        <v>3413</v>
      </c>
      <c r="R391" t="s">
        <v>62</v>
      </c>
      <c r="S391">
        <v>21</v>
      </c>
      <c r="T391">
        <v>0</v>
      </c>
      <c r="U391" t="s">
        <v>52</v>
      </c>
      <c r="V391" t="s">
        <v>3414</v>
      </c>
      <c r="W391" t="s">
        <v>54</v>
      </c>
      <c r="X391" t="s">
        <v>54</v>
      </c>
      <c r="Y391" t="s">
        <v>54</v>
      </c>
      <c r="Z391" t="s">
        <v>54</v>
      </c>
      <c r="AA391" t="s">
        <v>54</v>
      </c>
      <c r="AB391" t="s">
        <v>54</v>
      </c>
      <c r="AC391" t="s">
        <v>54</v>
      </c>
      <c r="AD391" t="s">
        <v>54</v>
      </c>
      <c r="AE391" t="s">
        <v>54</v>
      </c>
      <c r="AF391" t="s">
        <v>54</v>
      </c>
      <c r="AG391" t="s">
        <v>54</v>
      </c>
      <c r="AH391" t="s">
        <v>54</v>
      </c>
      <c r="AI391" t="s">
        <v>54</v>
      </c>
      <c r="AJ391" t="s">
        <v>54</v>
      </c>
      <c r="AK391" t="s">
        <v>54</v>
      </c>
      <c r="AL391" t="s">
        <v>54</v>
      </c>
      <c r="AM391" t="s">
        <v>54</v>
      </c>
      <c r="AN391" t="s">
        <v>54</v>
      </c>
      <c r="AO391" t="s">
        <v>54</v>
      </c>
      <c r="AP391" t="s">
        <v>54</v>
      </c>
      <c r="AQ391" t="s">
        <v>54</v>
      </c>
    </row>
    <row r="392" spans="1:43" x14ac:dyDescent="0.25">
      <c r="A392" t="s">
        <v>3415</v>
      </c>
      <c r="B392">
        <v>208</v>
      </c>
      <c r="C392">
        <v>124</v>
      </c>
      <c r="D392" t="s">
        <v>3416</v>
      </c>
      <c r="E392" t="s">
        <v>1048</v>
      </c>
      <c r="F392" t="s">
        <v>2359</v>
      </c>
      <c r="G392" t="s">
        <v>3417</v>
      </c>
      <c r="H392" t="s">
        <v>3418</v>
      </c>
      <c r="I392" t="s">
        <v>2947</v>
      </c>
      <c r="J392">
        <v>1</v>
      </c>
      <c r="K392">
        <v>2</v>
      </c>
      <c r="L392">
        <v>4</v>
      </c>
      <c r="M392" t="s">
        <v>3419</v>
      </c>
      <c r="N392">
        <v>129</v>
      </c>
      <c r="O392">
        <v>209</v>
      </c>
      <c r="P392">
        <v>10</v>
      </c>
      <c r="Q392" t="s">
        <v>3420</v>
      </c>
      <c r="R392" t="s">
        <v>62</v>
      </c>
      <c r="S392">
        <v>21</v>
      </c>
      <c r="T392">
        <v>0</v>
      </c>
      <c r="U392" t="s">
        <v>52</v>
      </c>
      <c r="V392" t="s">
        <v>3421</v>
      </c>
      <c r="W392" t="s">
        <v>54</v>
      </c>
      <c r="X392" t="s">
        <v>54</v>
      </c>
      <c r="Y392" t="s">
        <v>54</v>
      </c>
      <c r="Z392" t="s">
        <v>54</v>
      </c>
      <c r="AA392" t="s">
        <v>54</v>
      </c>
      <c r="AB392" t="s">
        <v>54</v>
      </c>
      <c r="AC392" t="s">
        <v>54</v>
      </c>
      <c r="AD392" t="s">
        <v>54</v>
      </c>
      <c r="AE392" t="s">
        <v>54</v>
      </c>
      <c r="AF392" t="s">
        <v>54</v>
      </c>
      <c r="AG392" t="s">
        <v>54</v>
      </c>
      <c r="AH392" t="s">
        <v>54</v>
      </c>
      <c r="AI392" t="s">
        <v>54</v>
      </c>
      <c r="AJ392" t="s">
        <v>54</v>
      </c>
      <c r="AK392" t="s">
        <v>54</v>
      </c>
      <c r="AL392" t="s">
        <v>54</v>
      </c>
      <c r="AM392" t="s">
        <v>54</v>
      </c>
      <c r="AN392" t="s">
        <v>54</v>
      </c>
      <c r="AO392" t="s">
        <v>54</v>
      </c>
      <c r="AP392" t="s">
        <v>54</v>
      </c>
      <c r="AQ392" t="s">
        <v>54</v>
      </c>
    </row>
    <row r="393" spans="1:43" x14ac:dyDescent="0.25">
      <c r="A393" t="s">
        <v>3422</v>
      </c>
      <c r="B393">
        <v>148</v>
      </c>
      <c r="C393">
        <v>100</v>
      </c>
      <c r="D393" t="s">
        <v>349</v>
      </c>
      <c r="E393" t="s">
        <v>1830</v>
      </c>
      <c r="F393" t="s">
        <v>1266</v>
      </c>
      <c r="G393" t="s">
        <v>3423</v>
      </c>
      <c r="H393" t="s">
        <v>1182</v>
      </c>
      <c r="I393" t="s">
        <v>3424</v>
      </c>
      <c r="J393">
        <v>2</v>
      </c>
      <c r="K393">
        <v>4</v>
      </c>
      <c r="L393">
        <v>3</v>
      </c>
      <c r="M393" t="s">
        <v>2644</v>
      </c>
      <c r="N393">
        <v>76</v>
      </c>
      <c r="O393">
        <v>148</v>
      </c>
      <c r="P393">
        <v>10</v>
      </c>
      <c r="Q393" t="s">
        <v>355</v>
      </c>
      <c r="R393" t="s">
        <v>489</v>
      </c>
      <c r="S393">
        <v>25</v>
      </c>
      <c r="T393">
        <v>0</v>
      </c>
      <c r="U393" t="s">
        <v>52</v>
      </c>
      <c r="V393" t="s">
        <v>3425</v>
      </c>
      <c r="W393" t="s">
        <v>54</v>
      </c>
      <c r="X393" t="s">
        <v>54</v>
      </c>
      <c r="Y393" t="s">
        <v>54</v>
      </c>
      <c r="Z393" t="s">
        <v>54</v>
      </c>
      <c r="AA393" t="s">
        <v>54</v>
      </c>
      <c r="AB393" t="s">
        <v>54</v>
      </c>
      <c r="AC393" t="s">
        <v>54</v>
      </c>
      <c r="AD393" t="s">
        <v>54</v>
      </c>
      <c r="AE393" t="s">
        <v>54</v>
      </c>
      <c r="AF393" t="s">
        <v>54</v>
      </c>
      <c r="AG393" t="s">
        <v>54</v>
      </c>
      <c r="AH393" t="s">
        <v>54</v>
      </c>
      <c r="AI393" t="s">
        <v>54</v>
      </c>
      <c r="AJ393" t="s">
        <v>54</v>
      </c>
      <c r="AK393" t="s">
        <v>54</v>
      </c>
      <c r="AL393" t="s">
        <v>54</v>
      </c>
      <c r="AM393" t="s">
        <v>54</v>
      </c>
      <c r="AN393" t="s">
        <v>54</v>
      </c>
      <c r="AO393" t="s">
        <v>54</v>
      </c>
      <c r="AP393" t="s">
        <v>54</v>
      </c>
      <c r="AQ393" t="s">
        <v>54</v>
      </c>
    </row>
    <row r="394" spans="1:43" x14ac:dyDescent="0.25">
      <c r="A394" t="s">
        <v>3426</v>
      </c>
      <c r="B394">
        <v>165</v>
      </c>
      <c r="C394">
        <v>107</v>
      </c>
      <c r="D394" t="s">
        <v>3427</v>
      </c>
      <c r="E394" t="s">
        <v>3428</v>
      </c>
      <c r="F394" t="s">
        <v>3429</v>
      </c>
      <c r="G394" t="s">
        <v>3430</v>
      </c>
      <c r="H394" t="s">
        <v>2180</v>
      </c>
      <c r="I394" t="s">
        <v>3431</v>
      </c>
      <c r="J394">
        <v>3</v>
      </c>
      <c r="K394">
        <v>1</v>
      </c>
      <c r="L394">
        <v>4</v>
      </c>
      <c r="M394" t="s">
        <v>3432</v>
      </c>
      <c r="N394">
        <v>84</v>
      </c>
      <c r="O394">
        <v>165</v>
      </c>
      <c r="P394">
        <v>5</v>
      </c>
      <c r="Q394" t="s">
        <v>3433</v>
      </c>
      <c r="R394" t="s">
        <v>3434</v>
      </c>
      <c r="S394">
        <v>22</v>
      </c>
      <c r="T394">
        <v>0</v>
      </c>
      <c r="U394" t="s">
        <v>52</v>
      </c>
      <c r="V394" t="s">
        <v>3435</v>
      </c>
      <c r="W394" t="s">
        <v>54</v>
      </c>
      <c r="X394" t="s">
        <v>54</v>
      </c>
      <c r="Y394" t="s">
        <v>54</v>
      </c>
      <c r="Z394" t="s">
        <v>54</v>
      </c>
      <c r="AA394" t="s">
        <v>54</v>
      </c>
      <c r="AB394" t="s">
        <v>54</v>
      </c>
      <c r="AC394" t="s">
        <v>54</v>
      </c>
      <c r="AD394" t="s">
        <v>54</v>
      </c>
      <c r="AE394" t="s">
        <v>54</v>
      </c>
      <c r="AF394" t="s">
        <v>54</v>
      </c>
      <c r="AG394" t="s">
        <v>54</v>
      </c>
      <c r="AH394" t="s">
        <v>54</v>
      </c>
      <c r="AI394" t="s">
        <v>54</v>
      </c>
      <c r="AJ394" t="s">
        <v>54</v>
      </c>
      <c r="AK394" t="s">
        <v>54</v>
      </c>
      <c r="AL394" t="s">
        <v>54</v>
      </c>
      <c r="AM394" t="s">
        <v>54</v>
      </c>
      <c r="AN394" t="s">
        <v>54</v>
      </c>
      <c r="AO394" t="s">
        <v>54</v>
      </c>
      <c r="AP394" t="s">
        <v>54</v>
      </c>
      <c r="AQ394" t="s">
        <v>54</v>
      </c>
    </row>
    <row r="395" spans="1:43" x14ac:dyDescent="0.25">
      <c r="A395" t="s">
        <v>3436</v>
      </c>
      <c r="B395">
        <v>113</v>
      </c>
      <c r="C395">
        <v>82</v>
      </c>
      <c r="D395" t="s">
        <v>1600</v>
      </c>
      <c r="E395" t="s">
        <v>3437</v>
      </c>
      <c r="F395" t="s">
        <v>3438</v>
      </c>
      <c r="G395" t="s">
        <v>3439</v>
      </c>
      <c r="H395" t="s">
        <v>3299</v>
      </c>
      <c r="I395" t="s">
        <v>3299</v>
      </c>
      <c r="J395">
        <v>1</v>
      </c>
      <c r="K395">
        <v>1</v>
      </c>
      <c r="L395">
        <v>3</v>
      </c>
      <c r="M395" t="s">
        <v>3440</v>
      </c>
      <c r="N395">
        <v>64</v>
      </c>
      <c r="O395">
        <v>113</v>
      </c>
      <c r="P395">
        <v>9</v>
      </c>
      <c r="Q395" t="s">
        <v>3441</v>
      </c>
      <c r="R395" t="s">
        <v>1646</v>
      </c>
      <c r="S395">
        <v>12</v>
      </c>
      <c r="T395">
        <v>0</v>
      </c>
      <c r="U395" t="s">
        <v>52</v>
      </c>
      <c r="V395" t="s">
        <v>3442</v>
      </c>
      <c r="W395" t="s">
        <v>54</v>
      </c>
      <c r="X395" t="s">
        <v>54</v>
      </c>
      <c r="Y395" t="s">
        <v>54</v>
      </c>
      <c r="Z395" t="s">
        <v>54</v>
      </c>
      <c r="AA395" t="s">
        <v>54</v>
      </c>
      <c r="AB395" t="s">
        <v>54</v>
      </c>
      <c r="AC395" t="s">
        <v>54</v>
      </c>
      <c r="AD395" t="s">
        <v>54</v>
      </c>
      <c r="AE395" t="s">
        <v>54</v>
      </c>
      <c r="AF395" t="s">
        <v>54</v>
      </c>
      <c r="AG395" t="s">
        <v>54</v>
      </c>
      <c r="AH395" t="s">
        <v>54</v>
      </c>
      <c r="AI395" t="s">
        <v>54</v>
      </c>
      <c r="AJ395" t="s">
        <v>54</v>
      </c>
      <c r="AK395" t="s">
        <v>54</v>
      </c>
      <c r="AL395" t="s">
        <v>54</v>
      </c>
      <c r="AM395" t="s">
        <v>54</v>
      </c>
      <c r="AN395" t="s">
        <v>54</v>
      </c>
      <c r="AO395" t="s">
        <v>54</v>
      </c>
      <c r="AP395" t="s">
        <v>54</v>
      </c>
      <c r="AQ395" t="s">
        <v>54</v>
      </c>
    </row>
    <row r="396" spans="1:43" x14ac:dyDescent="0.25">
      <c r="A396" t="s">
        <v>3443</v>
      </c>
      <c r="B396">
        <v>189</v>
      </c>
      <c r="C396">
        <v>146</v>
      </c>
      <c r="D396" t="s">
        <v>3444</v>
      </c>
      <c r="E396" t="s">
        <v>3445</v>
      </c>
      <c r="F396" t="s">
        <v>3446</v>
      </c>
      <c r="G396" t="s">
        <v>3447</v>
      </c>
      <c r="H396" t="s">
        <v>3448</v>
      </c>
      <c r="I396" t="s">
        <v>3448</v>
      </c>
      <c r="J396">
        <v>4</v>
      </c>
      <c r="K396">
        <v>4</v>
      </c>
      <c r="L396">
        <v>3</v>
      </c>
      <c r="M396" t="s">
        <v>3357</v>
      </c>
      <c r="N396">
        <v>102</v>
      </c>
      <c r="O396">
        <v>189</v>
      </c>
      <c r="P396">
        <v>10</v>
      </c>
      <c r="Q396" t="s">
        <v>3449</v>
      </c>
      <c r="R396" t="s">
        <v>2322</v>
      </c>
      <c r="S396">
        <v>32</v>
      </c>
      <c r="T396">
        <v>0</v>
      </c>
      <c r="U396" t="s">
        <v>52</v>
      </c>
      <c r="V396" t="s">
        <v>3450</v>
      </c>
      <c r="W396" t="s">
        <v>54</v>
      </c>
      <c r="X396" t="s">
        <v>54</v>
      </c>
      <c r="Y396" t="s">
        <v>54</v>
      </c>
      <c r="Z396" t="s">
        <v>54</v>
      </c>
      <c r="AA396" t="s">
        <v>54</v>
      </c>
      <c r="AB396" t="s">
        <v>54</v>
      </c>
      <c r="AC396" t="s">
        <v>54</v>
      </c>
      <c r="AD396" t="s">
        <v>54</v>
      </c>
      <c r="AE396" t="s">
        <v>54</v>
      </c>
      <c r="AF396" t="s">
        <v>54</v>
      </c>
      <c r="AG396" t="s">
        <v>54</v>
      </c>
      <c r="AH396" t="s">
        <v>54</v>
      </c>
      <c r="AI396" t="s">
        <v>54</v>
      </c>
      <c r="AJ396" t="s">
        <v>54</v>
      </c>
      <c r="AK396" t="s">
        <v>54</v>
      </c>
      <c r="AL396" t="s">
        <v>54</v>
      </c>
      <c r="AM396" t="s">
        <v>54</v>
      </c>
      <c r="AN396" t="s">
        <v>54</v>
      </c>
      <c r="AO396" t="s">
        <v>54</v>
      </c>
      <c r="AP396" t="s">
        <v>54</v>
      </c>
      <c r="AQ396" t="s">
        <v>54</v>
      </c>
    </row>
    <row r="397" spans="1:43" x14ac:dyDescent="0.25">
      <c r="A397" t="s">
        <v>3451</v>
      </c>
      <c r="B397">
        <v>115</v>
      </c>
      <c r="C397">
        <v>89</v>
      </c>
      <c r="D397" t="s">
        <v>3107</v>
      </c>
      <c r="E397" t="s">
        <v>3452</v>
      </c>
      <c r="F397" t="s">
        <v>371</v>
      </c>
      <c r="G397" t="s">
        <v>3453</v>
      </c>
      <c r="H397" t="s">
        <v>52</v>
      </c>
      <c r="I397" t="s">
        <v>52</v>
      </c>
      <c r="J397">
        <v>0</v>
      </c>
      <c r="K397">
        <v>0</v>
      </c>
      <c r="L397">
        <v>1</v>
      </c>
      <c r="M397" t="s">
        <v>3454</v>
      </c>
      <c r="N397">
        <v>67</v>
      </c>
      <c r="O397">
        <v>115</v>
      </c>
      <c r="P397">
        <v>7</v>
      </c>
      <c r="Q397" t="s">
        <v>3455</v>
      </c>
      <c r="R397" t="s">
        <v>2701</v>
      </c>
      <c r="S397">
        <v>9</v>
      </c>
      <c r="T397">
        <v>0</v>
      </c>
      <c r="U397" t="s">
        <v>52</v>
      </c>
      <c r="V397" t="s">
        <v>3456</v>
      </c>
      <c r="W397" t="s">
        <v>54</v>
      </c>
      <c r="X397" t="s">
        <v>54</v>
      </c>
      <c r="Y397" t="s">
        <v>54</v>
      </c>
      <c r="Z397" t="s">
        <v>54</v>
      </c>
      <c r="AA397" t="s">
        <v>54</v>
      </c>
      <c r="AB397" t="s">
        <v>54</v>
      </c>
      <c r="AC397" t="s">
        <v>54</v>
      </c>
      <c r="AD397" t="s">
        <v>54</v>
      </c>
      <c r="AE397" t="s">
        <v>54</v>
      </c>
      <c r="AF397" t="s">
        <v>54</v>
      </c>
      <c r="AG397" t="s">
        <v>54</v>
      </c>
      <c r="AH397" t="s">
        <v>54</v>
      </c>
      <c r="AI397" t="s">
        <v>54</v>
      </c>
      <c r="AJ397" t="s">
        <v>54</v>
      </c>
      <c r="AK397" t="s">
        <v>54</v>
      </c>
      <c r="AL397" t="s">
        <v>54</v>
      </c>
      <c r="AM397" t="s">
        <v>54</v>
      </c>
      <c r="AN397" t="s">
        <v>54</v>
      </c>
      <c r="AO397" t="s">
        <v>54</v>
      </c>
      <c r="AP397" t="s">
        <v>54</v>
      </c>
      <c r="AQ397" t="s">
        <v>54</v>
      </c>
    </row>
    <row r="398" spans="1:43" x14ac:dyDescent="0.25">
      <c r="A398" t="s">
        <v>3457</v>
      </c>
      <c r="B398">
        <v>206</v>
      </c>
      <c r="C398">
        <v>114</v>
      </c>
      <c r="D398" t="s">
        <v>3458</v>
      </c>
      <c r="E398" t="s">
        <v>3459</v>
      </c>
      <c r="F398" t="s">
        <v>173</v>
      </c>
      <c r="G398" t="s">
        <v>3460</v>
      </c>
      <c r="H398" t="s">
        <v>334</v>
      </c>
      <c r="I398" t="s">
        <v>3461</v>
      </c>
      <c r="J398">
        <v>2</v>
      </c>
      <c r="K398">
        <v>16</v>
      </c>
      <c r="L398">
        <v>4</v>
      </c>
      <c r="M398" t="s">
        <v>3462</v>
      </c>
      <c r="N398">
        <v>107</v>
      </c>
      <c r="O398">
        <v>206</v>
      </c>
      <c r="P398">
        <v>7</v>
      </c>
      <c r="Q398" t="s">
        <v>1719</v>
      </c>
      <c r="R398" t="s">
        <v>2858</v>
      </c>
      <c r="S398">
        <v>38</v>
      </c>
      <c r="T398">
        <v>0</v>
      </c>
      <c r="U398" t="s">
        <v>52</v>
      </c>
      <c r="V398" t="s">
        <v>3463</v>
      </c>
      <c r="W398" t="s">
        <v>54</v>
      </c>
      <c r="X398" t="s">
        <v>54</v>
      </c>
      <c r="Y398" t="s">
        <v>54</v>
      </c>
      <c r="Z398" t="s">
        <v>54</v>
      </c>
      <c r="AA398" t="s">
        <v>54</v>
      </c>
      <c r="AB398" t="s">
        <v>54</v>
      </c>
      <c r="AC398" t="s">
        <v>54</v>
      </c>
      <c r="AD398" t="s">
        <v>54</v>
      </c>
      <c r="AE398" t="s">
        <v>54</v>
      </c>
      <c r="AF398" t="s">
        <v>54</v>
      </c>
      <c r="AG398" t="s">
        <v>54</v>
      </c>
      <c r="AH398" t="s">
        <v>54</v>
      </c>
      <c r="AI398" t="s">
        <v>54</v>
      </c>
      <c r="AJ398" t="s">
        <v>54</v>
      </c>
      <c r="AK398" t="s">
        <v>54</v>
      </c>
      <c r="AL398" t="s">
        <v>54</v>
      </c>
      <c r="AM398" t="s">
        <v>54</v>
      </c>
      <c r="AN398" t="s">
        <v>54</v>
      </c>
      <c r="AO398" t="s">
        <v>54</v>
      </c>
      <c r="AP398" t="s">
        <v>54</v>
      </c>
      <c r="AQ398" t="s">
        <v>54</v>
      </c>
    </row>
    <row r="399" spans="1:43" x14ac:dyDescent="0.25">
      <c r="A399" t="s">
        <v>3464</v>
      </c>
      <c r="B399">
        <v>164</v>
      </c>
      <c r="C399">
        <v>118</v>
      </c>
      <c r="D399" t="s">
        <v>3465</v>
      </c>
      <c r="E399" t="s">
        <v>1220</v>
      </c>
      <c r="F399" t="s">
        <v>3466</v>
      </c>
      <c r="G399" t="s">
        <v>3467</v>
      </c>
      <c r="H399" t="s">
        <v>3468</v>
      </c>
      <c r="I399" t="s">
        <v>1711</v>
      </c>
      <c r="J399">
        <v>3</v>
      </c>
      <c r="K399">
        <v>1</v>
      </c>
      <c r="L399">
        <v>3</v>
      </c>
      <c r="M399" t="s">
        <v>3469</v>
      </c>
      <c r="N399">
        <v>79</v>
      </c>
      <c r="O399">
        <v>164</v>
      </c>
      <c r="P399">
        <v>16</v>
      </c>
      <c r="Q399" t="s">
        <v>1050</v>
      </c>
      <c r="R399" t="s">
        <v>1022</v>
      </c>
      <c r="S399">
        <v>22</v>
      </c>
      <c r="T399">
        <v>0</v>
      </c>
      <c r="U399" t="s">
        <v>52</v>
      </c>
      <c r="V399" t="s">
        <v>3470</v>
      </c>
      <c r="W399" t="s">
        <v>54</v>
      </c>
      <c r="X399" t="s">
        <v>54</v>
      </c>
      <c r="Y399" t="s">
        <v>54</v>
      </c>
      <c r="Z399" t="s">
        <v>54</v>
      </c>
      <c r="AA399" t="s">
        <v>54</v>
      </c>
      <c r="AB399" t="s">
        <v>54</v>
      </c>
      <c r="AC399" t="s">
        <v>54</v>
      </c>
      <c r="AD399" t="s">
        <v>54</v>
      </c>
      <c r="AE399" t="s">
        <v>54</v>
      </c>
      <c r="AF399" t="s">
        <v>54</v>
      </c>
      <c r="AG399" t="s">
        <v>54</v>
      </c>
      <c r="AH399" t="s">
        <v>54</v>
      </c>
      <c r="AI399" t="s">
        <v>54</v>
      </c>
      <c r="AJ399" t="s">
        <v>54</v>
      </c>
      <c r="AK399" t="s">
        <v>54</v>
      </c>
      <c r="AL399" t="s">
        <v>54</v>
      </c>
      <c r="AM399" t="s">
        <v>54</v>
      </c>
      <c r="AN399" t="s">
        <v>54</v>
      </c>
      <c r="AO399" t="s">
        <v>54</v>
      </c>
      <c r="AP399" t="s">
        <v>54</v>
      </c>
      <c r="AQ399" t="s">
        <v>54</v>
      </c>
    </row>
    <row r="400" spans="1:43" x14ac:dyDescent="0.25">
      <c r="A400" t="s">
        <v>3471</v>
      </c>
      <c r="B400">
        <v>167</v>
      </c>
      <c r="C400">
        <v>124</v>
      </c>
      <c r="D400" t="s">
        <v>3472</v>
      </c>
      <c r="E400" t="s">
        <v>3473</v>
      </c>
      <c r="F400" t="s">
        <v>633</v>
      </c>
      <c r="G400" t="s">
        <v>3474</v>
      </c>
      <c r="H400" t="s">
        <v>453</v>
      </c>
      <c r="I400" t="s">
        <v>3475</v>
      </c>
      <c r="J400">
        <v>1</v>
      </c>
      <c r="K400">
        <v>6</v>
      </c>
      <c r="L400">
        <v>3</v>
      </c>
      <c r="M400" t="s">
        <v>3476</v>
      </c>
      <c r="N400">
        <v>104</v>
      </c>
      <c r="O400">
        <v>167</v>
      </c>
      <c r="P400">
        <v>3</v>
      </c>
      <c r="Q400" t="s">
        <v>2374</v>
      </c>
      <c r="R400" t="s">
        <v>3477</v>
      </c>
      <c r="S400">
        <v>24</v>
      </c>
      <c r="T400">
        <v>0</v>
      </c>
      <c r="U400" t="s">
        <v>52</v>
      </c>
      <c r="V400" t="s">
        <v>3478</v>
      </c>
      <c r="W400" t="s">
        <v>54</v>
      </c>
      <c r="X400" t="s">
        <v>54</v>
      </c>
      <c r="Y400" t="s">
        <v>54</v>
      </c>
      <c r="Z400" t="s">
        <v>54</v>
      </c>
      <c r="AA400" t="s">
        <v>54</v>
      </c>
      <c r="AB400" t="s">
        <v>54</v>
      </c>
      <c r="AC400" t="s">
        <v>54</v>
      </c>
      <c r="AD400" t="s">
        <v>54</v>
      </c>
      <c r="AE400" t="s">
        <v>54</v>
      </c>
      <c r="AF400" t="s">
        <v>54</v>
      </c>
      <c r="AG400" t="s">
        <v>54</v>
      </c>
      <c r="AH400" t="s">
        <v>54</v>
      </c>
      <c r="AI400" t="s">
        <v>54</v>
      </c>
      <c r="AJ400" t="s">
        <v>54</v>
      </c>
      <c r="AK400" t="s">
        <v>54</v>
      </c>
      <c r="AL400" t="s">
        <v>54</v>
      </c>
      <c r="AM400" t="s">
        <v>54</v>
      </c>
      <c r="AN400" t="s">
        <v>54</v>
      </c>
      <c r="AO400" t="s">
        <v>54</v>
      </c>
      <c r="AP400" t="s">
        <v>54</v>
      </c>
      <c r="AQ400" t="s">
        <v>54</v>
      </c>
    </row>
    <row r="401" spans="1:43" x14ac:dyDescent="0.25">
      <c r="A401" t="s">
        <v>3479</v>
      </c>
      <c r="B401">
        <v>156</v>
      </c>
      <c r="C401">
        <v>110</v>
      </c>
      <c r="D401" t="s">
        <v>224</v>
      </c>
      <c r="E401" t="s">
        <v>225</v>
      </c>
      <c r="F401" t="s">
        <v>226</v>
      </c>
      <c r="G401" t="s">
        <v>3480</v>
      </c>
      <c r="H401" t="s">
        <v>770</v>
      </c>
      <c r="I401" t="s">
        <v>880</v>
      </c>
      <c r="J401">
        <v>3</v>
      </c>
      <c r="K401">
        <v>2</v>
      </c>
      <c r="L401">
        <v>5</v>
      </c>
      <c r="M401" t="s">
        <v>881</v>
      </c>
      <c r="N401">
        <v>72</v>
      </c>
      <c r="O401">
        <v>156</v>
      </c>
      <c r="P401">
        <v>9</v>
      </c>
      <c r="Q401" t="s">
        <v>3481</v>
      </c>
      <c r="R401" t="s">
        <v>3010</v>
      </c>
      <c r="S401">
        <v>21</v>
      </c>
      <c r="T401">
        <v>0</v>
      </c>
      <c r="U401" t="s">
        <v>52</v>
      </c>
      <c r="V401" t="s">
        <v>3482</v>
      </c>
      <c r="W401" t="s">
        <v>54</v>
      </c>
      <c r="X401" t="s">
        <v>54</v>
      </c>
      <c r="Y401" t="s">
        <v>54</v>
      </c>
      <c r="Z401" t="s">
        <v>54</v>
      </c>
      <c r="AA401" t="s">
        <v>54</v>
      </c>
      <c r="AB401" t="s">
        <v>54</v>
      </c>
      <c r="AC401" t="s">
        <v>54</v>
      </c>
      <c r="AD401" t="s">
        <v>54</v>
      </c>
      <c r="AE401" t="s">
        <v>54</v>
      </c>
      <c r="AF401" t="s">
        <v>54</v>
      </c>
      <c r="AG401" t="s">
        <v>54</v>
      </c>
      <c r="AH401" t="s">
        <v>54</v>
      </c>
      <c r="AI401" t="s">
        <v>54</v>
      </c>
      <c r="AJ401" t="s">
        <v>54</v>
      </c>
      <c r="AK401" t="s">
        <v>54</v>
      </c>
      <c r="AL401" t="s">
        <v>54</v>
      </c>
      <c r="AM401" t="s">
        <v>54</v>
      </c>
      <c r="AN401" t="s">
        <v>54</v>
      </c>
      <c r="AO401" t="s">
        <v>54</v>
      </c>
      <c r="AP401" t="s">
        <v>54</v>
      </c>
      <c r="AQ401" t="s">
        <v>54</v>
      </c>
    </row>
    <row r="402" spans="1:43" x14ac:dyDescent="0.25">
      <c r="A402" t="s">
        <v>3483</v>
      </c>
      <c r="B402">
        <v>155</v>
      </c>
      <c r="C402">
        <v>105</v>
      </c>
      <c r="D402" t="s">
        <v>3484</v>
      </c>
      <c r="E402" t="s">
        <v>2235</v>
      </c>
      <c r="F402" t="s">
        <v>2136</v>
      </c>
      <c r="G402" t="s">
        <v>3485</v>
      </c>
      <c r="H402" t="s">
        <v>3486</v>
      </c>
      <c r="I402" t="s">
        <v>615</v>
      </c>
      <c r="J402">
        <v>3</v>
      </c>
      <c r="K402">
        <v>2</v>
      </c>
      <c r="L402">
        <v>4</v>
      </c>
      <c r="M402" t="s">
        <v>2591</v>
      </c>
      <c r="N402">
        <v>87</v>
      </c>
      <c r="O402">
        <v>155</v>
      </c>
      <c r="P402">
        <v>12</v>
      </c>
      <c r="Q402" t="s">
        <v>3487</v>
      </c>
      <c r="R402" t="s">
        <v>1646</v>
      </c>
      <c r="S402">
        <v>16</v>
      </c>
      <c r="T402">
        <v>0</v>
      </c>
      <c r="U402" t="s">
        <v>52</v>
      </c>
      <c r="V402" t="s">
        <v>3488</v>
      </c>
      <c r="W402" t="s">
        <v>54</v>
      </c>
      <c r="X402" t="s">
        <v>54</v>
      </c>
      <c r="Y402" t="s">
        <v>54</v>
      </c>
      <c r="Z402" t="s">
        <v>54</v>
      </c>
      <c r="AA402" t="s">
        <v>54</v>
      </c>
      <c r="AB402" t="s">
        <v>54</v>
      </c>
      <c r="AC402" t="s">
        <v>54</v>
      </c>
      <c r="AD402" t="s">
        <v>54</v>
      </c>
      <c r="AE402" t="s">
        <v>54</v>
      </c>
      <c r="AF402" t="s">
        <v>54</v>
      </c>
      <c r="AG402" t="s">
        <v>54</v>
      </c>
      <c r="AH402" t="s">
        <v>54</v>
      </c>
      <c r="AI402" t="s">
        <v>54</v>
      </c>
      <c r="AJ402" t="s">
        <v>54</v>
      </c>
      <c r="AK402" t="s">
        <v>54</v>
      </c>
      <c r="AL402" t="s">
        <v>54</v>
      </c>
      <c r="AM402" t="s">
        <v>54</v>
      </c>
      <c r="AN402" t="s">
        <v>54</v>
      </c>
      <c r="AO402" t="s">
        <v>54</v>
      </c>
      <c r="AP402" t="s">
        <v>54</v>
      </c>
      <c r="AQ402" t="s">
        <v>54</v>
      </c>
    </row>
    <row r="403" spans="1:43" x14ac:dyDescent="0.25">
      <c r="A403" t="s">
        <v>3489</v>
      </c>
      <c r="B403">
        <v>224</v>
      </c>
      <c r="C403">
        <v>134</v>
      </c>
      <c r="D403" t="s">
        <v>3490</v>
      </c>
      <c r="E403" t="s">
        <v>3491</v>
      </c>
      <c r="F403" t="s">
        <v>3492</v>
      </c>
      <c r="G403" t="s">
        <v>3493</v>
      </c>
      <c r="H403" t="s">
        <v>593</v>
      </c>
      <c r="I403" t="s">
        <v>3494</v>
      </c>
      <c r="J403">
        <v>4</v>
      </c>
      <c r="K403">
        <v>6</v>
      </c>
      <c r="L403">
        <v>4</v>
      </c>
      <c r="M403" t="s">
        <v>3495</v>
      </c>
      <c r="N403">
        <v>108</v>
      </c>
      <c r="O403">
        <v>224</v>
      </c>
      <c r="P403">
        <v>14</v>
      </c>
      <c r="Q403" t="s">
        <v>1686</v>
      </c>
      <c r="R403" t="s">
        <v>3496</v>
      </c>
      <c r="S403">
        <v>41</v>
      </c>
      <c r="T403">
        <v>1</v>
      </c>
      <c r="U403" t="s">
        <v>3497</v>
      </c>
      <c r="V403" t="s">
        <v>3498</v>
      </c>
      <c r="W403" t="s">
        <v>54</v>
      </c>
      <c r="X403" t="s">
        <v>54</v>
      </c>
      <c r="Y403" t="s">
        <v>54</v>
      </c>
      <c r="Z403" t="s">
        <v>54</v>
      </c>
      <c r="AA403" t="s">
        <v>54</v>
      </c>
      <c r="AB403" t="s">
        <v>54</v>
      </c>
      <c r="AC403" t="s">
        <v>54</v>
      </c>
      <c r="AD403" t="s">
        <v>54</v>
      </c>
      <c r="AE403" t="s">
        <v>54</v>
      </c>
      <c r="AF403" t="s">
        <v>54</v>
      </c>
      <c r="AG403" t="s">
        <v>54</v>
      </c>
      <c r="AH403" t="s">
        <v>54</v>
      </c>
      <c r="AI403" t="s">
        <v>54</v>
      </c>
      <c r="AJ403" t="s">
        <v>54</v>
      </c>
      <c r="AK403" t="s">
        <v>54</v>
      </c>
      <c r="AL403" t="s">
        <v>54</v>
      </c>
      <c r="AM403" t="s">
        <v>54</v>
      </c>
      <c r="AN403" t="s">
        <v>54</v>
      </c>
      <c r="AO403" t="s">
        <v>54</v>
      </c>
      <c r="AP403" t="s">
        <v>54</v>
      </c>
      <c r="AQ403" t="s">
        <v>54</v>
      </c>
    </row>
    <row r="404" spans="1:43" x14ac:dyDescent="0.25">
      <c r="A404" t="s">
        <v>3499</v>
      </c>
      <c r="B404">
        <v>169</v>
      </c>
      <c r="C404">
        <v>109</v>
      </c>
      <c r="D404" t="s">
        <v>3500</v>
      </c>
      <c r="E404" t="s">
        <v>1662</v>
      </c>
      <c r="F404" t="s">
        <v>3501</v>
      </c>
      <c r="G404" t="s">
        <v>3502</v>
      </c>
      <c r="H404" t="s">
        <v>1296</v>
      </c>
      <c r="I404" t="s">
        <v>1660</v>
      </c>
      <c r="J404">
        <v>3</v>
      </c>
      <c r="K404">
        <v>4</v>
      </c>
      <c r="L404">
        <v>5</v>
      </c>
      <c r="M404" t="s">
        <v>3503</v>
      </c>
      <c r="N404">
        <v>82</v>
      </c>
      <c r="O404">
        <v>170</v>
      </c>
      <c r="P404">
        <v>13</v>
      </c>
      <c r="Q404" t="s">
        <v>3504</v>
      </c>
      <c r="R404" t="s">
        <v>3067</v>
      </c>
      <c r="S404">
        <v>28</v>
      </c>
      <c r="T404">
        <v>0</v>
      </c>
      <c r="U404" t="s">
        <v>52</v>
      </c>
      <c r="V404" t="s">
        <v>3505</v>
      </c>
      <c r="W404" t="s">
        <v>54</v>
      </c>
      <c r="X404" t="s">
        <v>54</v>
      </c>
      <c r="Y404" t="s">
        <v>54</v>
      </c>
      <c r="Z404" t="s">
        <v>54</v>
      </c>
      <c r="AA404" t="s">
        <v>54</v>
      </c>
      <c r="AB404" t="s">
        <v>54</v>
      </c>
      <c r="AC404" t="s">
        <v>54</v>
      </c>
      <c r="AD404" t="s">
        <v>54</v>
      </c>
      <c r="AE404" t="s">
        <v>54</v>
      </c>
      <c r="AF404" t="s">
        <v>54</v>
      </c>
      <c r="AG404" t="s">
        <v>54</v>
      </c>
      <c r="AH404" t="s">
        <v>54</v>
      </c>
      <c r="AI404" t="s">
        <v>54</v>
      </c>
      <c r="AJ404" t="s">
        <v>54</v>
      </c>
      <c r="AK404" t="s">
        <v>54</v>
      </c>
      <c r="AL404" t="s">
        <v>54</v>
      </c>
      <c r="AM404" t="s">
        <v>54</v>
      </c>
      <c r="AN404" t="s">
        <v>54</v>
      </c>
      <c r="AO404" t="s">
        <v>54</v>
      </c>
      <c r="AP404" t="s">
        <v>54</v>
      </c>
      <c r="AQ404" t="s">
        <v>54</v>
      </c>
    </row>
    <row r="405" spans="1:43" x14ac:dyDescent="0.25">
      <c r="A405" t="s">
        <v>3506</v>
      </c>
      <c r="B405">
        <v>167</v>
      </c>
      <c r="C405">
        <v>118</v>
      </c>
      <c r="D405" t="s">
        <v>3507</v>
      </c>
      <c r="E405" t="s">
        <v>1132</v>
      </c>
      <c r="F405" t="s">
        <v>2589</v>
      </c>
      <c r="G405" t="s">
        <v>3508</v>
      </c>
      <c r="H405" t="s">
        <v>453</v>
      </c>
      <c r="I405" t="s">
        <v>2372</v>
      </c>
      <c r="J405">
        <v>1</v>
      </c>
      <c r="K405">
        <v>2</v>
      </c>
      <c r="L405">
        <v>4</v>
      </c>
      <c r="M405" t="s">
        <v>3509</v>
      </c>
      <c r="N405">
        <v>88</v>
      </c>
      <c r="O405">
        <v>167</v>
      </c>
      <c r="P405">
        <v>10</v>
      </c>
      <c r="Q405" t="s">
        <v>3510</v>
      </c>
      <c r="R405" t="s">
        <v>105</v>
      </c>
      <c r="S405">
        <v>22</v>
      </c>
      <c r="T405">
        <v>0</v>
      </c>
      <c r="U405" t="s">
        <v>52</v>
      </c>
      <c r="V405" t="s">
        <v>3511</v>
      </c>
      <c r="W405" t="s">
        <v>54</v>
      </c>
      <c r="X405" t="s">
        <v>54</v>
      </c>
      <c r="Y405" t="s">
        <v>54</v>
      </c>
      <c r="Z405" t="s">
        <v>54</v>
      </c>
      <c r="AA405" t="s">
        <v>54</v>
      </c>
      <c r="AB405" t="s">
        <v>54</v>
      </c>
      <c r="AC405" t="s">
        <v>54</v>
      </c>
      <c r="AD405" t="s">
        <v>54</v>
      </c>
      <c r="AE405" t="s">
        <v>54</v>
      </c>
      <c r="AF405" t="s">
        <v>54</v>
      </c>
      <c r="AG405" t="s">
        <v>54</v>
      </c>
      <c r="AH405" t="s">
        <v>54</v>
      </c>
      <c r="AI405" t="s">
        <v>54</v>
      </c>
      <c r="AJ405" t="s">
        <v>54</v>
      </c>
      <c r="AK405" t="s">
        <v>54</v>
      </c>
      <c r="AL405" t="s">
        <v>54</v>
      </c>
      <c r="AM405" t="s">
        <v>54</v>
      </c>
      <c r="AN405" t="s">
        <v>54</v>
      </c>
      <c r="AO405" t="s">
        <v>54</v>
      </c>
      <c r="AP405" t="s">
        <v>54</v>
      </c>
      <c r="AQ405" t="s">
        <v>54</v>
      </c>
    </row>
    <row r="406" spans="1:43" x14ac:dyDescent="0.25">
      <c r="A406" t="s">
        <v>3512</v>
      </c>
      <c r="B406">
        <v>88</v>
      </c>
      <c r="C406">
        <v>66</v>
      </c>
      <c r="D406" t="s">
        <v>720</v>
      </c>
      <c r="E406" t="s">
        <v>1435</v>
      </c>
      <c r="F406" t="s">
        <v>3513</v>
      </c>
      <c r="G406" t="s">
        <v>3514</v>
      </c>
      <c r="H406" t="s">
        <v>3515</v>
      </c>
      <c r="I406" t="s">
        <v>52</v>
      </c>
      <c r="J406">
        <v>2</v>
      </c>
      <c r="K406">
        <v>0</v>
      </c>
      <c r="L406">
        <v>2</v>
      </c>
      <c r="M406" t="s">
        <v>1094</v>
      </c>
      <c r="N406">
        <v>55</v>
      </c>
      <c r="O406">
        <v>88</v>
      </c>
      <c r="P406">
        <v>9</v>
      </c>
      <c r="Q406" t="s">
        <v>3516</v>
      </c>
      <c r="R406" t="s">
        <v>1729</v>
      </c>
      <c r="S406">
        <v>13</v>
      </c>
      <c r="T406">
        <v>0</v>
      </c>
      <c r="U406" t="s">
        <v>52</v>
      </c>
      <c r="V406" t="s">
        <v>3517</v>
      </c>
      <c r="W406" t="s">
        <v>54</v>
      </c>
      <c r="X406" t="s">
        <v>54</v>
      </c>
      <c r="Y406" t="s">
        <v>54</v>
      </c>
      <c r="Z406" t="s">
        <v>54</v>
      </c>
      <c r="AA406" t="s">
        <v>54</v>
      </c>
      <c r="AB406" t="s">
        <v>54</v>
      </c>
      <c r="AC406" t="s">
        <v>54</v>
      </c>
      <c r="AD406" t="s">
        <v>54</v>
      </c>
      <c r="AE406" t="s">
        <v>54</v>
      </c>
      <c r="AF406" t="s">
        <v>54</v>
      </c>
      <c r="AG406" t="s">
        <v>54</v>
      </c>
      <c r="AH406" t="s">
        <v>54</v>
      </c>
      <c r="AI406" t="s">
        <v>54</v>
      </c>
      <c r="AJ406" t="s">
        <v>54</v>
      </c>
      <c r="AK406" t="s">
        <v>54</v>
      </c>
      <c r="AL406" t="s">
        <v>54</v>
      </c>
      <c r="AM406" t="s">
        <v>54</v>
      </c>
      <c r="AN406" t="s">
        <v>54</v>
      </c>
      <c r="AO406" t="s">
        <v>54</v>
      </c>
      <c r="AP406" t="s">
        <v>54</v>
      </c>
      <c r="AQ406" t="s">
        <v>54</v>
      </c>
    </row>
    <row r="407" spans="1:43" x14ac:dyDescent="0.25">
      <c r="A407" t="s">
        <v>3518</v>
      </c>
      <c r="B407">
        <v>135</v>
      </c>
      <c r="C407">
        <v>108</v>
      </c>
      <c r="D407" t="s">
        <v>342</v>
      </c>
      <c r="E407" t="s">
        <v>3519</v>
      </c>
      <c r="F407" t="s">
        <v>3520</v>
      </c>
      <c r="G407" t="s">
        <v>3521</v>
      </c>
      <c r="H407" t="s">
        <v>52</v>
      </c>
      <c r="I407" t="s">
        <v>2153</v>
      </c>
      <c r="J407">
        <v>0</v>
      </c>
      <c r="K407">
        <v>1</v>
      </c>
      <c r="L407">
        <v>1</v>
      </c>
      <c r="M407" t="s">
        <v>3522</v>
      </c>
      <c r="N407">
        <v>86</v>
      </c>
      <c r="O407">
        <v>135</v>
      </c>
      <c r="P407">
        <v>7</v>
      </c>
      <c r="Q407" t="s">
        <v>3523</v>
      </c>
      <c r="R407" t="s">
        <v>3524</v>
      </c>
      <c r="S407">
        <v>11</v>
      </c>
      <c r="T407">
        <v>0</v>
      </c>
      <c r="U407" t="s">
        <v>52</v>
      </c>
      <c r="V407" t="s">
        <v>3525</v>
      </c>
      <c r="W407" t="s">
        <v>54</v>
      </c>
      <c r="X407" t="s">
        <v>54</v>
      </c>
      <c r="Y407" t="s">
        <v>54</v>
      </c>
      <c r="Z407" t="s">
        <v>54</v>
      </c>
      <c r="AA407" t="s">
        <v>54</v>
      </c>
      <c r="AB407" t="s">
        <v>54</v>
      </c>
      <c r="AC407" t="s">
        <v>54</v>
      </c>
      <c r="AD407" t="s">
        <v>54</v>
      </c>
      <c r="AE407" t="s">
        <v>54</v>
      </c>
      <c r="AF407" t="s">
        <v>54</v>
      </c>
      <c r="AG407" t="s">
        <v>54</v>
      </c>
      <c r="AH407" t="s">
        <v>54</v>
      </c>
      <c r="AI407" t="s">
        <v>54</v>
      </c>
      <c r="AJ407" t="s">
        <v>54</v>
      </c>
      <c r="AK407" t="s">
        <v>54</v>
      </c>
      <c r="AL407" t="s">
        <v>54</v>
      </c>
      <c r="AM407" t="s">
        <v>54</v>
      </c>
      <c r="AN407" t="s">
        <v>54</v>
      </c>
      <c r="AO407" t="s">
        <v>54</v>
      </c>
      <c r="AP407" t="s">
        <v>54</v>
      </c>
      <c r="AQ407" t="s">
        <v>54</v>
      </c>
    </row>
    <row r="408" spans="1:43" x14ac:dyDescent="0.25">
      <c r="A408" t="s">
        <v>3526</v>
      </c>
      <c r="B408">
        <v>151</v>
      </c>
      <c r="C408">
        <v>91</v>
      </c>
      <c r="D408" t="s">
        <v>1504</v>
      </c>
      <c r="E408" t="s">
        <v>3527</v>
      </c>
      <c r="F408" t="s">
        <v>115</v>
      </c>
      <c r="G408" t="s">
        <v>3528</v>
      </c>
      <c r="H408" t="s">
        <v>1998</v>
      </c>
      <c r="I408" t="s">
        <v>1889</v>
      </c>
      <c r="J408">
        <v>1</v>
      </c>
      <c r="K408">
        <v>2</v>
      </c>
      <c r="L408">
        <v>3</v>
      </c>
      <c r="M408" t="s">
        <v>3529</v>
      </c>
      <c r="N408">
        <v>85</v>
      </c>
      <c r="O408">
        <v>151</v>
      </c>
      <c r="P408">
        <v>12</v>
      </c>
      <c r="Q408" t="s">
        <v>3530</v>
      </c>
      <c r="R408" t="s">
        <v>3293</v>
      </c>
      <c r="S408">
        <v>14</v>
      </c>
      <c r="T408">
        <v>0</v>
      </c>
      <c r="U408" t="s">
        <v>52</v>
      </c>
      <c r="V408" t="s">
        <v>3531</v>
      </c>
      <c r="W408" t="s">
        <v>54</v>
      </c>
      <c r="X408" t="s">
        <v>54</v>
      </c>
      <c r="Y408" t="s">
        <v>54</v>
      </c>
      <c r="Z408" t="s">
        <v>54</v>
      </c>
      <c r="AA408" t="s">
        <v>54</v>
      </c>
      <c r="AB408" t="s">
        <v>54</v>
      </c>
      <c r="AC408" t="s">
        <v>54</v>
      </c>
      <c r="AD408" t="s">
        <v>54</v>
      </c>
      <c r="AE408" t="s">
        <v>54</v>
      </c>
      <c r="AF408" t="s">
        <v>54</v>
      </c>
      <c r="AG408" t="s">
        <v>54</v>
      </c>
      <c r="AH408" t="s">
        <v>54</v>
      </c>
      <c r="AI408" t="s">
        <v>54</v>
      </c>
      <c r="AJ408" t="s">
        <v>54</v>
      </c>
      <c r="AK408" t="s">
        <v>54</v>
      </c>
      <c r="AL408" t="s">
        <v>54</v>
      </c>
      <c r="AM408" t="s">
        <v>54</v>
      </c>
      <c r="AN408" t="s">
        <v>54</v>
      </c>
      <c r="AO408" t="s">
        <v>54</v>
      </c>
      <c r="AP408" t="s">
        <v>54</v>
      </c>
      <c r="AQ408" t="s">
        <v>54</v>
      </c>
    </row>
    <row r="409" spans="1:43" x14ac:dyDescent="0.25">
      <c r="A409" t="s">
        <v>3532</v>
      </c>
      <c r="B409">
        <v>182</v>
      </c>
      <c r="C409">
        <v>124</v>
      </c>
      <c r="D409" t="s">
        <v>3533</v>
      </c>
      <c r="E409" t="s">
        <v>3534</v>
      </c>
      <c r="F409" t="s">
        <v>3535</v>
      </c>
      <c r="G409" t="s">
        <v>3536</v>
      </c>
      <c r="H409" t="s">
        <v>52</v>
      </c>
      <c r="I409" t="s">
        <v>3537</v>
      </c>
      <c r="J409">
        <v>0</v>
      </c>
      <c r="K409">
        <v>5</v>
      </c>
      <c r="L409">
        <v>3</v>
      </c>
      <c r="M409" t="s">
        <v>3538</v>
      </c>
      <c r="N409">
        <v>101</v>
      </c>
      <c r="O409">
        <v>181</v>
      </c>
      <c r="P409">
        <v>11</v>
      </c>
      <c r="Q409" t="s">
        <v>3539</v>
      </c>
      <c r="R409" t="s">
        <v>2216</v>
      </c>
      <c r="S409">
        <v>19</v>
      </c>
      <c r="T409">
        <v>0</v>
      </c>
      <c r="U409" t="s">
        <v>52</v>
      </c>
      <c r="V409" t="s">
        <v>3540</v>
      </c>
      <c r="W409" t="s">
        <v>54</v>
      </c>
      <c r="X409" t="s">
        <v>54</v>
      </c>
      <c r="Y409" t="s">
        <v>54</v>
      </c>
      <c r="Z409" t="s">
        <v>54</v>
      </c>
      <c r="AA409" t="s">
        <v>54</v>
      </c>
      <c r="AB409" t="s">
        <v>54</v>
      </c>
      <c r="AC409" t="s">
        <v>54</v>
      </c>
      <c r="AD409" t="s">
        <v>54</v>
      </c>
      <c r="AE409" t="s">
        <v>54</v>
      </c>
      <c r="AF409" t="s">
        <v>54</v>
      </c>
      <c r="AG409" t="s">
        <v>54</v>
      </c>
      <c r="AH409" t="s">
        <v>54</v>
      </c>
      <c r="AI409" t="s">
        <v>54</v>
      </c>
      <c r="AJ409" t="s">
        <v>54</v>
      </c>
      <c r="AK409" t="s">
        <v>54</v>
      </c>
      <c r="AL409" t="s">
        <v>54</v>
      </c>
      <c r="AM409" t="s">
        <v>54</v>
      </c>
      <c r="AN409" t="s">
        <v>54</v>
      </c>
      <c r="AO409" t="s">
        <v>54</v>
      </c>
      <c r="AP409" t="s">
        <v>54</v>
      </c>
      <c r="AQ409" t="s">
        <v>54</v>
      </c>
    </row>
    <row r="410" spans="1:43" x14ac:dyDescent="0.25">
      <c r="A410" t="s">
        <v>3541</v>
      </c>
      <c r="B410">
        <v>203</v>
      </c>
      <c r="C410">
        <v>158</v>
      </c>
      <c r="D410" t="s">
        <v>3542</v>
      </c>
      <c r="E410" t="s">
        <v>3543</v>
      </c>
      <c r="F410" t="s">
        <v>3544</v>
      </c>
      <c r="G410" t="s">
        <v>3545</v>
      </c>
      <c r="H410" t="s">
        <v>798</v>
      </c>
      <c r="I410" t="s">
        <v>52</v>
      </c>
      <c r="J410">
        <v>1</v>
      </c>
      <c r="K410">
        <v>0</v>
      </c>
      <c r="L410">
        <v>5</v>
      </c>
      <c r="M410" t="s">
        <v>3391</v>
      </c>
      <c r="N410">
        <v>141</v>
      </c>
      <c r="O410">
        <v>203</v>
      </c>
      <c r="P410">
        <v>14</v>
      </c>
      <c r="Q410" t="s">
        <v>2477</v>
      </c>
      <c r="R410" t="s">
        <v>3524</v>
      </c>
      <c r="S410">
        <v>22</v>
      </c>
      <c r="T410">
        <v>0</v>
      </c>
      <c r="U410" t="s">
        <v>52</v>
      </c>
      <c r="V410" t="s">
        <v>3546</v>
      </c>
      <c r="W410" t="s">
        <v>54</v>
      </c>
      <c r="X410" t="s">
        <v>54</v>
      </c>
      <c r="Y410" t="s">
        <v>54</v>
      </c>
      <c r="Z410" t="s">
        <v>54</v>
      </c>
      <c r="AA410" t="s">
        <v>54</v>
      </c>
      <c r="AB410" t="s">
        <v>54</v>
      </c>
      <c r="AC410" t="s">
        <v>54</v>
      </c>
      <c r="AD410" t="s">
        <v>54</v>
      </c>
      <c r="AE410" t="s">
        <v>54</v>
      </c>
      <c r="AF410" t="s">
        <v>54</v>
      </c>
      <c r="AG410" t="s">
        <v>54</v>
      </c>
      <c r="AH410" t="s">
        <v>54</v>
      </c>
      <c r="AI410" t="s">
        <v>54</v>
      </c>
      <c r="AJ410" t="s">
        <v>54</v>
      </c>
      <c r="AK410" t="s">
        <v>54</v>
      </c>
      <c r="AL410" t="s">
        <v>54</v>
      </c>
      <c r="AM410" t="s">
        <v>54</v>
      </c>
      <c r="AN410" t="s">
        <v>54</v>
      </c>
      <c r="AO410" t="s">
        <v>54</v>
      </c>
      <c r="AP410" t="s">
        <v>54</v>
      </c>
      <c r="AQ410" t="s">
        <v>54</v>
      </c>
    </row>
    <row r="411" spans="1:43" x14ac:dyDescent="0.25">
      <c r="A411" t="s">
        <v>3547</v>
      </c>
      <c r="B411">
        <v>187</v>
      </c>
      <c r="C411">
        <v>126</v>
      </c>
      <c r="D411" t="s">
        <v>3548</v>
      </c>
      <c r="E411" t="s">
        <v>3549</v>
      </c>
      <c r="F411" t="s">
        <v>3550</v>
      </c>
      <c r="G411" t="s">
        <v>3551</v>
      </c>
      <c r="H411" t="s">
        <v>3552</v>
      </c>
      <c r="I411" t="s">
        <v>961</v>
      </c>
      <c r="J411">
        <v>5</v>
      </c>
      <c r="K411">
        <v>2</v>
      </c>
      <c r="L411">
        <v>4</v>
      </c>
      <c r="M411" t="s">
        <v>3553</v>
      </c>
      <c r="N411">
        <v>97</v>
      </c>
      <c r="O411">
        <v>188</v>
      </c>
      <c r="P411">
        <v>20</v>
      </c>
      <c r="Q411" t="s">
        <v>3554</v>
      </c>
      <c r="R411" t="s">
        <v>726</v>
      </c>
      <c r="S411">
        <v>18</v>
      </c>
      <c r="T411">
        <v>0</v>
      </c>
      <c r="U411" t="s">
        <v>52</v>
      </c>
      <c r="V411" t="s">
        <v>3555</v>
      </c>
      <c r="W411" t="s">
        <v>54</v>
      </c>
      <c r="X411" t="s">
        <v>54</v>
      </c>
      <c r="Y411" t="s">
        <v>54</v>
      </c>
      <c r="Z411" t="s">
        <v>54</v>
      </c>
      <c r="AA411" t="s">
        <v>54</v>
      </c>
      <c r="AB411" t="s">
        <v>54</v>
      </c>
      <c r="AC411" t="s">
        <v>54</v>
      </c>
      <c r="AD411" t="s">
        <v>54</v>
      </c>
      <c r="AE411" t="s">
        <v>54</v>
      </c>
      <c r="AF411" t="s">
        <v>54</v>
      </c>
      <c r="AG411" t="s">
        <v>54</v>
      </c>
      <c r="AH411" t="s">
        <v>54</v>
      </c>
      <c r="AI411" t="s">
        <v>54</v>
      </c>
      <c r="AJ411" t="s">
        <v>54</v>
      </c>
      <c r="AK411" t="s">
        <v>54</v>
      </c>
      <c r="AL411" t="s">
        <v>54</v>
      </c>
      <c r="AM411" t="s">
        <v>54</v>
      </c>
      <c r="AN411" t="s">
        <v>54</v>
      </c>
      <c r="AO411" t="s">
        <v>54</v>
      </c>
      <c r="AP411" t="s">
        <v>54</v>
      </c>
      <c r="AQ411" t="s">
        <v>54</v>
      </c>
    </row>
    <row r="412" spans="1:43" x14ac:dyDescent="0.25">
      <c r="A412" t="s">
        <v>3556</v>
      </c>
      <c r="B412">
        <v>142</v>
      </c>
      <c r="C412">
        <v>112</v>
      </c>
      <c r="D412" t="s">
        <v>2596</v>
      </c>
      <c r="E412" t="s">
        <v>1075</v>
      </c>
      <c r="F412" t="s">
        <v>1546</v>
      </c>
      <c r="G412" t="s">
        <v>3557</v>
      </c>
      <c r="H412" t="s">
        <v>704</v>
      </c>
      <c r="I412" t="s">
        <v>3558</v>
      </c>
      <c r="J412">
        <v>2</v>
      </c>
      <c r="K412">
        <v>4</v>
      </c>
      <c r="L412">
        <v>4</v>
      </c>
      <c r="M412" t="s">
        <v>3559</v>
      </c>
      <c r="N412">
        <v>93</v>
      </c>
      <c r="O412">
        <v>143</v>
      </c>
      <c r="P412">
        <v>16</v>
      </c>
      <c r="Q412" t="s">
        <v>3142</v>
      </c>
      <c r="R412" t="s">
        <v>720</v>
      </c>
      <c r="S412">
        <v>12</v>
      </c>
      <c r="T412">
        <v>0</v>
      </c>
      <c r="U412" t="s">
        <v>52</v>
      </c>
      <c r="V412" t="s">
        <v>3560</v>
      </c>
      <c r="W412" t="s">
        <v>54</v>
      </c>
      <c r="X412" t="s">
        <v>54</v>
      </c>
      <c r="Y412" t="s">
        <v>54</v>
      </c>
      <c r="Z412" t="s">
        <v>54</v>
      </c>
      <c r="AA412" t="s">
        <v>54</v>
      </c>
      <c r="AB412" t="s">
        <v>54</v>
      </c>
      <c r="AC412" t="s">
        <v>54</v>
      </c>
      <c r="AD412" t="s">
        <v>54</v>
      </c>
      <c r="AE412" t="s">
        <v>54</v>
      </c>
      <c r="AF412" t="s">
        <v>54</v>
      </c>
      <c r="AG412" t="s">
        <v>54</v>
      </c>
      <c r="AH412" t="s">
        <v>54</v>
      </c>
      <c r="AI412" t="s">
        <v>54</v>
      </c>
      <c r="AJ412" t="s">
        <v>54</v>
      </c>
      <c r="AK412" t="s">
        <v>54</v>
      </c>
      <c r="AL412" t="s">
        <v>54</v>
      </c>
      <c r="AM412" t="s">
        <v>54</v>
      </c>
      <c r="AN412" t="s">
        <v>54</v>
      </c>
      <c r="AO412" t="s">
        <v>54</v>
      </c>
      <c r="AP412" t="s">
        <v>54</v>
      </c>
      <c r="AQ412" t="s">
        <v>54</v>
      </c>
    </row>
    <row r="413" spans="1:43" x14ac:dyDescent="0.25">
      <c r="A413" t="s">
        <v>3561</v>
      </c>
      <c r="B413">
        <v>190</v>
      </c>
      <c r="C413">
        <v>126</v>
      </c>
      <c r="D413" t="s">
        <v>3562</v>
      </c>
      <c r="E413" t="s">
        <v>3563</v>
      </c>
      <c r="F413" t="s">
        <v>3564</v>
      </c>
      <c r="G413" t="s">
        <v>3565</v>
      </c>
      <c r="H413" t="s">
        <v>572</v>
      </c>
      <c r="I413" t="s">
        <v>3566</v>
      </c>
      <c r="J413">
        <v>5</v>
      </c>
      <c r="K413">
        <v>7</v>
      </c>
      <c r="L413">
        <v>5</v>
      </c>
      <c r="M413" t="s">
        <v>1194</v>
      </c>
      <c r="N413">
        <v>105</v>
      </c>
      <c r="O413">
        <v>190</v>
      </c>
      <c r="P413">
        <v>12</v>
      </c>
      <c r="Q413" t="s">
        <v>3567</v>
      </c>
      <c r="R413" t="s">
        <v>3568</v>
      </c>
      <c r="S413">
        <v>34</v>
      </c>
      <c r="T413">
        <v>0</v>
      </c>
      <c r="U413" t="s">
        <v>52</v>
      </c>
      <c r="V413" t="s">
        <v>3569</v>
      </c>
      <c r="W413" t="s">
        <v>54</v>
      </c>
      <c r="X413" t="s">
        <v>54</v>
      </c>
      <c r="Y413" t="s">
        <v>54</v>
      </c>
      <c r="Z413" t="s">
        <v>54</v>
      </c>
      <c r="AA413" t="s">
        <v>54</v>
      </c>
      <c r="AB413" t="s">
        <v>54</v>
      </c>
      <c r="AC413" t="s">
        <v>54</v>
      </c>
      <c r="AD413" t="s">
        <v>54</v>
      </c>
      <c r="AE413" t="s">
        <v>54</v>
      </c>
      <c r="AF413" t="s">
        <v>54</v>
      </c>
      <c r="AG413" t="s">
        <v>54</v>
      </c>
      <c r="AH413" t="s">
        <v>54</v>
      </c>
      <c r="AI413" t="s">
        <v>54</v>
      </c>
      <c r="AJ413" t="s">
        <v>54</v>
      </c>
      <c r="AK413" t="s">
        <v>54</v>
      </c>
      <c r="AL413" t="s">
        <v>54</v>
      </c>
      <c r="AM413" t="s">
        <v>54</v>
      </c>
      <c r="AN413" t="s">
        <v>54</v>
      </c>
      <c r="AO413" t="s">
        <v>54</v>
      </c>
      <c r="AP413" t="s">
        <v>54</v>
      </c>
      <c r="AQ413" t="s">
        <v>54</v>
      </c>
    </row>
    <row r="414" spans="1:43" x14ac:dyDescent="0.25">
      <c r="A414" t="s">
        <v>3570</v>
      </c>
      <c r="B414">
        <v>176</v>
      </c>
      <c r="C414">
        <v>110</v>
      </c>
      <c r="D414" t="s">
        <v>1094</v>
      </c>
      <c r="E414" t="s">
        <v>3571</v>
      </c>
      <c r="F414" t="s">
        <v>226</v>
      </c>
      <c r="G414" t="s">
        <v>3572</v>
      </c>
      <c r="H414" t="s">
        <v>3515</v>
      </c>
      <c r="I414" t="s">
        <v>3573</v>
      </c>
      <c r="J414">
        <v>4</v>
      </c>
      <c r="K414">
        <v>2</v>
      </c>
      <c r="L414">
        <v>4</v>
      </c>
      <c r="M414" t="s">
        <v>3574</v>
      </c>
      <c r="N414">
        <v>101</v>
      </c>
      <c r="O414">
        <v>176</v>
      </c>
      <c r="P414">
        <v>28</v>
      </c>
      <c r="Q414" t="s">
        <v>3575</v>
      </c>
      <c r="R414" t="s">
        <v>3576</v>
      </c>
      <c r="S414">
        <v>23</v>
      </c>
      <c r="T414">
        <v>1</v>
      </c>
      <c r="U414" t="s">
        <v>3577</v>
      </c>
      <c r="V414" t="s">
        <v>3578</v>
      </c>
      <c r="W414" t="s">
        <v>54</v>
      </c>
      <c r="X414" t="s">
        <v>54</v>
      </c>
      <c r="Y414" t="s">
        <v>54</v>
      </c>
      <c r="Z414" t="s">
        <v>54</v>
      </c>
      <c r="AA414" t="s">
        <v>54</v>
      </c>
      <c r="AB414" t="s">
        <v>54</v>
      </c>
      <c r="AC414" t="s">
        <v>54</v>
      </c>
      <c r="AD414" t="s">
        <v>54</v>
      </c>
      <c r="AE414" t="s">
        <v>54</v>
      </c>
      <c r="AF414" t="s">
        <v>54</v>
      </c>
      <c r="AG414" t="s">
        <v>54</v>
      </c>
      <c r="AH414" t="s">
        <v>54</v>
      </c>
      <c r="AI414" t="s">
        <v>54</v>
      </c>
      <c r="AJ414" t="s">
        <v>54</v>
      </c>
      <c r="AK414" t="s">
        <v>54</v>
      </c>
      <c r="AL414" t="s">
        <v>54</v>
      </c>
      <c r="AM414" t="s">
        <v>54</v>
      </c>
      <c r="AN414" t="s">
        <v>54</v>
      </c>
      <c r="AO414" t="s">
        <v>54</v>
      </c>
      <c r="AP414" t="s">
        <v>54</v>
      </c>
      <c r="AQ414" t="s">
        <v>54</v>
      </c>
    </row>
    <row r="415" spans="1:43" x14ac:dyDescent="0.25">
      <c r="A415" t="s">
        <v>3579</v>
      </c>
      <c r="B415">
        <v>101</v>
      </c>
      <c r="C415">
        <v>76</v>
      </c>
      <c r="D415" t="s">
        <v>2090</v>
      </c>
      <c r="E415" t="s">
        <v>2091</v>
      </c>
      <c r="F415" t="s">
        <v>2092</v>
      </c>
      <c r="G415" t="s">
        <v>3580</v>
      </c>
      <c r="H415" t="s">
        <v>3581</v>
      </c>
      <c r="I415" t="s">
        <v>52</v>
      </c>
      <c r="J415">
        <v>2</v>
      </c>
      <c r="K415">
        <v>0</v>
      </c>
      <c r="L415">
        <v>3</v>
      </c>
      <c r="M415" t="s">
        <v>3582</v>
      </c>
      <c r="N415">
        <v>49</v>
      </c>
      <c r="O415">
        <v>99</v>
      </c>
      <c r="P415">
        <v>9</v>
      </c>
      <c r="Q415" t="s">
        <v>2096</v>
      </c>
      <c r="R415" t="s">
        <v>3583</v>
      </c>
      <c r="S415">
        <v>10</v>
      </c>
      <c r="T415">
        <v>0</v>
      </c>
      <c r="U415" t="s">
        <v>52</v>
      </c>
      <c r="V415" t="s">
        <v>3584</v>
      </c>
      <c r="W415" t="s">
        <v>54</v>
      </c>
      <c r="X415" t="s">
        <v>54</v>
      </c>
      <c r="Y415" t="s">
        <v>54</v>
      </c>
      <c r="Z415" t="s">
        <v>54</v>
      </c>
      <c r="AA415" t="s">
        <v>54</v>
      </c>
      <c r="AB415" t="s">
        <v>54</v>
      </c>
      <c r="AC415" t="s">
        <v>54</v>
      </c>
      <c r="AD415" t="s">
        <v>54</v>
      </c>
      <c r="AE415" t="s">
        <v>54</v>
      </c>
      <c r="AF415" t="s">
        <v>54</v>
      </c>
      <c r="AG415" t="s">
        <v>54</v>
      </c>
      <c r="AH415" t="s">
        <v>54</v>
      </c>
      <c r="AI415" t="s">
        <v>54</v>
      </c>
      <c r="AJ415" t="s">
        <v>54</v>
      </c>
      <c r="AK415" t="s">
        <v>54</v>
      </c>
      <c r="AL415" t="s">
        <v>54</v>
      </c>
      <c r="AM415" t="s">
        <v>54</v>
      </c>
      <c r="AN415" t="s">
        <v>54</v>
      </c>
      <c r="AO415" t="s">
        <v>54</v>
      </c>
      <c r="AP415" t="s">
        <v>54</v>
      </c>
      <c r="AQ415" t="s">
        <v>54</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CD62DB-0FDC-4ECD-9FD5-A35A4B767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4</vt:i4>
      </vt:variant>
    </vt:vector>
  </HeadingPairs>
  <TitlesOfParts>
    <vt:vector size="4" baseType="lpstr">
      <vt:lpstr>Linguistic_parameters2</vt:lpstr>
      <vt:lpstr>Median</vt:lpstr>
      <vt:lpstr>Transcript</vt:lpstr>
      <vt:lpstr>wrong_style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Klára Heimlichová</dc:creator>
  <cp:lastModifiedBy>Heimlichová Klára (217196)</cp:lastModifiedBy>
  <dcterms:created xsi:type="dcterms:W3CDTF">2015-06-05T18:19:34Z</dcterms:created>
  <dcterms:modified xsi:type="dcterms:W3CDTF">2026-02-15T18:03:53Z</dcterms:modified>
</cp:coreProperties>
</file>